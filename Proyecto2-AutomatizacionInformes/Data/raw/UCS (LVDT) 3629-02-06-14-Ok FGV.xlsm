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1BH-L12-L10-3+830-C (3629)\04. ENSAYOS\"/>
    </mc:Choice>
  </mc:AlternateContent>
  <bookViews>
    <workbookView xWindow="-120" yWindow="-120" windowWidth="20730" windowHeight="11160" tabRatio="858"/>
  </bookViews>
  <sheets>
    <sheet name="Ingreso Datos" sheetId="92" r:id="rId1"/>
    <sheet name="3629-02" sheetId="91" r:id="rId2"/>
    <sheet name="3629-06" sheetId="93" r:id="rId3"/>
    <sheet name="3629-14" sheetId="94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9" i="94" l="1"/>
  <c r="K68" i="94"/>
  <c r="D58" i="94"/>
  <c r="D57" i="94"/>
  <c r="D56" i="94"/>
  <c r="D55" i="94"/>
  <c r="D54" i="94"/>
  <c r="D53" i="94"/>
  <c r="D52" i="94"/>
  <c r="D51" i="94"/>
  <c r="D50" i="94"/>
  <c r="D49" i="94"/>
  <c r="D48" i="94"/>
  <c r="D47" i="94"/>
  <c r="D46" i="94"/>
  <c r="D45" i="94"/>
  <c r="D44" i="94"/>
  <c r="D43" i="94"/>
  <c r="D42" i="94"/>
  <c r="D41" i="94"/>
  <c r="D40" i="94"/>
  <c r="D39" i="94"/>
  <c r="D38" i="94"/>
  <c r="D37" i="94"/>
  <c r="D36" i="94"/>
  <c r="D35" i="94"/>
  <c r="D34" i="94"/>
  <c r="D33" i="94"/>
  <c r="D32" i="94"/>
  <c r="D31" i="94"/>
  <c r="D30" i="94"/>
  <c r="D29" i="94"/>
  <c r="D28" i="94"/>
  <c r="J27" i="94"/>
  <c r="D27" i="94"/>
  <c r="D26" i="94"/>
  <c r="L21" i="94"/>
  <c r="L13" i="94"/>
  <c r="L12" i="94"/>
  <c r="L11" i="94"/>
  <c r="G11" i="94"/>
  <c r="L10" i="94"/>
  <c r="L7" i="94"/>
  <c r="G7" i="94"/>
  <c r="G8" i="94" s="1"/>
  <c r="L6" i="94"/>
  <c r="F6" i="94"/>
  <c r="G6" i="94" s="1"/>
  <c r="L5" i="94"/>
  <c r="L4" i="94"/>
  <c r="AE3" i="94"/>
  <c r="T1" i="94"/>
  <c r="B1" i="94"/>
  <c r="L3" i="94" s="1"/>
  <c r="J69" i="93"/>
  <c r="K68" i="93"/>
  <c r="D58" i="93"/>
  <c r="D57" i="93"/>
  <c r="D56" i="93"/>
  <c r="D55" i="93"/>
  <c r="D54" i="93"/>
  <c r="D53" i="93"/>
  <c r="D52" i="93"/>
  <c r="D51" i="93"/>
  <c r="D50" i="93"/>
  <c r="D49" i="93"/>
  <c r="D48" i="93"/>
  <c r="D47" i="93"/>
  <c r="D46" i="93"/>
  <c r="D45" i="93"/>
  <c r="D44" i="93"/>
  <c r="D43" i="93"/>
  <c r="D42" i="93"/>
  <c r="D41" i="93"/>
  <c r="D40" i="93"/>
  <c r="D39" i="93"/>
  <c r="D38" i="93"/>
  <c r="D37" i="93"/>
  <c r="D36" i="93"/>
  <c r="D35" i="93"/>
  <c r="D34" i="93"/>
  <c r="D33" i="93"/>
  <c r="D32" i="93"/>
  <c r="D31" i="93"/>
  <c r="D30" i="93"/>
  <c r="D29" i="93"/>
  <c r="D28" i="93"/>
  <c r="J27" i="93"/>
  <c r="D27" i="93"/>
  <c r="D26" i="93"/>
  <c r="L21" i="93"/>
  <c r="L13" i="93"/>
  <c r="L12" i="93"/>
  <c r="L11" i="93"/>
  <c r="G11" i="93"/>
  <c r="L10" i="93"/>
  <c r="L7" i="93"/>
  <c r="G7" i="93"/>
  <c r="L6" i="93"/>
  <c r="F6" i="93"/>
  <c r="G6" i="93" s="1"/>
  <c r="L5" i="93"/>
  <c r="L4" i="93"/>
  <c r="AE3" i="93"/>
  <c r="T1" i="93"/>
  <c r="B1" i="93"/>
  <c r="L3" i="93" s="1"/>
  <c r="D51" i="91"/>
  <c r="D52" i="91"/>
  <c r="D53" i="91"/>
  <c r="D54" i="91"/>
  <c r="D55" i="91"/>
  <c r="D56" i="91"/>
  <c r="D57" i="91"/>
  <c r="D58" i="91"/>
  <c r="G13" i="94" l="1"/>
  <c r="G14" i="94" s="1"/>
  <c r="G15" i="94" s="1"/>
  <c r="L20" i="94" s="1"/>
  <c r="L17" i="94"/>
  <c r="G9" i="94"/>
  <c r="G10" i="94" s="1"/>
  <c r="E26" i="94" s="1"/>
  <c r="G13" i="93"/>
  <c r="G14" i="93" s="1"/>
  <c r="L17" i="93"/>
  <c r="G9" i="93"/>
  <c r="G10" i="93" s="1"/>
  <c r="E26" i="93" s="1"/>
  <c r="F26" i="93" s="1"/>
  <c r="E55" i="94"/>
  <c r="F55" i="94" s="1"/>
  <c r="K25" i="94"/>
  <c r="N18" i="94" s="1"/>
  <c r="E24" i="94"/>
  <c r="F24" i="94"/>
  <c r="F26" i="94"/>
  <c r="G16" i="94"/>
  <c r="AE2" i="94"/>
  <c r="G12" i="94"/>
  <c r="L18" i="94"/>
  <c r="L19" i="93"/>
  <c r="G15" i="93"/>
  <c r="L20" i="93" s="1"/>
  <c r="K25" i="93"/>
  <c r="N18" i="93" s="1"/>
  <c r="F24" i="93"/>
  <c r="E24" i="93"/>
  <c r="G16" i="93"/>
  <c r="AE2" i="93"/>
  <c r="G12" i="93"/>
  <c r="L18" i="93"/>
  <c r="G8" i="93"/>
  <c r="D27" i="91"/>
  <c r="D28" i="91"/>
  <c r="D29" i="91"/>
  <c r="D30" i="91"/>
  <c r="D31" i="91"/>
  <c r="D32" i="91"/>
  <c r="D33" i="91"/>
  <c r="D34" i="91"/>
  <c r="D35" i="91"/>
  <c r="D36" i="91"/>
  <c r="D37" i="91"/>
  <c r="D38" i="91"/>
  <c r="D39" i="91"/>
  <c r="D40" i="91"/>
  <c r="D41" i="91"/>
  <c r="D42" i="91"/>
  <c r="D43" i="91"/>
  <c r="D44" i="91"/>
  <c r="D45" i="91"/>
  <c r="D46" i="91"/>
  <c r="D47" i="91"/>
  <c r="D48" i="91"/>
  <c r="D49" i="91"/>
  <c r="D50" i="91"/>
  <c r="D26" i="91"/>
  <c r="E48" i="94" l="1"/>
  <c r="F48" i="94" s="1"/>
  <c r="E39" i="94"/>
  <c r="F39" i="94" s="1"/>
  <c r="E44" i="94"/>
  <c r="F44" i="94" s="1"/>
  <c r="E35" i="94"/>
  <c r="F35" i="94" s="1"/>
  <c r="E50" i="94"/>
  <c r="F50" i="94" s="1"/>
  <c r="E42" i="94"/>
  <c r="F42" i="94" s="1"/>
  <c r="G42" i="94" s="1"/>
  <c r="L43" i="94" s="1"/>
  <c r="E54" i="94"/>
  <c r="F54" i="94" s="1"/>
  <c r="E28" i="94"/>
  <c r="F28" i="94" s="1"/>
  <c r="G28" i="94" s="1"/>
  <c r="L29" i="94" s="1"/>
  <c r="E34" i="94"/>
  <c r="F34" i="94" s="1"/>
  <c r="E43" i="94"/>
  <c r="F43" i="94" s="1"/>
  <c r="E41" i="94"/>
  <c r="F41" i="94" s="1"/>
  <c r="K42" i="94" s="1"/>
  <c r="E56" i="94"/>
  <c r="F56" i="94" s="1"/>
  <c r="E40" i="94"/>
  <c r="F40" i="94" s="1"/>
  <c r="E31" i="94"/>
  <c r="F31" i="94" s="1"/>
  <c r="G31" i="94" s="1"/>
  <c r="L32" i="94" s="1"/>
  <c r="E37" i="94"/>
  <c r="F37" i="94" s="1"/>
  <c r="E27" i="94"/>
  <c r="F27" i="94" s="1"/>
  <c r="K28" i="94" s="1"/>
  <c r="E32" i="94"/>
  <c r="F32" i="94" s="1"/>
  <c r="E46" i="94"/>
  <c r="F46" i="94" s="1"/>
  <c r="E29" i="94"/>
  <c r="F29" i="94" s="1"/>
  <c r="E57" i="94"/>
  <c r="F57" i="94" s="1"/>
  <c r="L19" i="94"/>
  <c r="E38" i="94"/>
  <c r="F38" i="94" s="1"/>
  <c r="E45" i="94"/>
  <c r="F45" i="94" s="1"/>
  <c r="E52" i="94"/>
  <c r="F52" i="94" s="1"/>
  <c r="G52" i="94" s="1"/>
  <c r="L53" i="94" s="1"/>
  <c r="E51" i="94"/>
  <c r="F51" i="94" s="1"/>
  <c r="E49" i="94"/>
  <c r="F49" i="94" s="1"/>
  <c r="E30" i="94"/>
  <c r="F30" i="94" s="1"/>
  <c r="E36" i="94"/>
  <c r="F36" i="94" s="1"/>
  <c r="G36" i="94" s="1"/>
  <c r="L37" i="94" s="1"/>
  <c r="E58" i="94"/>
  <c r="F58" i="94" s="1"/>
  <c r="G58" i="94" s="1"/>
  <c r="L59" i="94" s="1"/>
  <c r="E33" i="94"/>
  <c r="F33" i="94" s="1"/>
  <c r="G33" i="94" s="1"/>
  <c r="L34" i="94" s="1"/>
  <c r="E47" i="94"/>
  <c r="F47" i="94" s="1"/>
  <c r="E53" i="94"/>
  <c r="F53" i="94" s="1"/>
  <c r="G53" i="94" s="1"/>
  <c r="L54" i="94" s="1"/>
  <c r="G26" i="93"/>
  <c r="L27" i="93" s="1"/>
  <c r="E27" i="93"/>
  <c r="F27" i="93" s="1"/>
  <c r="E54" i="93"/>
  <c r="F54" i="93" s="1"/>
  <c r="E41" i="93"/>
  <c r="F41" i="93" s="1"/>
  <c r="E33" i="93"/>
  <c r="F33" i="93" s="1"/>
  <c r="E30" i="93"/>
  <c r="F30" i="93" s="1"/>
  <c r="G30" i="93" s="1"/>
  <c r="L31" i="93" s="1"/>
  <c r="E52" i="93"/>
  <c r="F52" i="93" s="1"/>
  <c r="K27" i="93"/>
  <c r="E58" i="93"/>
  <c r="F58" i="93" s="1"/>
  <c r="E37" i="93"/>
  <c r="F37" i="93" s="1"/>
  <c r="E36" i="93"/>
  <c r="F36" i="93" s="1"/>
  <c r="E55" i="93"/>
  <c r="F55" i="93" s="1"/>
  <c r="E56" i="93"/>
  <c r="F56" i="93" s="1"/>
  <c r="E28" i="93"/>
  <c r="F28" i="93" s="1"/>
  <c r="E47" i="93"/>
  <c r="F47" i="93" s="1"/>
  <c r="E31" i="93"/>
  <c r="F31" i="93" s="1"/>
  <c r="K32" i="93" s="1"/>
  <c r="E50" i="93"/>
  <c r="F50" i="93" s="1"/>
  <c r="E42" i="93"/>
  <c r="F42" i="93" s="1"/>
  <c r="E35" i="93"/>
  <c r="F35" i="93" s="1"/>
  <c r="E40" i="93"/>
  <c r="F40" i="93" s="1"/>
  <c r="E34" i="93"/>
  <c r="F34" i="93" s="1"/>
  <c r="E48" i="93"/>
  <c r="F48" i="93" s="1"/>
  <c r="E45" i="93"/>
  <c r="F45" i="93" s="1"/>
  <c r="E46" i="93"/>
  <c r="F46" i="93" s="1"/>
  <c r="G46" i="93" s="1"/>
  <c r="L47" i="93" s="1"/>
  <c r="E57" i="93"/>
  <c r="F57" i="93" s="1"/>
  <c r="E51" i="93"/>
  <c r="F51" i="93" s="1"/>
  <c r="E39" i="93"/>
  <c r="F39" i="93" s="1"/>
  <c r="E38" i="93"/>
  <c r="F38" i="93" s="1"/>
  <c r="E44" i="93"/>
  <c r="F44" i="93" s="1"/>
  <c r="E49" i="93"/>
  <c r="F49" i="93" s="1"/>
  <c r="E43" i="93"/>
  <c r="F43" i="93" s="1"/>
  <c r="G43" i="93" s="1"/>
  <c r="L44" i="93" s="1"/>
  <c r="E32" i="93"/>
  <c r="F32" i="93" s="1"/>
  <c r="G32" i="93" s="1"/>
  <c r="L33" i="93" s="1"/>
  <c r="E53" i="93"/>
  <c r="F53" i="93" s="1"/>
  <c r="E29" i="93"/>
  <c r="F29" i="93" s="1"/>
  <c r="G55" i="94"/>
  <c r="L56" i="94" s="1"/>
  <c r="K56" i="94"/>
  <c r="G35" i="94"/>
  <c r="L36" i="94" s="1"/>
  <c r="K36" i="94"/>
  <c r="G50" i="94"/>
  <c r="L51" i="94" s="1"/>
  <c r="K51" i="94"/>
  <c r="G34" i="94"/>
  <c r="L35" i="94" s="1"/>
  <c r="K35" i="94"/>
  <c r="G57" i="94"/>
  <c r="L58" i="94" s="1"/>
  <c r="K58" i="94"/>
  <c r="G49" i="94"/>
  <c r="L50" i="94" s="1"/>
  <c r="K50" i="94"/>
  <c r="C58" i="94"/>
  <c r="J59" i="94" s="1"/>
  <c r="C57" i="94"/>
  <c r="J58" i="94" s="1"/>
  <c r="C56" i="94"/>
  <c r="J57" i="94" s="1"/>
  <c r="C55" i="94"/>
  <c r="J56" i="94" s="1"/>
  <c r="C54" i="94"/>
  <c r="J55" i="94" s="1"/>
  <c r="C53" i="94"/>
  <c r="J54" i="94" s="1"/>
  <c r="C52" i="94"/>
  <c r="J53" i="94" s="1"/>
  <c r="C51" i="94"/>
  <c r="J52" i="94" s="1"/>
  <c r="C50" i="94"/>
  <c r="J51" i="94" s="1"/>
  <c r="C49" i="94"/>
  <c r="J50" i="94" s="1"/>
  <c r="C48" i="94"/>
  <c r="J49" i="94" s="1"/>
  <c r="C47" i="94"/>
  <c r="J48" i="94" s="1"/>
  <c r="C46" i="94"/>
  <c r="J47" i="94" s="1"/>
  <c r="C45" i="94"/>
  <c r="J46" i="94" s="1"/>
  <c r="C44" i="94"/>
  <c r="J45" i="94" s="1"/>
  <c r="C43" i="94"/>
  <c r="J44" i="94" s="1"/>
  <c r="C42" i="94"/>
  <c r="J43" i="94" s="1"/>
  <c r="C41" i="94"/>
  <c r="J42" i="94" s="1"/>
  <c r="C40" i="94"/>
  <c r="J41" i="94" s="1"/>
  <c r="C39" i="94"/>
  <c r="J40" i="94" s="1"/>
  <c r="C38" i="94"/>
  <c r="J39" i="94" s="1"/>
  <c r="C37" i="94"/>
  <c r="J38" i="94" s="1"/>
  <c r="C36" i="94"/>
  <c r="J37" i="94" s="1"/>
  <c r="C35" i="94"/>
  <c r="J36" i="94" s="1"/>
  <c r="C34" i="94"/>
  <c r="J35" i="94" s="1"/>
  <c r="C33" i="94"/>
  <c r="J34" i="94" s="1"/>
  <c r="C32" i="94"/>
  <c r="J33" i="94" s="1"/>
  <c r="C31" i="94"/>
  <c r="J32" i="94" s="1"/>
  <c r="C30" i="94"/>
  <c r="J31" i="94" s="1"/>
  <c r="C29" i="94"/>
  <c r="J30" i="94" s="1"/>
  <c r="C28" i="94"/>
  <c r="J29" i="94" s="1"/>
  <c r="C27" i="94"/>
  <c r="J28" i="94" s="1"/>
  <c r="G32" i="94"/>
  <c r="L33" i="94" s="1"/>
  <c r="K33" i="94"/>
  <c r="G47" i="94"/>
  <c r="L48" i="94" s="1"/>
  <c r="K48" i="94"/>
  <c r="G39" i="94"/>
  <c r="L40" i="94" s="1"/>
  <c r="K40" i="94"/>
  <c r="G43" i="94"/>
  <c r="L44" i="94" s="1"/>
  <c r="K44" i="94"/>
  <c r="G48" i="94"/>
  <c r="L49" i="94" s="1"/>
  <c r="K49" i="94"/>
  <c r="G46" i="94"/>
  <c r="L47" i="94" s="1"/>
  <c r="K47" i="94"/>
  <c r="G26" i="94"/>
  <c r="L27" i="94" s="1"/>
  <c r="K27" i="94"/>
  <c r="G56" i="94"/>
  <c r="L57" i="94" s="1"/>
  <c r="K57" i="94"/>
  <c r="G38" i="94"/>
  <c r="L39" i="94" s="1"/>
  <c r="K39" i="94"/>
  <c r="G45" i="94"/>
  <c r="L46" i="94" s="1"/>
  <c r="K46" i="94"/>
  <c r="G37" i="94"/>
  <c r="L38" i="94" s="1"/>
  <c r="K38" i="94"/>
  <c r="G29" i="94"/>
  <c r="L30" i="94" s="1"/>
  <c r="K30" i="94"/>
  <c r="G51" i="94"/>
  <c r="L52" i="94" s="1"/>
  <c r="K52" i="94"/>
  <c r="G40" i="94"/>
  <c r="L41" i="94" s="1"/>
  <c r="K41" i="94"/>
  <c r="G54" i="94"/>
  <c r="L55" i="94" s="1"/>
  <c r="K55" i="94"/>
  <c r="G30" i="94"/>
  <c r="L31" i="94" s="1"/>
  <c r="K31" i="94"/>
  <c r="G44" i="94"/>
  <c r="L45" i="94" s="1"/>
  <c r="K45" i="94"/>
  <c r="G35" i="93"/>
  <c r="L36" i="93" s="1"/>
  <c r="K36" i="93"/>
  <c r="G41" i="93"/>
  <c r="L42" i="93" s="1"/>
  <c r="K42" i="93"/>
  <c r="G33" i="93"/>
  <c r="L34" i="93" s="1"/>
  <c r="K34" i="93"/>
  <c r="G34" i="93"/>
  <c r="L35" i="93" s="1"/>
  <c r="K35" i="93"/>
  <c r="G57" i="93"/>
  <c r="L58" i="93" s="1"/>
  <c r="K58" i="93"/>
  <c r="G49" i="93"/>
  <c r="L50" i="93" s="1"/>
  <c r="K50" i="93"/>
  <c r="C58" i="93"/>
  <c r="J59" i="93" s="1"/>
  <c r="C57" i="93"/>
  <c r="J58" i="93" s="1"/>
  <c r="C56" i="93"/>
  <c r="J57" i="93" s="1"/>
  <c r="C55" i="93"/>
  <c r="J56" i="93" s="1"/>
  <c r="C54" i="93"/>
  <c r="J55" i="93" s="1"/>
  <c r="C53" i="93"/>
  <c r="J54" i="93" s="1"/>
  <c r="C52" i="93"/>
  <c r="J53" i="93" s="1"/>
  <c r="C51" i="93"/>
  <c r="J52" i="93" s="1"/>
  <c r="C50" i="93"/>
  <c r="J51" i="93" s="1"/>
  <c r="C49" i="93"/>
  <c r="J50" i="93" s="1"/>
  <c r="C48" i="93"/>
  <c r="J49" i="93" s="1"/>
  <c r="C47" i="93"/>
  <c r="J48" i="93" s="1"/>
  <c r="C46" i="93"/>
  <c r="J47" i="93" s="1"/>
  <c r="C45" i="93"/>
  <c r="J46" i="93" s="1"/>
  <c r="C44" i="93"/>
  <c r="J45" i="93" s="1"/>
  <c r="C43" i="93"/>
  <c r="J44" i="93" s="1"/>
  <c r="C42" i="93"/>
  <c r="J43" i="93" s="1"/>
  <c r="C41" i="93"/>
  <c r="J42" i="93" s="1"/>
  <c r="C40" i="93"/>
  <c r="J41" i="93" s="1"/>
  <c r="C39" i="93"/>
  <c r="J40" i="93" s="1"/>
  <c r="C38" i="93"/>
  <c r="J39" i="93" s="1"/>
  <c r="C37" i="93"/>
  <c r="J38" i="93" s="1"/>
  <c r="C36" i="93"/>
  <c r="J37" i="93" s="1"/>
  <c r="C35" i="93"/>
  <c r="J36" i="93" s="1"/>
  <c r="C34" i="93"/>
  <c r="J35" i="93" s="1"/>
  <c r="C33" i="93"/>
  <c r="J34" i="93" s="1"/>
  <c r="C32" i="93"/>
  <c r="J33" i="93" s="1"/>
  <c r="C31" i="93"/>
  <c r="J32" i="93" s="1"/>
  <c r="C30" i="93"/>
  <c r="J31" i="93" s="1"/>
  <c r="C29" i="93"/>
  <c r="J30" i="93" s="1"/>
  <c r="C28" i="93"/>
  <c r="J29" i="93" s="1"/>
  <c r="C27" i="93"/>
  <c r="J28" i="93" s="1"/>
  <c r="G36" i="93"/>
  <c r="L37" i="93" s="1"/>
  <c r="K37" i="93"/>
  <c r="G51" i="93"/>
  <c r="L52" i="93" s="1"/>
  <c r="K52" i="93"/>
  <c r="G42" i="93"/>
  <c r="L43" i="93" s="1"/>
  <c r="K43" i="93"/>
  <c r="K33" i="93"/>
  <c r="G44" i="93"/>
  <c r="L45" i="93" s="1"/>
  <c r="K45" i="93"/>
  <c r="G52" i="93"/>
  <c r="L53" i="93" s="1"/>
  <c r="K53" i="93"/>
  <c r="G28" i="93"/>
  <c r="L29" i="93" s="1"/>
  <c r="K29" i="93"/>
  <c r="G58" i="93"/>
  <c r="L59" i="93" s="1"/>
  <c r="K59" i="93"/>
  <c r="G50" i="93"/>
  <c r="L51" i="93" s="1"/>
  <c r="K51" i="93"/>
  <c r="G56" i="93"/>
  <c r="L57" i="93" s="1"/>
  <c r="K57" i="93"/>
  <c r="G48" i="93"/>
  <c r="L49" i="93" s="1"/>
  <c r="K49" i="93"/>
  <c r="G40" i="93"/>
  <c r="L41" i="93" s="1"/>
  <c r="K41" i="93"/>
  <c r="G47" i="93"/>
  <c r="L48" i="93" s="1"/>
  <c r="K48" i="93"/>
  <c r="G54" i="93"/>
  <c r="L55" i="93" s="1"/>
  <c r="K55" i="93"/>
  <c r="G38" i="93"/>
  <c r="L39" i="93" s="1"/>
  <c r="K39" i="93"/>
  <c r="K31" i="93"/>
  <c r="G27" i="93"/>
  <c r="L28" i="93" s="1"/>
  <c r="K28" i="93"/>
  <c r="G55" i="93"/>
  <c r="L56" i="93" s="1"/>
  <c r="K56" i="93"/>
  <c r="G39" i="93"/>
  <c r="L40" i="93" s="1"/>
  <c r="K40" i="93"/>
  <c r="G53" i="93"/>
  <c r="L54" i="93" s="1"/>
  <c r="K54" i="93"/>
  <c r="G45" i="93"/>
  <c r="L46" i="93" s="1"/>
  <c r="K46" i="93"/>
  <c r="G37" i="93"/>
  <c r="L38" i="93" s="1"/>
  <c r="K38" i="93"/>
  <c r="G29" i="93"/>
  <c r="L30" i="93" s="1"/>
  <c r="K30" i="93"/>
  <c r="F6" i="91"/>
  <c r="G6" i="91" s="1"/>
  <c r="K25" i="91" s="1"/>
  <c r="N18" i="91" s="1"/>
  <c r="G31" i="93" l="1"/>
  <c r="L32" i="93" s="1"/>
  <c r="G27" i="94"/>
  <c r="L28" i="94" s="1"/>
  <c r="R17" i="94" s="1"/>
  <c r="K44" i="93"/>
  <c r="K32" i="94"/>
  <c r="K34" i="94"/>
  <c r="K47" i="93"/>
  <c r="R18" i="93" s="1"/>
  <c r="K53" i="94"/>
  <c r="K54" i="94"/>
  <c r="K43" i="94"/>
  <c r="K29" i="94"/>
  <c r="G41" i="94"/>
  <c r="L42" i="94" s="1"/>
  <c r="K37" i="94"/>
  <c r="K59" i="94"/>
  <c r="R17" i="93"/>
  <c r="R18" i="94"/>
  <c r="L5" i="91"/>
  <c r="L4" i="91"/>
  <c r="B1" i="91"/>
  <c r="AE3" i="91" l="1"/>
  <c r="AE2" i="91"/>
  <c r="J68" i="91" l="1"/>
  <c r="G7" i="91" l="1"/>
  <c r="G8" i="91" s="1"/>
  <c r="G11" i="91"/>
  <c r="T1" i="91"/>
  <c r="L21" i="91"/>
  <c r="K67" i="91"/>
  <c r="L11" i="91"/>
  <c r="L13" i="91"/>
  <c r="L12" i="91"/>
  <c r="L10" i="91"/>
  <c r="L7" i="91"/>
  <c r="L6" i="91"/>
  <c r="L3" i="91"/>
  <c r="J27" i="91"/>
  <c r="G12" i="91" l="1"/>
  <c r="L18" i="91"/>
  <c r="G13" i="91"/>
  <c r="G14" i="91" s="1"/>
  <c r="G15" i="91" s="1"/>
  <c r="L20" i="91" s="1"/>
  <c r="G16" i="91"/>
  <c r="L17" i="91"/>
  <c r="E24" i="91"/>
  <c r="F24" i="91"/>
  <c r="G9" i="91"/>
  <c r="G10" i="91" s="1"/>
  <c r="C51" i="91" l="1"/>
  <c r="J52" i="91" s="1"/>
  <c r="C53" i="91"/>
  <c r="J54" i="91" s="1"/>
  <c r="C55" i="91"/>
  <c r="J56" i="91" s="1"/>
  <c r="C57" i="91"/>
  <c r="J58" i="91" s="1"/>
  <c r="C52" i="91"/>
  <c r="J53" i="91" s="1"/>
  <c r="C54" i="91"/>
  <c r="J55" i="91" s="1"/>
  <c r="C58" i="91"/>
  <c r="C56" i="91"/>
  <c r="J57" i="91" s="1"/>
  <c r="E52" i="91"/>
  <c r="F52" i="91" s="1"/>
  <c r="E58" i="91"/>
  <c r="F58" i="91" s="1"/>
  <c r="E54" i="91"/>
  <c r="F54" i="91" s="1"/>
  <c r="E55" i="91"/>
  <c r="F55" i="91" s="1"/>
  <c r="E56" i="91"/>
  <c r="F56" i="91" s="1"/>
  <c r="E53" i="91"/>
  <c r="F53" i="91" s="1"/>
  <c r="E51" i="91"/>
  <c r="F51" i="91" s="1"/>
  <c r="E57" i="91"/>
  <c r="F57" i="91" s="1"/>
  <c r="C28" i="91"/>
  <c r="C29" i="91"/>
  <c r="C37" i="91"/>
  <c r="J38" i="91" s="1"/>
  <c r="C45" i="91"/>
  <c r="J46" i="91" s="1"/>
  <c r="C33" i="91"/>
  <c r="J34" i="91" s="1"/>
  <c r="C49" i="91"/>
  <c r="J50" i="91" s="1"/>
  <c r="C42" i="91"/>
  <c r="J43" i="91" s="1"/>
  <c r="C35" i="91"/>
  <c r="J36" i="91" s="1"/>
  <c r="C27" i="91"/>
  <c r="J28" i="91" s="1"/>
  <c r="C30" i="91"/>
  <c r="J31" i="91" s="1"/>
  <c r="C38" i="91"/>
  <c r="J39" i="91" s="1"/>
  <c r="C46" i="91"/>
  <c r="J47" i="91" s="1"/>
  <c r="C31" i="91"/>
  <c r="J32" i="91" s="1"/>
  <c r="C39" i="91"/>
  <c r="J40" i="91" s="1"/>
  <c r="C47" i="91"/>
  <c r="J48" i="91" s="1"/>
  <c r="C32" i="91"/>
  <c r="J33" i="91" s="1"/>
  <c r="C40" i="91"/>
  <c r="J41" i="91" s="1"/>
  <c r="C48" i="91"/>
  <c r="J49" i="91" s="1"/>
  <c r="C41" i="91"/>
  <c r="J42" i="91" s="1"/>
  <c r="C34" i="91"/>
  <c r="J35" i="91" s="1"/>
  <c r="C50" i="91"/>
  <c r="J51" i="91" s="1"/>
  <c r="C43" i="91"/>
  <c r="J44" i="91" s="1"/>
  <c r="C36" i="91"/>
  <c r="J37" i="91" s="1"/>
  <c r="C44" i="91"/>
  <c r="J45" i="91" s="1"/>
  <c r="J30" i="91"/>
  <c r="J29" i="91"/>
  <c r="L19" i="91"/>
  <c r="E40" i="91"/>
  <c r="F40" i="91" s="1"/>
  <c r="E41" i="91"/>
  <c r="F41" i="91" s="1"/>
  <c r="E42" i="91"/>
  <c r="F42" i="91" s="1"/>
  <c r="E43" i="91"/>
  <c r="F43" i="91" s="1"/>
  <c r="E44" i="91"/>
  <c r="F44" i="91" s="1"/>
  <c r="E45" i="91"/>
  <c r="F45" i="91" s="1"/>
  <c r="E46" i="91"/>
  <c r="F46" i="91" s="1"/>
  <c r="E47" i="91"/>
  <c r="F47" i="91" s="1"/>
  <c r="E48" i="91"/>
  <c r="F48" i="91" s="1"/>
  <c r="E49" i="91"/>
  <c r="F49" i="91" s="1"/>
  <c r="E50" i="91"/>
  <c r="F50" i="91" s="1"/>
  <c r="E32" i="91"/>
  <c r="F32" i="91" s="1"/>
  <c r="E36" i="91"/>
  <c r="F36" i="91" s="1"/>
  <c r="E26" i="91"/>
  <c r="F26" i="91" s="1"/>
  <c r="E39" i="91"/>
  <c r="F39" i="91" s="1"/>
  <c r="E35" i="91"/>
  <c r="F35" i="91" s="1"/>
  <c r="E31" i="91"/>
  <c r="F31" i="91" s="1"/>
  <c r="E37" i="91"/>
  <c r="F37" i="91" s="1"/>
  <c r="E33" i="91"/>
  <c r="F33" i="91" s="1"/>
  <c r="E29" i="91"/>
  <c r="F29" i="91" s="1"/>
  <c r="E28" i="91"/>
  <c r="F28" i="91" s="1"/>
  <c r="E34" i="91"/>
  <c r="F34" i="91" s="1"/>
  <c r="E27" i="91"/>
  <c r="F27" i="91" s="1"/>
  <c r="E30" i="91"/>
  <c r="F30" i="91" s="1"/>
  <c r="E38" i="91"/>
  <c r="F38" i="91" s="1"/>
  <c r="K52" i="91" l="1"/>
  <c r="G51" i="91"/>
  <c r="L52" i="91" s="1"/>
  <c r="G53" i="91"/>
  <c r="L54" i="91" s="1"/>
  <c r="K54" i="91"/>
  <c r="K57" i="91"/>
  <c r="G56" i="91"/>
  <c r="L57" i="91" s="1"/>
  <c r="G55" i="91"/>
  <c r="L56" i="91" s="1"/>
  <c r="K56" i="91"/>
  <c r="G54" i="91"/>
  <c r="L55" i="91" s="1"/>
  <c r="K55" i="91"/>
  <c r="G57" i="91"/>
  <c r="L58" i="91" s="1"/>
  <c r="K58" i="91"/>
  <c r="G58" i="91"/>
  <c r="G52" i="91"/>
  <c r="L53" i="91" s="1"/>
  <c r="K53" i="91"/>
  <c r="G50" i="91"/>
  <c r="L51" i="91" s="1"/>
  <c r="K51" i="91"/>
  <c r="G48" i="91"/>
  <c r="L49" i="91" s="1"/>
  <c r="K49" i="91"/>
  <c r="G46" i="91"/>
  <c r="L47" i="91" s="1"/>
  <c r="K47" i="91"/>
  <c r="G44" i="91"/>
  <c r="L45" i="91" s="1"/>
  <c r="K45" i="91"/>
  <c r="G42" i="91"/>
  <c r="L43" i="91" s="1"/>
  <c r="K43" i="91"/>
  <c r="G40" i="91"/>
  <c r="L41" i="91" s="1"/>
  <c r="K41" i="91"/>
  <c r="G49" i="91"/>
  <c r="L50" i="91" s="1"/>
  <c r="K50" i="91"/>
  <c r="G47" i="91"/>
  <c r="L48" i="91" s="1"/>
  <c r="K48" i="91"/>
  <c r="G45" i="91"/>
  <c r="L46" i="91" s="1"/>
  <c r="K46" i="91"/>
  <c r="G43" i="91"/>
  <c r="L44" i="91" s="1"/>
  <c r="K44" i="91"/>
  <c r="G41" i="91"/>
  <c r="L42" i="91" s="1"/>
  <c r="K42" i="91"/>
  <c r="K31" i="91"/>
  <c r="G30" i="91"/>
  <c r="L31" i="91" s="1"/>
  <c r="G34" i="91"/>
  <c r="L35" i="91" s="1"/>
  <c r="K35" i="91"/>
  <c r="G29" i="91"/>
  <c r="L30" i="91" s="1"/>
  <c r="K30" i="91"/>
  <c r="G37" i="91"/>
  <c r="L38" i="91" s="1"/>
  <c r="K38" i="91"/>
  <c r="G35" i="91"/>
  <c r="L36" i="91" s="1"/>
  <c r="K36" i="91"/>
  <c r="G26" i="91"/>
  <c r="L27" i="91" s="1"/>
  <c r="K27" i="91"/>
  <c r="G32" i="91"/>
  <c r="L33" i="91" s="1"/>
  <c r="K33" i="91"/>
  <c r="K39" i="91"/>
  <c r="G38" i="91"/>
  <c r="L39" i="91" s="1"/>
  <c r="G27" i="91"/>
  <c r="L28" i="91" s="1"/>
  <c r="K28" i="91"/>
  <c r="G28" i="91"/>
  <c r="L29" i="91" s="1"/>
  <c r="K29" i="91"/>
  <c r="G33" i="91"/>
  <c r="L34" i="91" s="1"/>
  <c r="K34" i="91"/>
  <c r="G31" i="91"/>
  <c r="L32" i="91" s="1"/>
  <c r="K32" i="91"/>
  <c r="G39" i="91"/>
  <c r="L40" i="91" s="1"/>
  <c r="K40" i="91"/>
  <c r="G36" i="91"/>
  <c r="L37" i="91" s="1"/>
  <c r="K37" i="91"/>
  <c r="R18" i="91" l="1"/>
  <c r="R17" i="91"/>
</calcChain>
</file>

<file path=xl/sharedStrings.xml><?xml version="1.0" encoding="utf-8"?>
<sst xmlns="http://schemas.openxmlformats.org/spreadsheetml/2006/main" count="389" uniqueCount="109">
  <si>
    <t>[%]</t>
  </si>
  <si>
    <t>Proyecto</t>
  </si>
  <si>
    <t>Muestra</t>
  </si>
  <si>
    <t>Contenido de Humedad</t>
  </si>
  <si>
    <t>Altura Promedio</t>
  </si>
  <si>
    <t>Peso Natural</t>
  </si>
  <si>
    <t>Volumen</t>
  </si>
  <si>
    <t>Densidad Seca</t>
  </si>
  <si>
    <t>Deformación</t>
  </si>
  <si>
    <t>Carga</t>
  </si>
  <si>
    <t>Densidad Húmeda</t>
  </si>
  <si>
    <t>Def. Unitaria</t>
  </si>
  <si>
    <t>[cm]</t>
  </si>
  <si>
    <t>Orden de Trabajo</t>
  </si>
  <si>
    <t>Fecha de Inicio</t>
  </si>
  <si>
    <t>Fecha de Término</t>
  </si>
  <si>
    <r>
      <t>[g/cm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]</t>
    </r>
  </si>
  <si>
    <t>Referencias</t>
  </si>
  <si>
    <t>Observaciones</t>
  </si>
  <si>
    <t>[Mpa]</t>
  </si>
  <si>
    <t>Altura Probeta 1</t>
  </si>
  <si>
    <t>Altura Probeta 2</t>
  </si>
  <si>
    <t>Altura Probeta 3</t>
  </si>
  <si>
    <t>Fecha</t>
  </si>
  <si>
    <t>DATOS DE PROBETA</t>
  </si>
  <si>
    <t>Humedad</t>
  </si>
  <si>
    <t>Tipo de Roca</t>
  </si>
  <si>
    <t>Fracturas / Vetillas</t>
  </si>
  <si>
    <t>Alteraciones</t>
  </si>
  <si>
    <t>b. Muestra falla por</t>
  </si>
  <si>
    <t>Falla</t>
  </si>
  <si>
    <t>INFORME ENSAYO COMPRESIÓN UNIAXIAL SIMPLE EN MUESTRAS DE ROCA</t>
  </si>
  <si>
    <t>Diámetro Superior 1</t>
  </si>
  <si>
    <t>Diámetro Superior 2</t>
  </si>
  <si>
    <t>Diámetro Superior 3</t>
  </si>
  <si>
    <t>Área Promedio</t>
  </si>
  <si>
    <t>Diámetro Medio    1</t>
  </si>
  <si>
    <t>Diámetro Medio    2</t>
  </si>
  <si>
    <t>Diámetro Medio    3</t>
  </si>
  <si>
    <t>Diámetro Inferior 1</t>
  </si>
  <si>
    <t>Diámetro Inferior 2</t>
  </si>
  <si>
    <t>Diámetro Inferior 3</t>
  </si>
  <si>
    <t>Tensión</t>
  </si>
  <si>
    <t>FOTOGRAFÍAS</t>
  </si>
  <si>
    <t>Tensión Axial</t>
  </si>
  <si>
    <t>cm</t>
  </si>
  <si>
    <t>g</t>
  </si>
  <si>
    <t>%</t>
  </si>
  <si>
    <t>mm</t>
  </si>
  <si>
    <t>[N]</t>
  </si>
  <si>
    <t>[div]</t>
  </si>
  <si>
    <t>2. ASTM D4543-08.</t>
  </si>
  <si>
    <t>cm²</t>
  </si>
  <si>
    <t>cm³</t>
  </si>
  <si>
    <t>g/cm³</t>
  </si>
  <si>
    <t>DESCRIPCION PROBETA</t>
  </si>
  <si>
    <t>DATOS ENSAYO</t>
  </si>
  <si>
    <t>[KN]</t>
  </si>
  <si>
    <t>ELASTICIDAD Y RAZON DE POISSON</t>
  </si>
  <si>
    <t>Deformacion</t>
  </si>
  <si>
    <t>Relacion Esbeltez</t>
  </si>
  <si>
    <t>Diámetro Promedio</t>
  </si>
  <si>
    <r>
      <t>mm</t>
    </r>
    <r>
      <rPr>
        <sz val="9"/>
        <rFont val="Arial"/>
        <family val="2"/>
      </rPr>
      <t>²</t>
    </r>
  </si>
  <si>
    <t>D 50</t>
  </si>
  <si>
    <t>D50</t>
  </si>
  <si>
    <t>Diametro Promedio</t>
  </si>
  <si>
    <t>Diametro</t>
  </si>
  <si>
    <t>Velocidad de ensayo</t>
  </si>
  <si>
    <t>MUESTRA</t>
  </si>
  <si>
    <t>PROYECTO</t>
  </si>
  <si>
    <t>ENSAYO: COMPRESIÓN UNIAXIAL SIMPLE</t>
  </si>
  <si>
    <t>Nº INFORME</t>
  </si>
  <si>
    <t>CANTIDAD DE HOJAS (01 HASTA 30)</t>
  </si>
  <si>
    <t>Hoja Nº</t>
  </si>
  <si>
    <t>Nombre Hoja</t>
  </si>
  <si>
    <t>CAMBIAR SOLO LOS VALORES EN VERDE Y AGREGAR</t>
  </si>
  <si>
    <t xml:space="preserve">FOTOGRAFIAS. CALCULAR MODULO DE </t>
  </si>
  <si>
    <r>
      <t>1. ASTM D7012-14</t>
    </r>
    <r>
      <rPr>
        <vertAlign val="superscript"/>
        <sz val="9"/>
        <rFont val="Arial"/>
        <family val="2"/>
      </rPr>
      <t>e1</t>
    </r>
  </si>
  <si>
    <r>
      <t>Lectura tiempo de arribo señal longitudinal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</si>
  <si>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r>
      <t>lectura tiempo de arribo señal transversal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</si>
  <si>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t xml:space="preserve"> MPa/s</t>
  </si>
  <si>
    <t>[MPa]</t>
  </si>
  <si>
    <t>Resistencia Máx. D50 [MPa]</t>
  </si>
  <si>
    <t>RESULTADOS</t>
  </si>
  <si>
    <t>Fallas</t>
  </si>
  <si>
    <t>Matriz (Tipo A)</t>
  </si>
  <si>
    <t>Mixta (Tipo B1)</t>
  </si>
  <si>
    <t>Mixta (Tipo B2)</t>
  </si>
  <si>
    <t>Estructura (Tipo C)</t>
  </si>
  <si>
    <t>Estructura (Tipo D1)</t>
  </si>
  <si>
    <t>Estructura (Tipo D2)</t>
  </si>
  <si>
    <t>Anómala (Tipo E)</t>
  </si>
  <si>
    <t>a. Lecturas de deformación realizadas con transductor de desplazamiento lineal LVDT.</t>
  </si>
  <si>
    <t>N° Informe</t>
  </si>
  <si>
    <t>3. Determinación de Humedad según DGL-PT-07 basado en ASTM D2216-10</t>
  </si>
  <si>
    <t>3629-02</t>
  </si>
  <si>
    <t>3629-06</t>
  </si>
  <si>
    <t>3629-14</t>
  </si>
  <si>
    <t>C1BH-L12-L10-3+830-C</t>
  </si>
  <si>
    <t>-</t>
  </si>
  <si>
    <t>Toba de lapilli lítica</t>
  </si>
  <si>
    <t>No presenta</t>
  </si>
  <si>
    <t>Oxidación y zeolitización</t>
  </si>
  <si>
    <t xml:space="preserve">C1BH-L12-L10-3+830-C (02,16-02,50) </t>
  </si>
  <si>
    <t>C1BH-L12-L10-3+830-C (04,80-05,35)</t>
  </si>
  <si>
    <t xml:space="preserve">C1BH-L12-L10-3+830-C (13,49-13,90) 	</t>
  </si>
  <si>
    <t>1.965.912-A</t>
  </si>
  <si>
    <t>Textura homogénea e isótropa. Se observa reemplazo parcial de zeolitas en algunas zonas de la matriz vítrea.</t>
  </si>
  <si>
    <t>Textura homogénea y levemente anisótropa. Anisotropía definida por la orientación de piroclastos elongados. Reemplazo parcial de zeolitas en la matriz vítrea.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</si>
</sst>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_)"/>
    <numFmt numFmtId="165" formatCode="0.0"/>
    <numFmt numFmtId="166" formatCode="0.0_)"/>
    <numFmt numFmtId="168" formatCode="dd/mm/yyyy;@"/>
  </numFmts>
  <fonts count="19" x14ac:knownFonts="1">
    <font>
      <sz val="10"/>
      <name val="Courier"/>
    </font>
    <font>
      <sz val="11"/>
      <color theme="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sz val="9"/>
      <color indexed="12"/>
      <name val="Arial"/>
      <family val="2"/>
    </font>
    <font>
      <vertAlign val="superscript"/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b/>
      <sz val="9"/>
      <color indexed="10"/>
      <name val="Arial"/>
      <family val="2"/>
    </font>
    <font>
      <sz val="9"/>
      <color rgb="FFFF0000"/>
      <name val="Arial"/>
      <family val="2"/>
    </font>
    <font>
      <sz val="6"/>
      <name val="Arial"/>
      <family val="2"/>
    </font>
    <font>
      <b/>
      <sz val="8"/>
      <color rgb="FFFF0000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Calibri"/>
      <family val="2"/>
    </font>
    <font>
      <sz val="9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5" fillId="0" borderId="0"/>
    <xf numFmtId="0" fontId="1" fillId="0" borderId="0"/>
    <xf numFmtId="43" fontId="1" fillId="0" borderId="0" applyFont="0" applyFill="0" applyBorder="0" applyAlignment="0" applyProtection="0"/>
  </cellStyleXfs>
  <cellXfs count="169">
    <xf numFmtId="0" fontId="0" fillId="0" borderId="0" xfId="0"/>
    <xf numFmtId="0" fontId="3" fillId="2" borderId="0" xfId="0" quotePrefix="1" applyFont="1" applyFill="1" applyAlignment="1" applyProtection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0" xfId="0" applyFont="1" applyFill="1" applyAlignment="1" applyProtection="1">
      <alignment horizontal="left"/>
    </xf>
    <xf numFmtId="0" fontId="3" fillId="2" borderId="0" xfId="0" applyFont="1" applyFill="1" applyAlignment="1" applyProtection="1">
      <alignment horizontal="fill"/>
    </xf>
    <xf numFmtId="0" fontId="2" fillId="2" borderId="13" xfId="0" applyFont="1" applyFill="1" applyBorder="1" applyAlignment="1" applyProtection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0" xfId="0" applyFont="1" applyFill="1" applyBorder="1" applyAlignment="1">
      <alignment vertical="center"/>
    </xf>
    <xf numFmtId="0" fontId="2" fillId="2" borderId="4" xfId="0" applyFont="1" applyFill="1" applyBorder="1" applyAlignment="1" applyProtection="1">
      <alignment horizontal="left" vertical="center"/>
    </xf>
    <xf numFmtId="0" fontId="3" fillId="2" borderId="13" xfId="0" applyFont="1" applyFill="1" applyBorder="1" applyAlignment="1">
      <alignment horizontal="left" vertical="center" indent="1"/>
    </xf>
    <xf numFmtId="164" fontId="3" fillId="2" borderId="0" xfId="0" applyNumberFormat="1" applyFont="1" applyFill="1" applyBorder="1" applyAlignment="1" applyProtection="1">
      <alignment horizontal="center"/>
    </xf>
    <xf numFmtId="0" fontId="3" fillId="2" borderId="0" xfId="0" applyFont="1" applyFill="1" applyBorder="1"/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164" fontId="3" fillId="2" borderId="6" xfId="0" applyNumberFormat="1" applyFont="1" applyFill="1" applyBorder="1" applyAlignment="1" applyProtection="1">
      <alignment horizontal="right"/>
      <protection locked="0"/>
    </xf>
    <xf numFmtId="0" fontId="2" fillId="2" borderId="4" xfId="0" applyFont="1" applyFill="1" applyBorder="1" applyAlignment="1">
      <alignment vertical="center"/>
    </xf>
    <xf numFmtId="0" fontId="10" fillId="2" borderId="0" xfId="0" applyFont="1" applyFill="1"/>
    <xf numFmtId="0" fontId="3" fillId="2" borderId="13" xfId="0" applyFont="1" applyFill="1" applyBorder="1" applyAlignment="1" applyProtection="1">
      <alignment horizontal="left"/>
    </xf>
    <xf numFmtId="0" fontId="3" fillId="2" borderId="14" xfId="0" applyFont="1" applyFill="1" applyBorder="1"/>
    <xf numFmtId="164" fontId="3" fillId="2" borderId="9" xfId="0" applyNumberFormat="1" applyFont="1" applyFill="1" applyBorder="1" applyProtection="1"/>
    <xf numFmtId="0" fontId="2" fillId="2" borderId="7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4" xfId="0" applyFont="1" applyFill="1" applyBorder="1" applyAlignment="1" applyProtection="1">
      <alignment horizontal="lef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164" fontId="3" fillId="2" borderId="14" xfId="0" applyNumberFormat="1" applyFont="1" applyFill="1" applyBorder="1" applyProtection="1"/>
    <xf numFmtId="164" fontId="3" fillId="2" borderId="0" xfId="0" applyNumberFormat="1" applyFont="1" applyFill="1" applyBorder="1" applyProtection="1"/>
    <xf numFmtId="0" fontId="2" fillId="2" borderId="0" xfId="0" applyFont="1" applyFill="1" applyAlignment="1">
      <alignment vertical="center"/>
    </xf>
    <xf numFmtId="0" fontId="3" fillId="2" borderId="8" xfId="0" applyFont="1" applyFill="1" applyBorder="1" applyAlignment="1" applyProtection="1">
      <alignment horizontal="left"/>
    </xf>
    <xf numFmtId="0" fontId="3" fillId="2" borderId="11" xfId="0" applyFont="1" applyFill="1" applyBorder="1"/>
    <xf numFmtId="164" fontId="3" fillId="2" borderId="11" xfId="0" applyNumberFormat="1" applyFont="1" applyFill="1" applyBorder="1" applyProtection="1"/>
    <xf numFmtId="0" fontId="3" fillId="2" borderId="2" xfId="0" applyFont="1" applyFill="1" applyBorder="1" applyAlignment="1" applyProtection="1">
      <alignment vertical="center"/>
    </xf>
    <xf numFmtId="164" fontId="3" fillId="2" borderId="4" xfId="0" applyNumberFormat="1" applyFont="1" applyFill="1" applyBorder="1" applyAlignment="1" applyProtection="1">
      <alignment horizontal="left" vertical="center" indent="1"/>
    </xf>
    <xf numFmtId="0" fontId="3" fillId="2" borderId="13" xfId="0" applyFont="1" applyFill="1" applyBorder="1"/>
    <xf numFmtId="164" fontId="3" fillId="2" borderId="14" xfId="0" applyNumberFormat="1" applyFont="1" applyFill="1" applyBorder="1"/>
    <xf numFmtId="164" fontId="3" fillId="2" borderId="0" xfId="0" applyNumberFormat="1" applyFont="1" applyFill="1" applyBorder="1"/>
    <xf numFmtId="0" fontId="3" fillId="2" borderId="3" xfId="0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7" xfId="0" applyFont="1" applyFill="1" applyBorder="1"/>
    <xf numFmtId="0" fontId="3" fillId="2" borderId="10" xfId="0" applyFont="1" applyFill="1" applyBorder="1"/>
    <xf numFmtId="2" fontId="3" fillId="2" borderId="10" xfId="0" applyNumberFormat="1" applyFont="1" applyFill="1" applyBorder="1"/>
    <xf numFmtId="0" fontId="3" fillId="2" borderId="7" xfId="0" quotePrefix="1" applyFont="1" applyFill="1" applyBorder="1" applyAlignment="1" applyProtection="1">
      <alignment horizontal="left"/>
    </xf>
    <xf numFmtId="164" fontId="3" fillId="2" borderId="12" xfId="0" applyNumberFormat="1" applyFont="1" applyFill="1" applyBorder="1" applyProtection="1"/>
    <xf numFmtId="164" fontId="3" fillId="2" borderId="6" xfId="0" applyNumberFormat="1" applyFont="1" applyFill="1" applyBorder="1" applyProtection="1"/>
    <xf numFmtId="0" fontId="3" fillId="2" borderId="4" xfId="0" quotePrefix="1" applyFont="1" applyFill="1" applyBorder="1" applyAlignment="1" applyProtection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3" fillId="2" borderId="5" xfId="0" applyFont="1" applyFill="1" applyBorder="1" applyAlignment="1" applyProtection="1">
      <alignment vertical="center"/>
    </xf>
    <xf numFmtId="0" fontId="2" fillId="2" borderId="0" xfId="0" applyFont="1" applyFill="1" applyBorder="1" applyAlignment="1">
      <alignment horizontal="center" vertical="center"/>
    </xf>
    <xf numFmtId="2" fontId="3" fillId="2" borderId="6" xfId="0" applyNumberFormat="1" applyFont="1" applyFill="1" applyBorder="1"/>
    <xf numFmtId="164" fontId="5" fillId="2" borderId="0" xfId="0" applyNumberFormat="1" applyFont="1" applyFill="1" applyProtection="1">
      <protection locked="0"/>
    </xf>
    <xf numFmtId="0" fontId="3" fillId="2" borderId="7" xfId="0" quotePrefix="1" applyFont="1" applyFill="1" applyBorder="1" applyAlignment="1" applyProtection="1">
      <alignment horizontal="left" vertical="center"/>
    </xf>
    <xf numFmtId="0" fontId="3" fillId="2" borderId="10" xfId="0" applyFont="1" applyFill="1" applyBorder="1" applyAlignment="1">
      <alignment horizontal="right" vertical="center"/>
    </xf>
    <xf numFmtId="164" fontId="3" fillId="2" borderId="6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3" fillId="2" borderId="8" xfId="0" quotePrefix="1" applyFont="1" applyFill="1" applyBorder="1" applyAlignment="1" applyProtection="1">
      <alignment horizontal="left" vertical="center"/>
    </xf>
    <xf numFmtId="0" fontId="3" fillId="2" borderId="11" xfId="0" applyFont="1" applyFill="1" applyBorder="1" applyAlignment="1">
      <alignment horizontal="right" vertical="center"/>
    </xf>
    <xf numFmtId="164" fontId="8" fillId="2" borderId="0" xfId="0" applyNumberFormat="1" applyFont="1" applyFill="1" applyBorder="1" applyAlignment="1" applyProtection="1">
      <alignment horizontal="center"/>
    </xf>
    <xf numFmtId="0" fontId="3" fillId="2" borderId="4" xfId="0" quotePrefix="1" applyFont="1" applyFill="1" applyBorder="1" applyAlignment="1" applyProtection="1">
      <alignment horizontal="left" vertical="center"/>
    </xf>
    <xf numFmtId="0" fontId="3" fillId="2" borderId="3" xfId="0" applyFont="1" applyFill="1" applyBorder="1" applyAlignment="1">
      <alignment horizontal="right" vertical="center"/>
    </xf>
    <xf numFmtId="164" fontId="8" fillId="2" borderId="0" xfId="0" applyNumberFormat="1" applyFont="1" applyFill="1" applyBorder="1" applyAlignment="1">
      <alignment horizontal="center"/>
    </xf>
    <xf numFmtId="164" fontId="3" fillId="2" borderId="0" xfId="0" applyNumberFormat="1" applyFont="1" applyFill="1" applyProtection="1"/>
    <xf numFmtId="0" fontId="3" fillId="2" borderId="9" xfId="0" applyFont="1" applyFill="1" applyBorder="1" applyAlignment="1" applyProtection="1">
      <alignment horizontal="center"/>
    </xf>
    <xf numFmtId="0" fontId="3" fillId="2" borderId="9" xfId="0" quotePrefix="1" applyFont="1" applyFill="1" applyBorder="1" applyAlignment="1" applyProtection="1">
      <alignment horizontal="center"/>
    </xf>
    <xf numFmtId="164" fontId="3" fillId="2" borderId="0" xfId="0" applyNumberFormat="1" applyFont="1" applyFill="1" applyAlignment="1">
      <alignment horizontal="center"/>
    </xf>
    <xf numFmtId="0" fontId="3" fillId="2" borderId="15" xfId="0" applyFont="1" applyFill="1" applyBorder="1"/>
    <xf numFmtId="164" fontId="3" fillId="2" borderId="15" xfId="0" applyNumberFormat="1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2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3" fillId="2" borderId="12" xfId="0" applyFont="1" applyFill="1" applyBorder="1" applyAlignment="1" applyProtection="1">
      <alignment horizontal="center" vertical="center"/>
    </xf>
    <xf numFmtId="0" fontId="7" fillId="2" borderId="6" xfId="0" applyFont="1" applyFill="1" applyBorder="1" applyAlignment="1" applyProtection="1">
      <alignment horizontal="center"/>
    </xf>
    <xf numFmtId="164" fontId="3" fillId="2" borderId="6" xfId="0" applyNumberFormat="1" applyFont="1" applyFill="1" applyBorder="1" applyAlignment="1" applyProtection="1">
      <alignment horizontal="center"/>
    </xf>
    <xf numFmtId="164" fontId="3" fillId="2" borderId="6" xfId="0" applyNumberFormat="1" applyFont="1" applyFill="1" applyBorder="1" applyAlignment="1">
      <alignment horizontal="center"/>
    </xf>
    <xf numFmtId="2" fontId="3" fillId="2" borderId="6" xfId="0" applyNumberFormat="1" applyFont="1" applyFill="1" applyBorder="1" applyAlignment="1">
      <alignment horizontal="center"/>
    </xf>
    <xf numFmtId="164" fontId="3" fillId="2" borderId="0" xfId="0" applyNumberFormat="1" applyFont="1" applyFill="1" applyAlignment="1" applyProtection="1">
      <alignment horizontal="center"/>
    </xf>
    <xf numFmtId="0" fontId="3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/>
    <xf numFmtId="0" fontId="4" fillId="2" borderId="0" xfId="0" applyFont="1" applyFill="1" applyAlignment="1">
      <alignment horizontal="left"/>
    </xf>
    <xf numFmtId="0" fontId="3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/>
    </xf>
    <xf numFmtId="0" fontId="3" fillId="2" borderId="0" xfId="0" applyFont="1" applyFill="1" applyBorder="1" applyAlignment="1">
      <alignment horizontal="left"/>
    </xf>
    <xf numFmtId="0" fontId="7" fillId="2" borderId="0" xfId="0" applyNumberFormat="1" applyFont="1" applyFill="1" applyBorder="1" applyAlignment="1">
      <alignment horizontal="center"/>
    </xf>
    <xf numFmtId="0" fontId="7" fillId="2" borderId="0" xfId="0" applyNumberFormat="1" applyFont="1" applyFill="1" applyBorder="1" applyAlignment="1" applyProtection="1">
      <alignment horizontal="center"/>
      <protection locked="0"/>
    </xf>
    <xf numFmtId="164" fontId="7" fillId="2" borderId="0" xfId="0" applyNumberFormat="1" applyFont="1" applyFill="1" applyBorder="1" applyProtection="1"/>
    <xf numFmtId="0" fontId="12" fillId="2" borderId="0" xfId="0" applyFont="1" applyFill="1" applyBorder="1" applyAlignment="1"/>
    <xf numFmtId="0" fontId="13" fillId="2" borderId="0" xfId="0" applyFont="1" applyFill="1" applyBorder="1" applyAlignment="1">
      <alignment wrapText="1"/>
    </xf>
    <xf numFmtId="0" fontId="3" fillId="0" borderId="13" xfId="0" applyFont="1" applyFill="1" applyBorder="1" applyAlignment="1" applyProtection="1">
      <alignment horizontal="left" vertical="center"/>
    </xf>
    <xf numFmtId="0" fontId="15" fillId="0" borderId="0" xfId="0" applyFont="1" applyAlignment="1">
      <alignment vertical="center"/>
    </xf>
    <xf numFmtId="0" fontId="3" fillId="0" borderId="4" xfId="0" applyFont="1" applyFill="1" applyBorder="1" applyAlignment="1" applyProtection="1">
      <alignment horizontal="left" vertical="center"/>
    </xf>
    <xf numFmtId="0" fontId="3" fillId="0" borderId="6" xfId="0" applyFont="1" applyFill="1" applyBorder="1" applyAlignment="1" applyProtection="1">
      <alignment horizontal="left" vertical="center"/>
    </xf>
    <xf numFmtId="0" fontId="16" fillId="0" borderId="6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 applyProtection="1">
      <alignment horizontal="left"/>
      <protection locked="0"/>
    </xf>
    <xf numFmtId="164" fontId="9" fillId="5" borderId="6" xfId="0" applyNumberFormat="1" applyFont="1" applyFill="1" applyBorder="1" applyAlignment="1" applyProtection="1">
      <alignment horizontal="left"/>
      <protection locked="0"/>
    </xf>
    <xf numFmtId="0" fontId="9" fillId="4" borderId="13" xfId="0" applyFont="1" applyFill="1" applyBorder="1"/>
    <xf numFmtId="0" fontId="9" fillId="4" borderId="1" xfId="0" applyFont="1" applyFill="1" applyBorder="1"/>
    <xf numFmtId="0" fontId="9" fillId="4" borderId="14" xfId="0" applyFont="1" applyFill="1" applyBorder="1" applyAlignment="1">
      <alignment horizontal="center"/>
    </xf>
    <xf numFmtId="0" fontId="9" fillId="4" borderId="8" xfId="0" applyFont="1" applyFill="1" applyBorder="1"/>
    <xf numFmtId="0" fontId="9" fillId="4" borderId="0" xfId="0" applyFont="1" applyFill="1" applyBorder="1"/>
    <xf numFmtId="0" fontId="9" fillId="4" borderId="11" xfId="0" applyFont="1" applyFill="1" applyBorder="1" applyAlignment="1">
      <alignment horizontal="center"/>
    </xf>
    <xf numFmtId="0" fontId="9" fillId="4" borderId="7" xfId="0" applyFont="1" applyFill="1" applyBorder="1"/>
    <xf numFmtId="0" fontId="9" fillId="4" borderId="5" xfId="0" applyFont="1" applyFill="1" applyBorder="1"/>
    <xf numFmtId="0" fontId="9" fillId="4" borderId="10" xfId="0" applyFont="1" applyFill="1" applyBorder="1" applyAlignment="1">
      <alignment horizontal="center"/>
    </xf>
    <xf numFmtId="0" fontId="3" fillId="2" borderId="4" xfId="1" applyFont="1" applyFill="1" applyBorder="1" applyAlignment="1">
      <alignment horizontal="left"/>
    </xf>
    <xf numFmtId="0" fontId="3" fillId="2" borderId="3" xfId="1" applyFont="1" applyFill="1" applyBorder="1"/>
    <xf numFmtId="2" fontId="9" fillId="5" borderId="6" xfId="1" applyNumberFormat="1" applyFont="1" applyFill="1" applyBorder="1"/>
    <xf numFmtId="0" fontId="3" fillId="2" borderId="4" xfId="1" applyFont="1" applyFill="1" applyBorder="1" applyAlignment="1" applyProtection="1">
      <alignment horizontal="left"/>
    </xf>
    <xf numFmtId="0" fontId="2" fillId="2" borderId="0" xfId="1" applyFont="1" applyFill="1" applyAlignment="1">
      <alignment horizontal="left"/>
    </xf>
    <xf numFmtId="0" fontId="3" fillId="2" borderId="0" xfId="1" applyFont="1" applyFill="1"/>
    <xf numFmtId="164" fontId="3" fillId="2" borderId="13" xfId="0" applyNumberFormat="1" applyFont="1" applyFill="1" applyBorder="1" applyAlignment="1" applyProtection="1">
      <alignment horizontal="center"/>
    </xf>
    <xf numFmtId="164" fontId="3" fillId="2" borderId="1" xfId="0" applyNumberFormat="1" applyFont="1" applyFill="1" applyBorder="1" applyAlignment="1" applyProtection="1">
      <alignment horizontal="center"/>
    </xf>
    <xf numFmtId="164" fontId="3" fillId="2" borderId="14" xfId="0" applyNumberFormat="1" applyFont="1" applyFill="1" applyBorder="1" applyAlignment="1" applyProtection="1">
      <alignment horizontal="center"/>
    </xf>
    <xf numFmtId="164" fontId="3" fillId="2" borderId="8" xfId="0" applyNumberFormat="1" applyFont="1" applyFill="1" applyBorder="1" applyAlignment="1" applyProtection="1">
      <alignment horizontal="center"/>
    </xf>
    <xf numFmtId="164" fontId="3" fillId="2" borderId="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164" fontId="3" fillId="2" borderId="7" xfId="0" applyNumberFormat="1" applyFont="1" applyFill="1" applyBorder="1" applyAlignment="1" applyProtection="1">
      <alignment horizontal="center"/>
    </xf>
    <xf numFmtId="164" fontId="3" fillId="2" borderId="5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0" fontId="15" fillId="0" borderId="6" xfId="0" applyFont="1" applyBorder="1" applyAlignment="1">
      <alignment vertical="center"/>
    </xf>
    <xf numFmtId="164" fontId="3" fillId="2" borderId="13" xfId="0" applyNumberFormat="1" applyFont="1" applyFill="1" applyBorder="1" applyAlignment="1" applyProtection="1">
      <alignment horizontal="center"/>
    </xf>
    <xf numFmtId="164" fontId="3" fillId="2" borderId="1" xfId="0" applyNumberFormat="1" applyFont="1" applyFill="1" applyBorder="1" applyAlignment="1" applyProtection="1">
      <alignment horizontal="center"/>
    </xf>
    <xf numFmtId="164" fontId="3" fillId="2" borderId="14" xfId="0" applyNumberFormat="1" applyFont="1" applyFill="1" applyBorder="1" applyAlignment="1" applyProtection="1">
      <alignment horizontal="center"/>
    </xf>
    <xf numFmtId="164" fontId="3" fillId="2" borderId="8" xfId="0" applyNumberFormat="1" applyFont="1" applyFill="1" applyBorder="1" applyAlignment="1" applyProtection="1">
      <alignment horizontal="center"/>
    </xf>
    <xf numFmtId="164" fontId="3" fillId="2" borderId="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164" fontId="3" fillId="2" borderId="7" xfId="0" applyNumberFormat="1" applyFont="1" applyFill="1" applyBorder="1" applyAlignment="1" applyProtection="1">
      <alignment horizontal="center"/>
    </xf>
    <xf numFmtId="164" fontId="3" fillId="2" borderId="5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Alignment="1">
      <alignment horizontal="center"/>
    </xf>
    <xf numFmtId="165" fontId="18" fillId="2" borderId="6" xfId="1" applyNumberFormat="1" applyFont="1" applyFill="1" applyBorder="1" applyAlignment="1">
      <alignment horizontal="center" vertical="center"/>
    </xf>
    <xf numFmtId="166" fontId="3" fillId="2" borderId="6" xfId="0" applyNumberFormat="1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>
      <alignment horizontal="left" vertical="center" indent="1"/>
    </xf>
    <xf numFmtId="14" fontId="9" fillId="5" borderId="6" xfId="0" applyNumberFormat="1" applyFont="1" applyFill="1" applyBorder="1" applyAlignment="1" applyProtection="1">
      <alignment horizontal="left"/>
      <protection locked="0"/>
    </xf>
    <xf numFmtId="0" fontId="2" fillId="0" borderId="6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  <xf numFmtId="0" fontId="14" fillId="3" borderId="4" xfId="0" applyNumberFormat="1" applyFont="1" applyFill="1" applyBorder="1" applyAlignment="1" applyProtection="1">
      <alignment horizontal="left" vertical="center"/>
    </xf>
    <xf numFmtId="0" fontId="14" fillId="3" borderId="2" xfId="0" applyNumberFormat="1" applyFont="1" applyFill="1" applyBorder="1" applyAlignment="1" applyProtection="1">
      <alignment horizontal="left" vertical="center"/>
    </xf>
    <xf numFmtId="0" fontId="14" fillId="3" borderId="3" xfId="0" applyNumberFormat="1" applyFont="1" applyFill="1" applyBorder="1" applyAlignment="1" applyProtection="1">
      <alignment horizontal="left" vertical="center"/>
    </xf>
    <xf numFmtId="164" fontId="3" fillId="2" borderId="13" xfId="0" applyNumberFormat="1" applyFont="1" applyFill="1" applyBorder="1" applyAlignment="1" applyProtection="1">
      <alignment horizontal="center"/>
    </xf>
    <xf numFmtId="164" fontId="3" fillId="2" borderId="1" xfId="0" applyNumberFormat="1" applyFont="1" applyFill="1" applyBorder="1" applyAlignment="1" applyProtection="1">
      <alignment horizontal="center"/>
    </xf>
    <xf numFmtId="164" fontId="3" fillId="2" borderId="14" xfId="0" applyNumberFormat="1" applyFont="1" applyFill="1" applyBorder="1" applyAlignment="1" applyProtection="1">
      <alignment horizontal="center"/>
    </xf>
    <xf numFmtId="164" fontId="3" fillId="2" borderId="8" xfId="0" applyNumberFormat="1" applyFont="1" applyFill="1" applyBorder="1" applyAlignment="1" applyProtection="1">
      <alignment horizontal="center"/>
    </xf>
    <xf numFmtId="164" fontId="3" fillId="2" borderId="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164" fontId="3" fillId="2" borderId="7" xfId="0" applyNumberFormat="1" applyFont="1" applyFill="1" applyBorder="1" applyAlignment="1" applyProtection="1">
      <alignment horizontal="center"/>
    </xf>
    <xf numFmtId="164" fontId="3" fillId="2" borderId="5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164" fontId="11" fillId="2" borderId="1" xfId="0" applyNumberFormat="1" applyFont="1" applyFill="1" applyBorder="1" applyAlignment="1" applyProtection="1">
      <alignment horizontal="left" vertical="top"/>
    </xf>
    <xf numFmtId="0" fontId="3" fillId="2" borderId="4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left" vertical="center"/>
    </xf>
    <xf numFmtId="0" fontId="3" fillId="2" borderId="3" xfId="1" applyFont="1" applyFill="1" applyBorder="1" applyAlignment="1">
      <alignment horizontal="left" vertical="center"/>
    </xf>
    <xf numFmtId="0" fontId="4" fillId="2" borderId="0" xfId="0" applyFont="1" applyFill="1" applyAlignment="1" applyProtection="1">
      <alignment horizontal="left"/>
      <protection locked="0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left" vertical="center" wrapText="1" indent="1"/>
    </xf>
    <xf numFmtId="0" fontId="3" fillId="2" borderId="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left" vertical="center" wrapText="1" indent="1"/>
    </xf>
    <xf numFmtId="168" fontId="3" fillId="2" borderId="4" xfId="0" applyNumberFormat="1" applyFont="1" applyFill="1" applyBorder="1" applyAlignment="1">
      <alignment horizontal="left" vertical="center" indent="1"/>
    </xf>
  </cellXfs>
  <cellStyles count="4">
    <cellStyle name="Millares 2" xfId="3"/>
    <cellStyle name="Normal" xfId="0" builtinId="0"/>
    <cellStyle name="Normal 2" xfId="1"/>
    <cellStyle name="Normal 3" xfId="2"/>
  </cellStyles>
  <dxfs count="18"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Gráfico: Tensión  v/s Deformación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9942974574865694"/>
          <c:y val="1.70857194233979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1132427123774"/>
          <c:y val="0.21370227775155864"/>
          <c:w val="0.78538679772973896"/>
          <c:h val="0.62214411518811719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'3629-02'!$J$27:$J$58</c:f>
              <c:numCache>
                <c:formatCode>0.00_)</c:formatCode>
                <c:ptCount val="32"/>
                <c:pt idx="0">
                  <c:v>0</c:v>
                </c:pt>
                <c:pt idx="1">
                  <c:v>1.1200414830178897E-2</c:v>
                </c:pt>
                <c:pt idx="2">
                  <c:v>0.13020482240082965</c:v>
                </c:pt>
                <c:pt idx="3">
                  <c:v>0.24955924293492351</c:v>
                </c:pt>
                <c:pt idx="4">
                  <c:v>0.3647135079077003</c:v>
                </c:pt>
                <c:pt idx="5">
                  <c:v>0.42351568576613935</c:v>
                </c:pt>
                <c:pt idx="6">
                  <c:v>0.48161783769769245</c:v>
                </c:pt>
                <c:pt idx="7">
                  <c:v>0.5243194192377495</c:v>
                </c:pt>
                <c:pt idx="8">
                  <c:v>0.59642208970702615</c:v>
                </c:pt>
                <c:pt idx="9">
                  <c:v>0.62722323049001816</c:v>
                </c:pt>
                <c:pt idx="10">
                  <c:v>0.70247601763028267</c:v>
                </c:pt>
                <c:pt idx="11">
                  <c:v>0.77352864920922981</c:v>
                </c:pt>
                <c:pt idx="12">
                  <c:v>0.80187969924812008</c:v>
                </c:pt>
                <c:pt idx="13">
                  <c:v>0.82498055483536425</c:v>
                </c:pt>
                <c:pt idx="14">
                  <c:v>0.87503240860772602</c:v>
                </c:pt>
                <c:pt idx="15">
                  <c:v>0.90828364013481977</c:v>
                </c:pt>
                <c:pt idx="16">
                  <c:v>0.95133523463831993</c:v>
                </c:pt>
                <c:pt idx="17">
                  <c:v>0.98178636245786866</c:v>
                </c:pt>
                <c:pt idx="18">
                  <c:v>1.0076873217526574</c:v>
                </c:pt>
                <c:pt idx="19">
                  <c:v>1.0528389940368159</c:v>
                </c:pt>
                <c:pt idx="20">
                  <c:v>1.0958905885403163</c:v>
                </c:pt>
                <c:pt idx="21">
                  <c:v>1.1508426238008815</c:v>
                </c:pt>
                <c:pt idx="22">
                  <c:v>1.2001944516463572</c:v>
                </c:pt>
                <c:pt idx="23">
                  <c:v>1.2551464869069222</c:v>
                </c:pt>
                <c:pt idx="24">
                  <c:v>1.2841975628726989</c:v>
                </c:pt>
                <c:pt idx="25">
                  <c:v>1.3489499611096705</c:v>
                </c:pt>
                <c:pt idx="26">
                  <c:v>1.37380088151413</c:v>
                </c:pt>
                <c:pt idx="27">
                  <c:v>1.4126523204563131</c:v>
                </c:pt>
                <c:pt idx="28">
                  <c:v>1.4466035779102928</c:v>
                </c:pt>
                <c:pt idx="29">
                  <c:v>1.4924552761213379</c:v>
                </c:pt>
                <c:pt idx="30">
                  <c:v>1.5243064557946591</c:v>
                </c:pt>
                <c:pt idx="31">
                  <c:v>1.5411070780399272</c:v>
                </c:pt>
              </c:numCache>
            </c:numRef>
          </c:xVal>
          <c:yVal>
            <c:numRef>
              <c:f>'3629-02'!$L$27:$L$58</c:f>
              <c:numCache>
                <c:formatCode>0.0_)</c:formatCode>
                <c:ptCount val="32"/>
                <c:pt idx="0">
                  <c:v>0</c:v>
                </c:pt>
                <c:pt idx="1">
                  <c:v>4.7294295484038722</c:v>
                </c:pt>
                <c:pt idx="2">
                  <c:v>8.3952050677059589</c:v>
                </c:pt>
                <c:pt idx="3">
                  <c:v>11.327825483147631</c:v>
                </c:pt>
                <c:pt idx="4">
                  <c:v>15.360178554379932</c:v>
                </c:pt>
                <c:pt idx="5">
                  <c:v>17.926221417891391</c:v>
                </c:pt>
                <c:pt idx="6">
                  <c:v>20.492264281402857</c:v>
                </c:pt>
                <c:pt idx="7">
                  <c:v>22.691729592984107</c:v>
                </c:pt>
                <c:pt idx="8">
                  <c:v>26.357505112286194</c:v>
                </c:pt>
                <c:pt idx="9">
                  <c:v>28.190392871937242</c:v>
                </c:pt>
                <c:pt idx="10">
                  <c:v>32.955901047029954</c:v>
                </c:pt>
                <c:pt idx="11">
                  <c:v>37.354831670192453</c:v>
                </c:pt>
                <c:pt idx="12">
                  <c:v>39.554296981773703</c:v>
                </c:pt>
                <c:pt idx="13">
                  <c:v>41.387184741424754</c:v>
                </c:pt>
                <c:pt idx="14">
                  <c:v>45.052960260726842</c:v>
                </c:pt>
                <c:pt idx="15">
                  <c:v>47.252425572308098</c:v>
                </c:pt>
                <c:pt idx="16">
                  <c:v>50.551623539679973</c:v>
                </c:pt>
                <c:pt idx="17">
                  <c:v>52.75108885126123</c:v>
                </c:pt>
                <c:pt idx="18">
                  <c:v>54.583976610912273</c:v>
                </c:pt>
                <c:pt idx="19">
                  <c:v>57.883174578284162</c:v>
                </c:pt>
                <c:pt idx="20">
                  <c:v>61.182372545656037</c:v>
                </c:pt>
                <c:pt idx="21">
                  <c:v>65.21472561688833</c:v>
                </c:pt>
                <c:pt idx="22">
                  <c:v>69.247078688120624</c:v>
                </c:pt>
                <c:pt idx="23">
                  <c:v>74.012586863213343</c:v>
                </c:pt>
                <c:pt idx="24">
                  <c:v>76.578629726724813</c:v>
                </c:pt>
                <c:pt idx="25">
                  <c:v>82.44387055760815</c:v>
                </c:pt>
                <c:pt idx="26">
                  <c:v>84.643335869189414</c:v>
                </c:pt>
                <c:pt idx="27">
                  <c:v>87.942533836561282</c:v>
                </c:pt>
                <c:pt idx="28">
                  <c:v>90.508576700072751</c:v>
                </c:pt>
                <c:pt idx="29">
                  <c:v>94.174352219374811</c:v>
                </c:pt>
                <c:pt idx="30">
                  <c:v>96.373817530956075</c:v>
                </c:pt>
                <c:pt idx="31">
                  <c:v>97.473550186746692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9-4F50-BB2C-5D5D17329709}"/>
            </c:ext>
          </c:extLst>
        </c:ser>
        <c:ser>
          <c:idx val="0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'3629-02'!$J$27:$J$58</c:f>
              <c:numCache>
                <c:formatCode>0.00_)</c:formatCode>
                <c:ptCount val="32"/>
                <c:pt idx="0">
                  <c:v>0</c:v>
                </c:pt>
                <c:pt idx="1">
                  <c:v>1.1200414830178897E-2</c:v>
                </c:pt>
                <c:pt idx="2">
                  <c:v>0.13020482240082965</c:v>
                </c:pt>
                <c:pt idx="3">
                  <c:v>0.24955924293492351</c:v>
                </c:pt>
                <c:pt idx="4">
                  <c:v>0.3647135079077003</c:v>
                </c:pt>
                <c:pt idx="5">
                  <c:v>0.42351568576613935</c:v>
                </c:pt>
                <c:pt idx="6">
                  <c:v>0.48161783769769245</c:v>
                </c:pt>
                <c:pt idx="7">
                  <c:v>0.5243194192377495</c:v>
                </c:pt>
                <c:pt idx="8">
                  <c:v>0.59642208970702615</c:v>
                </c:pt>
                <c:pt idx="9">
                  <c:v>0.62722323049001816</c:v>
                </c:pt>
                <c:pt idx="10">
                  <c:v>0.70247601763028267</c:v>
                </c:pt>
                <c:pt idx="11">
                  <c:v>0.77352864920922981</c:v>
                </c:pt>
                <c:pt idx="12">
                  <c:v>0.80187969924812008</c:v>
                </c:pt>
                <c:pt idx="13">
                  <c:v>0.82498055483536425</c:v>
                </c:pt>
                <c:pt idx="14">
                  <c:v>0.87503240860772602</c:v>
                </c:pt>
                <c:pt idx="15">
                  <c:v>0.90828364013481977</c:v>
                </c:pt>
                <c:pt idx="16">
                  <c:v>0.95133523463831993</c:v>
                </c:pt>
                <c:pt idx="17">
                  <c:v>0.98178636245786866</c:v>
                </c:pt>
                <c:pt idx="18">
                  <c:v>1.0076873217526574</c:v>
                </c:pt>
                <c:pt idx="19">
                  <c:v>1.0528389940368159</c:v>
                </c:pt>
                <c:pt idx="20">
                  <c:v>1.0958905885403163</c:v>
                </c:pt>
                <c:pt idx="21">
                  <c:v>1.1508426238008815</c:v>
                </c:pt>
                <c:pt idx="22">
                  <c:v>1.2001944516463572</c:v>
                </c:pt>
                <c:pt idx="23">
                  <c:v>1.2551464869069222</c:v>
                </c:pt>
                <c:pt idx="24">
                  <c:v>1.2841975628726989</c:v>
                </c:pt>
                <c:pt idx="25">
                  <c:v>1.3489499611096705</c:v>
                </c:pt>
                <c:pt idx="26">
                  <c:v>1.37380088151413</c:v>
                </c:pt>
                <c:pt idx="27">
                  <c:v>1.4126523204563131</c:v>
                </c:pt>
                <c:pt idx="28">
                  <c:v>1.4466035779102928</c:v>
                </c:pt>
                <c:pt idx="29">
                  <c:v>1.4924552761213379</c:v>
                </c:pt>
                <c:pt idx="30">
                  <c:v>1.5243064557946591</c:v>
                </c:pt>
                <c:pt idx="31">
                  <c:v>1.5411070780399272</c:v>
                </c:pt>
              </c:numCache>
            </c:numRef>
          </c:xVal>
          <c:yVal>
            <c:numRef>
              <c:f>'3629-02'!$L$27:$L$58</c:f>
              <c:numCache>
                <c:formatCode>0.0_)</c:formatCode>
                <c:ptCount val="32"/>
                <c:pt idx="0">
                  <c:v>0</c:v>
                </c:pt>
                <c:pt idx="1">
                  <c:v>4.7294295484038722</c:v>
                </c:pt>
                <c:pt idx="2">
                  <c:v>8.3952050677059589</c:v>
                </c:pt>
                <c:pt idx="3">
                  <c:v>11.327825483147631</c:v>
                </c:pt>
                <c:pt idx="4">
                  <c:v>15.360178554379932</c:v>
                </c:pt>
                <c:pt idx="5">
                  <c:v>17.926221417891391</c:v>
                </c:pt>
                <c:pt idx="6">
                  <c:v>20.492264281402857</c:v>
                </c:pt>
                <c:pt idx="7">
                  <c:v>22.691729592984107</c:v>
                </c:pt>
                <c:pt idx="8">
                  <c:v>26.357505112286194</c:v>
                </c:pt>
                <c:pt idx="9">
                  <c:v>28.190392871937242</c:v>
                </c:pt>
                <c:pt idx="10">
                  <c:v>32.955901047029954</c:v>
                </c:pt>
                <c:pt idx="11">
                  <c:v>37.354831670192453</c:v>
                </c:pt>
                <c:pt idx="12">
                  <c:v>39.554296981773703</c:v>
                </c:pt>
                <c:pt idx="13">
                  <c:v>41.387184741424754</c:v>
                </c:pt>
                <c:pt idx="14">
                  <c:v>45.052960260726842</c:v>
                </c:pt>
                <c:pt idx="15">
                  <c:v>47.252425572308098</c:v>
                </c:pt>
                <c:pt idx="16">
                  <c:v>50.551623539679973</c:v>
                </c:pt>
                <c:pt idx="17">
                  <c:v>52.75108885126123</c:v>
                </c:pt>
                <c:pt idx="18">
                  <c:v>54.583976610912273</c:v>
                </c:pt>
                <c:pt idx="19">
                  <c:v>57.883174578284162</c:v>
                </c:pt>
                <c:pt idx="20">
                  <c:v>61.182372545656037</c:v>
                </c:pt>
                <c:pt idx="21">
                  <c:v>65.21472561688833</c:v>
                </c:pt>
                <c:pt idx="22">
                  <c:v>69.247078688120624</c:v>
                </c:pt>
                <c:pt idx="23">
                  <c:v>74.012586863213343</c:v>
                </c:pt>
                <c:pt idx="24">
                  <c:v>76.578629726724813</c:v>
                </c:pt>
                <c:pt idx="25">
                  <c:v>82.44387055760815</c:v>
                </c:pt>
                <c:pt idx="26">
                  <c:v>84.643335869189414</c:v>
                </c:pt>
                <c:pt idx="27">
                  <c:v>87.942533836561282</c:v>
                </c:pt>
                <c:pt idx="28">
                  <c:v>90.508576700072751</c:v>
                </c:pt>
                <c:pt idx="29">
                  <c:v>94.174352219374811</c:v>
                </c:pt>
                <c:pt idx="30">
                  <c:v>96.373817530956075</c:v>
                </c:pt>
                <c:pt idx="31">
                  <c:v>97.473550186746692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9-4F50-BB2C-5D5D17329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996784"/>
        <c:axId val="-54995152"/>
      </c:scatterChart>
      <c:valAx>
        <c:axId val="-5499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layout>
            <c:manualLayout>
              <c:xMode val="edge"/>
              <c:yMode val="edge"/>
              <c:x val="0.39009931359530181"/>
              <c:y val="0.92744479495268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5152"/>
        <c:crosses val="autoZero"/>
        <c:crossBetween val="midCat"/>
      </c:valAx>
      <c:valAx>
        <c:axId val="-54995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Axial, D50 [MPa]</a:t>
                </a:r>
              </a:p>
            </c:rich>
          </c:tx>
          <c:layout>
            <c:manualLayout>
              <c:xMode val="edge"/>
              <c:yMode val="edge"/>
              <c:x val="1.1881222685644111E-2"/>
              <c:y val="0.236593059936908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67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811" l="0.59055118110235738" r="0.59055118110235738" t="2.3622047244094477" header="0" footer="0"/>
    <c:pageSetup orientation="portrait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Gráfico: Tensión  v/s Deformación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9942974574865694"/>
          <c:y val="1.70857194233979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1132427123774"/>
          <c:y val="0.21370227775155864"/>
          <c:w val="0.78538679772973896"/>
          <c:h val="0.62214411518811719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'3629-06'!$J$27:$J$59</c:f>
              <c:numCache>
                <c:formatCode>0.00_)</c:formatCode>
                <c:ptCount val="33"/>
                <c:pt idx="0">
                  <c:v>0</c:v>
                </c:pt>
                <c:pt idx="1">
                  <c:v>1.0222110045431597E-2</c:v>
                </c:pt>
                <c:pt idx="2">
                  <c:v>6.6102978293790998E-2</c:v>
                </c:pt>
                <c:pt idx="3">
                  <c:v>0.15639828369510345</c:v>
                </c:pt>
                <c:pt idx="4">
                  <c:v>0.20069409389197371</c:v>
                </c:pt>
                <c:pt idx="5">
                  <c:v>0.247715800100959</c:v>
                </c:pt>
                <c:pt idx="6">
                  <c:v>0.33290005047955573</c:v>
                </c:pt>
                <c:pt idx="7">
                  <c:v>0.38775870772337195</c:v>
                </c:pt>
                <c:pt idx="8">
                  <c:v>0.43886925795052995</c:v>
                </c:pt>
                <c:pt idx="9">
                  <c:v>0.4698763250883391</c:v>
                </c:pt>
                <c:pt idx="10">
                  <c:v>0.51757950530035313</c:v>
                </c:pt>
                <c:pt idx="11">
                  <c:v>0.56323826350328099</c:v>
                </c:pt>
                <c:pt idx="12">
                  <c:v>0.61843765774861159</c:v>
                </c:pt>
                <c:pt idx="13">
                  <c:v>0.64297072185764748</c:v>
                </c:pt>
                <c:pt idx="14">
                  <c:v>0.66716304896516887</c:v>
                </c:pt>
                <c:pt idx="15">
                  <c:v>0.70805148914689531</c:v>
                </c:pt>
                <c:pt idx="16">
                  <c:v>0.74655477031802098</c:v>
                </c:pt>
                <c:pt idx="17">
                  <c:v>0.81265774861181195</c:v>
                </c:pt>
                <c:pt idx="18">
                  <c:v>0.8497980817768801</c:v>
                </c:pt>
                <c:pt idx="19">
                  <c:v>0.87160524987380095</c:v>
                </c:pt>
                <c:pt idx="20">
                  <c:v>0.90261231701161004</c:v>
                </c:pt>
                <c:pt idx="21">
                  <c:v>0.93157496214033297</c:v>
                </c:pt>
                <c:pt idx="22">
                  <c:v>0.96155981827359904</c:v>
                </c:pt>
                <c:pt idx="23">
                  <c:v>0.98881877839474985</c:v>
                </c:pt>
                <c:pt idx="24">
                  <c:v>1.0085815244825844</c:v>
                </c:pt>
                <c:pt idx="25">
                  <c:v>1.0453811206461379</c:v>
                </c:pt>
                <c:pt idx="26">
                  <c:v>1.0733215547703179</c:v>
                </c:pt>
                <c:pt idx="27">
                  <c:v>1.1346542150429073</c:v>
                </c:pt>
                <c:pt idx="28">
                  <c:v>1.1612317011610296</c:v>
                </c:pt>
                <c:pt idx="29">
                  <c:v>1.1792907622412918</c:v>
                </c:pt>
                <c:pt idx="30">
                  <c:v>1.2021201413427556</c:v>
                </c:pt>
                <c:pt idx="31">
                  <c:v>1.2334679454820796</c:v>
                </c:pt>
                <c:pt idx="32">
                  <c:v>1.3019560827864711</c:v>
                </c:pt>
              </c:numCache>
            </c:numRef>
          </c:xVal>
          <c:yVal>
            <c:numRef>
              <c:f>'3629-06'!$L$27:$L$59</c:f>
              <c:numCache>
                <c:formatCode>0.0_)</c:formatCode>
                <c:ptCount val="33"/>
                <c:pt idx="0">
                  <c:v>0</c:v>
                </c:pt>
                <c:pt idx="1">
                  <c:v>4.2918354226904674</c:v>
                </c:pt>
                <c:pt idx="2">
                  <c:v>6.4554988114217728</c:v>
                </c:pt>
                <c:pt idx="3">
                  <c:v>8.619162200153081</c:v>
                </c:pt>
                <c:pt idx="4">
                  <c:v>10.422215024095834</c:v>
                </c:pt>
                <c:pt idx="5">
                  <c:v>12.225267848038593</c:v>
                </c:pt>
                <c:pt idx="6">
                  <c:v>15.831373495924101</c:v>
                </c:pt>
                <c:pt idx="7">
                  <c:v>17.995036884655409</c:v>
                </c:pt>
                <c:pt idx="8">
                  <c:v>20.519310838175265</c:v>
                </c:pt>
                <c:pt idx="9">
                  <c:v>22.682974226906566</c:v>
                </c:pt>
                <c:pt idx="10">
                  <c:v>24.846637615637874</c:v>
                </c:pt>
                <c:pt idx="11">
                  <c:v>27.370911569157723</c:v>
                </c:pt>
                <c:pt idx="12">
                  <c:v>30.97701721704324</c:v>
                </c:pt>
                <c:pt idx="13">
                  <c:v>32.78007004098599</c:v>
                </c:pt>
                <c:pt idx="14">
                  <c:v>34.583122864928747</c:v>
                </c:pt>
                <c:pt idx="15">
                  <c:v>37.107396818448606</c:v>
                </c:pt>
                <c:pt idx="16">
                  <c:v>39.992281336757017</c:v>
                </c:pt>
                <c:pt idx="17">
                  <c:v>45.040829243796729</c:v>
                </c:pt>
                <c:pt idx="18">
                  <c:v>47.925713762105133</c:v>
                </c:pt>
                <c:pt idx="19">
                  <c:v>49.728766586047882</c:v>
                </c:pt>
                <c:pt idx="20">
                  <c:v>52.253040539567742</c:v>
                </c:pt>
                <c:pt idx="21">
                  <c:v>54.416703928299057</c:v>
                </c:pt>
                <c:pt idx="22">
                  <c:v>56.940977881818917</c:v>
                </c:pt>
                <c:pt idx="23">
                  <c:v>59.104641270550211</c:v>
                </c:pt>
                <c:pt idx="24">
                  <c:v>60.547083529704423</c:v>
                </c:pt>
                <c:pt idx="25">
                  <c:v>63.431968048012827</c:v>
                </c:pt>
                <c:pt idx="26">
                  <c:v>65.595631436744128</c:v>
                </c:pt>
                <c:pt idx="27">
                  <c:v>70.644179343783847</c:v>
                </c:pt>
                <c:pt idx="28">
                  <c:v>72.807842732515155</c:v>
                </c:pt>
                <c:pt idx="29">
                  <c:v>74.250284991669361</c:v>
                </c:pt>
                <c:pt idx="30">
                  <c:v>76.413948380400655</c:v>
                </c:pt>
                <c:pt idx="31">
                  <c:v>77.85639063955486</c:v>
                </c:pt>
                <c:pt idx="32">
                  <c:v>80.020054028286182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C-48AE-9C72-260E7087D290}"/>
            </c:ext>
          </c:extLst>
        </c:ser>
        <c:ser>
          <c:idx val="0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'3629-06'!$J$27:$J$59</c:f>
              <c:numCache>
                <c:formatCode>0.00_)</c:formatCode>
                <c:ptCount val="33"/>
                <c:pt idx="0">
                  <c:v>0</c:v>
                </c:pt>
                <c:pt idx="1">
                  <c:v>1.0222110045431597E-2</c:v>
                </c:pt>
                <c:pt idx="2">
                  <c:v>6.6102978293790998E-2</c:v>
                </c:pt>
                <c:pt idx="3">
                  <c:v>0.15639828369510345</c:v>
                </c:pt>
                <c:pt idx="4">
                  <c:v>0.20069409389197371</c:v>
                </c:pt>
                <c:pt idx="5">
                  <c:v>0.247715800100959</c:v>
                </c:pt>
                <c:pt idx="6">
                  <c:v>0.33290005047955573</c:v>
                </c:pt>
                <c:pt idx="7">
                  <c:v>0.38775870772337195</c:v>
                </c:pt>
                <c:pt idx="8">
                  <c:v>0.43886925795052995</c:v>
                </c:pt>
                <c:pt idx="9">
                  <c:v>0.4698763250883391</c:v>
                </c:pt>
                <c:pt idx="10">
                  <c:v>0.51757950530035313</c:v>
                </c:pt>
                <c:pt idx="11">
                  <c:v>0.56323826350328099</c:v>
                </c:pt>
                <c:pt idx="12">
                  <c:v>0.61843765774861159</c:v>
                </c:pt>
                <c:pt idx="13">
                  <c:v>0.64297072185764748</c:v>
                </c:pt>
                <c:pt idx="14">
                  <c:v>0.66716304896516887</c:v>
                </c:pt>
                <c:pt idx="15">
                  <c:v>0.70805148914689531</c:v>
                </c:pt>
                <c:pt idx="16">
                  <c:v>0.74655477031802098</c:v>
                </c:pt>
                <c:pt idx="17">
                  <c:v>0.81265774861181195</c:v>
                </c:pt>
                <c:pt idx="18">
                  <c:v>0.8497980817768801</c:v>
                </c:pt>
                <c:pt idx="19">
                  <c:v>0.87160524987380095</c:v>
                </c:pt>
                <c:pt idx="20">
                  <c:v>0.90261231701161004</c:v>
                </c:pt>
                <c:pt idx="21">
                  <c:v>0.93157496214033297</c:v>
                </c:pt>
                <c:pt idx="22">
                  <c:v>0.96155981827359904</c:v>
                </c:pt>
                <c:pt idx="23">
                  <c:v>0.98881877839474985</c:v>
                </c:pt>
                <c:pt idx="24">
                  <c:v>1.0085815244825844</c:v>
                </c:pt>
                <c:pt idx="25">
                  <c:v>1.0453811206461379</c:v>
                </c:pt>
                <c:pt idx="26">
                  <c:v>1.0733215547703179</c:v>
                </c:pt>
                <c:pt idx="27">
                  <c:v>1.1346542150429073</c:v>
                </c:pt>
                <c:pt idx="28">
                  <c:v>1.1612317011610296</c:v>
                </c:pt>
                <c:pt idx="29">
                  <c:v>1.1792907622412918</c:v>
                </c:pt>
                <c:pt idx="30">
                  <c:v>1.2021201413427556</c:v>
                </c:pt>
                <c:pt idx="31">
                  <c:v>1.2334679454820796</c:v>
                </c:pt>
                <c:pt idx="32">
                  <c:v>1.3019560827864711</c:v>
                </c:pt>
              </c:numCache>
            </c:numRef>
          </c:xVal>
          <c:yVal>
            <c:numRef>
              <c:f>'3629-06'!$L$27:$L$59</c:f>
              <c:numCache>
                <c:formatCode>0.0_)</c:formatCode>
                <c:ptCount val="33"/>
                <c:pt idx="0">
                  <c:v>0</c:v>
                </c:pt>
                <c:pt idx="1">
                  <c:v>4.2918354226904674</c:v>
                </c:pt>
                <c:pt idx="2">
                  <c:v>6.4554988114217728</c:v>
                </c:pt>
                <c:pt idx="3">
                  <c:v>8.619162200153081</c:v>
                </c:pt>
                <c:pt idx="4">
                  <c:v>10.422215024095834</c:v>
                </c:pt>
                <c:pt idx="5">
                  <c:v>12.225267848038593</c:v>
                </c:pt>
                <c:pt idx="6">
                  <c:v>15.831373495924101</c:v>
                </c:pt>
                <c:pt idx="7">
                  <c:v>17.995036884655409</c:v>
                </c:pt>
                <c:pt idx="8">
                  <c:v>20.519310838175265</c:v>
                </c:pt>
                <c:pt idx="9">
                  <c:v>22.682974226906566</c:v>
                </c:pt>
                <c:pt idx="10">
                  <c:v>24.846637615637874</c:v>
                </c:pt>
                <c:pt idx="11">
                  <c:v>27.370911569157723</c:v>
                </c:pt>
                <c:pt idx="12">
                  <c:v>30.97701721704324</c:v>
                </c:pt>
                <c:pt idx="13">
                  <c:v>32.78007004098599</c:v>
                </c:pt>
                <c:pt idx="14">
                  <c:v>34.583122864928747</c:v>
                </c:pt>
                <c:pt idx="15">
                  <c:v>37.107396818448606</c:v>
                </c:pt>
                <c:pt idx="16">
                  <c:v>39.992281336757017</c:v>
                </c:pt>
                <c:pt idx="17">
                  <c:v>45.040829243796729</c:v>
                </c:pt>
                <c:pt idx="18">
                  <c:v>47.925713762105133</c:v>
                </c:pt>
                <c:pt idx="19">
                  <c:v>49.728766586047882</c:v>
                </c:pt>
                <c:pt idx="20">
                  <c:v>52.253040539567742</c:v>
                </c:pt>
                <c:pt idx="21">
                  <c:v>54.416703928299057</c:v>
                </c:pt>
                <c:pt idx="22">
                  <c:v>56.940977881818917</c:v>
                </c:pt>
                <c:pt idx="23">
                  <c:v>59.104641270550211</c:v>
                </c:pt>
                <c:pt idx="24">
                  <c:v>60.547083529704423</c:v>
                </c:pt>
                <c:pt idx="25">
                  <c:v>63.431968048012827</c:v>
                </c:pt>
                <c:pt idx="26">
                  <c:v>65.595631436744128</c:v>
                </c:pt>
                <c:pt idx="27">
                  <c:v>70.644179343783847</c:v>
                </c:pt>
                <c:pt idx="28">
                  <c:v>72.807842732515155</c:v>
                </c:pt>
                <c:pt idx="29">
                  <c:v>74.250284991669361</c:v>
                </c:pt>
                <c:pt idx="30">
                  <c:v>76.413948380400655</c:v>
                </c:pt>
                <c:pt idx="31">
                  <c:v>77.85639063955486</c:v>
                </c:pt>
                <c:pt idx="32">
                  <c:v>80.020054028286182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C-48AE-9C72-260E7087D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996784"/>
        <c:axId val="-54995152"/>
      </c:scatterChart>
      <c:valAx>
        <c:axId val="-5499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layout>
            <c:manualLayout>
              <c:xMode val="edge"/>
              <c:yMode val="edge"/>
              <c:x val="0.39009931359530181"/>
              <c:y val="0.92744479495268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5152"/>
        <c:crosses val="autoZero"/>
        <c:crossBetween val="midCat"/>
      </c:valAx>
      <c:valAx>
        <c:axId val="-54995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Axial, D50 [MPa]</a:t>
                </a:r>
              </a:p>
            </c:rich>
          </c:tx>
          <c:layout>
            <c:manualLayout>
              <c:xMode val="edge"/>
              <c:yMode val="edge"/>
              <c:x val="1.1881222685644111E-2"/>
              <c:y val="0.236593059936908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67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811" l="0.59055118110235738" r="0.59055118110235738" t="2.3622047244094477" header="0" footer="0"/>
    <c:pageSetup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Gráfico: Tensión  v/s Deformación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 sz="9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:rich>
      </c:tx>
      <c:layout>
        <c:manualLayout>
          <c:xMode val="edge"/>
          <c:yMode val="edge"/>
          <c:x val="0.29942974574865694"/>
          <c:y val="1.70857194233979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1132427123774"/>
          <c:y val="0.21370227775155864"/>
          <c:w val="0.78538679772973896"/>
          <c:h val="0.62214411518811719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'3629-14'!$J$27:$J$59</c:f>
              <c:numCache>
                <c:formatCode>0.00_)</c:formatCode>
                <c:ptCount val="33"/>
                <c:pt idx="0">
                  <c:v>0</c:v>
                </c:pt>
                <c:pt idx="1">
                  <c:v>6.3997005988023952E-3</c:v>
                </c:pt>
                <c:pt idx="2">
                  <c:v>7.3764970059880239E-2</c:v>
                </c:pt>
                <c:pt idx="3">
                  <c:v>0.15022455089820358</c:v>
                </c:pt>
                <c:pt idx="4">
                  <c:v>0.23813622754491015</c:v>
                </c:pt>
                <c:pt idx="5">
                  <c:v>0.2751871257485029</c:v>
                </c:pt>
                <c:pt idx="6">
                  <c:v>0.32907934131736527</c:v>
                </c:pt>
                <c:pt idx="7">
                  <c:v>0.35703592814371254</c:v>
                </c:pt>
                <c:pt idx="8">
                  <c:v>0.42305389221556883</c:v>
                </c:pt>
                <c:pt idx="9">
                  <c:v>0.44898952095808387</c:v>
                </c:pt>
                <c:pt idx="10">
                  <c:v>0.4877245508982036</c:v>
                </c:pt>
                <c:pt idx="11">
                  <c:v>0.51163922155688613</c:v>
                </c:pt>
                <c:pt idx="12">
                  <c:v>0.56014221556886223</c:v>
                </c:pt>
                <c:pt idx="13">
                  <c:v>0.58944610778443107</c:v>
                </c:pt>
                <c:pt idx="14">
                  <c:v>0.61740269461077846</c:v>
                </c:pt>
                <c:pt idx="15">
                  <c:v>0.64098053892215567</c:v>
                </c:pt>
                <c:pt idx="16">
                  <c:v>0.67365269461077837</c:v>
                </c:pt>
                <c:pt idx="17">
                  <c:v>0.70059880239520944</c:v>
                </c:pt>
                <c:pt idx="18">
                  <c:v>0.73124999999999996</c:v>
                </c:pt>
                <c:pt idx="19">
                  <c:v>0.74910179640718566</c:v>
                </c:pt>
                <c:pt idx="20">
                  <c:v>0.77638473053892199</c:v>
                </c:pt>
                <c:pt idx="21">
                  <c:v>0.79794161676646702</c:v>
                </c:pt>
                <c:pt idx="22">
                  <c:v>0.815119760479042</c:v>
                </c:pt>
                <c:pt idx="23">
                  <c:v>0.85082335329341308</c:v>
                </c:pt>
                <c:pt idx="24">
                  <c:v>0.87810628742514973</c:v>
                </c:pt>
                <c:pt idx="25">
                  <c:v>0.89056886227544907</c:v>
                </c:pt>
                <c:pt idx="26">
                  <c:v>0.95119760479041915</c:v>
                </c:pt>
                <c:pt idx="27">
                  <c:v>0.9784805389221557</c:v>
                </c:pt>
                <c:pt idx="28">
                  <c:v>1.0165419161676645</c:v>
                </c:pt>
                <c:pt idx="29">
                  <c:v>1.0421407185628742</c:v>
                </c:pt>
                <c:pt idx="30">
                  <c:v>1.0552769461077842</c:v>
                </c:pt>
                <c:pt idx="31">
                  <c:v>1.0778443113772456</c:v>
                </c:pt>
                <c:pt idx="32">
                  <c:v>1.1340943113772455</c:v>
                </c:pt>
              </c:numCache>
            </c:numRef>
          </c:xVal>
          <c:yVal>
            <c:numRef>
              <c:f>'3629-14'!$L$27:$L$59</c:f>
              <c:numCache>
                <c:formatCode>0.0_)</c:formatCode>
                <c:ptCount val="33"/>
                <c:pt idx="0">
                  <c:v>0</c:v>
                </c:pt>
                <c:pt idx="1">
                  <c:v>4.2890322355026509</c:v>
                </c:pt>
                <c:pt idx="2">
                  <c:v>7.5324075424807582</c:v>
                </c:pt>
                <c:pt idx="3">
                  <c:v>10.775782849458865</c:v>
                </c:pt>
                <c:pt idx="4">
                  <c:v>14.73990822465433</c:v>
                </c:pt>
                <c:pt idx="5">
                  <c:v>16.541783395197722</c:v>
                </c:pt>
                <c:pt idx="6">
                  <c:v>19.42478366806715</c:v>
                </c:pt>
                <c:pt idx="7">
                  <c:v>21.226658838610543</c:v>
                </c:pt>
                <c:pt idx="8">
                  <c:v>25.190784213806005</c:v>
                </c:pt>
                <c:pt idx="9">
                  <c:v>26.992659384349398</c:v>
                </c:pt>
                <c:pt idx="10">
                  <c:v>29.875659657218829</c:v>
                </c:pt>
                <c:pt idx="11">
                  <c:v>31.677534827762223</c:v>
                </c:pt>
                <c:pt idx="12">
                  <c:v>35.28128516884901</c:v>
                </c:pt>
                <c:pt idx="13">
                  <c:v>37.803910407609756</c:v>
                </c:pt>
                <c:pt idx="14">
                  <c:v>40.326535646370509</c:v>
                </c:pt>
                <c:pt idx="15">
                  <c:v>42.128410816913899</c:v>
                </c:pt>
                <c:pt idx="16">
                  <c:v>45.01141108978333</c:v>
                </c:pt>
                <c:pt idx="17">
                  <c:v>47.534036328544083</c:v>
                </c:pt>
                <c:pt idx="18">
                  <c:v>50.777411635522192</c:v>
                </c:pt>
                <c:pt idx="19">
                  <c:v>52.939661840174246</c:v>
                </c:pt>
                <c:pt idx="20">
                  <c:v>55.822662113043691</c:v>
                </c:pt>
                <c:pt idx="21">
                  <c:v>57.984912317695759</c:v>
                </c:pt>
                <c:pt idx="22">
                  <c:v>60.147162522347834</c:v>
                </c:pt>
                <c:pt idx="23">
                  <c:v>64.471662931651963</c:v>
                </c:pt>
                <c:pt idx="24">
                  <c:v>67.715038238630072</c:v>
                </c:pt>
                <c:pt idx="25">
                  <c:v>69.87728844328214</c:v>
                </c:pt>
                <c:pt idx="26">
                  <c:v>77.084789125455714</c:v>
                </c:pt>
                <c:pt idx="27">
                  <c:v>80.688539466542508</c:v>
                </c:pt>
                <c:pt idx="28">
                  <c:v>84.292289807629288</c:v>
                </c:pt>
                <c:pt idx="29">
                  <c:v>87.175290080498712</c:v>
                </c:pt>
                <c:pt idx="30">
                  <c:v>88.977165251042109</c:v>
                </c:pt>
                <c:pt idx="31">
                  <c:v>91.499790489802862</c:v>
                </c:pt>
                <c:pt idx="32">
                  <c:v>95.463915864998313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50-4646-B7FB-E9ECB94A9F0B}"/>
            </c:ext>
          </c:extLst>
        </c:ser>
        <c:ser>
          <c:idx val="0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'3629-14'!$J$27:$J$59</c:f>
              <c:numCache>
                <c:formatCode>0.00_)</c:formatCode>
                <c:ptCount val="33"/>
                <c:pt idx="0">
                  <c:v>0</c:v>
                </c:pt>
                <c:pt idx="1">
                  <c:v>6.3997005988023952E-3</c:v>
                </c:pt>
                <c:pt idx="2">
                  <c:v>7.3764970059880239E-2</c:v>
                </c:pt>
                <c:pt idx="3">
                  <c:v>0.15022455089820358</c:v>
                </c:pt>
                <c:pt idx="4">
                  <c:v>0.23813622754491015</c:v>
                </c:pt>
                <c:pt idx="5">
                  <c:v>0.2751871257485029</c:v>
                </c:pt>
                <c:pt idx="6">
                  <c:v>0.32907934131736527</c:v>
                </c:pt>
                <c:pt idx="7">
                  <c:v>0.35703592814371254</c:v>
                </c:pt>
                <c:pt idx="8">
                  <c:v>0.42305389221556883</c:v>
                </c:pt>
                <c:pt idx="9">
                  <c:v>0.44898952095808387</c:v>
                </c:pt>
                <c:pt idx="10">
                  <c:v>0.4877245508982036</c:v>
                </c:pt>
                <c:pt idx="11">
                  <c:v>0.51163922155688613</c:v>
                </c:pt>
                <c:pt idx="12">
                  <c:v>0.56014221556886223</c:v>
                </c:pt>
                <c:pt idx="13">
                  <c:v>0.58944610778443107</c:v>
                </c:pt>
                <c:pt idx="14">
                  <c:v>0.61740269461077846</c:v>
                </c:pt>
                <c:pt idx="15">
                  <c:v>0.64098053892215567</c:v>
                </c:pt>
                <c:pt idx="16">
                  <c:v>0.67365269461077837</c:v>
                </c:pt>
                <c:pt idx="17">
                  <c:v>0.70059880239520944</c:v>
                </c:pt>
                <c:pt idx="18">
                  <c:v>0.73124999999999996</c:v>
                </c:pt>
                <c:pt idx="19">
                  <c:v>0.74910179640718566</c:v>
                </c:pt>
                <c:pt idx="20">
                  <c:v>0.77638473053892199</c:v>
                </c:pt>
                <c:pt idx="21">
                  <c:v>0.79794161676646702</c:v>
                </c:pt>
                <c:pt idx="22">
                  <c:v>0.815119760479042</c:v>
                </c:pt>
                <c:pt idx="23">
                  <c:v>0.85082335329341308</c:v>
                </c:pt>
                <c:pt idx="24">
                  <c:v>0.87810628742514973</c:v>
                </c:pt>
                <c:pt idx="25">
                  <c:v>0.89056886227544907</c:v>
                </c:pt>
                <c:pt idx="26">
                  <c:v>0.95119760479041915</c:v>
                </c:pt>
                <c:pt idx="27">
                  <c:v>0.9784805389221557</c:v>
                </c:pt>
                <c:pt idx="28">
                  <c:v>1.0165419161676645</c:v>
                </c:pt>
                <c:pt idx="29">
                  <c:v>1.0421407185628742</c:v>
                </c:pt>
                <c:pt idx="30">
                  <c:v>1.0552769461077842</c:v>
                </c:pt>
                <c:pt idx="31">
                  <c:v>1.0778443113772456</c:v>
                </c:pt>
                <c:pt idx="32">
                  <c:v>1.1340943113772455</c:v>
                </c:pt>
              </c:numCache>
            </c:numRef>
          </c:xVal>
          <c:yVal>
            <c:numRef>
              <c:f>'3629-14'!$L$27:$L$59</c:f>
              <c:numCache>
                <c:formatCode>0.0_)</c:formatCode>
                <c:ptCount val="33"/>
                <c:pt idx="0">
                  <c:v>0</c:v>
                </c:pt>
                <c:pt idx="1">
                  <c:v>4.2890322355026509</c:v>
                </c:pt>
                <c:pt idx="2">
                  <c:v>7.5324075424807582</c:v>
                </c:pt>
                <c:pt idx="3">
                  <c:v>10.775782849458865</c:v>
                </c:pt>
                <c:pt idx="4">
                  <c:v>14.73990822465433</c:v>
                </c:pt>
                <c:pt idx="5">
                  <c:v>16.541783395197722</c:v>
                </c:pt>
                <c:pt idx="6">
                  <c:v>19.42478366806715</c:v>
                </c:pt>
                <c:pt idx="7">
                  <c:v>21.226658838610543</c:v>
                </c:pt>
                <c:pt idx="8">
                  <c:v>25.190784213806005</c:v>
                </c:pt>
                <c:pt idx="9">
                  <c:v>26.992659384349398</c:v>
                </c:pt>
                <c:pt idx="10">
                  <c:v>29.875659657218829</c:v>
                </c:pt>
                <c:pt idx="11">
                  <c:v>31.677534827762223</c:v>
                </c:pt>
                <c:pt idx="12">
                  <c:v>35.28128516884901</c:v>
                </c:pt>
                <c:pt idx="13">
                  <c:v>37.803910407609756</c:v>
                </c:pt>
                <c:pt idx="14">
                  <c:v>40.326535646370509</c:v>
                </c:pt>
                <c:pt idx="15">
                  <c:v>42.128410816913899</c:v>
                </c:pt>
                <c:pt idx="16">
                  <c:v>45.01141108978333</c:v>
                </c:pt>
                <c:pt idx="17">
                  <c:v>47.534036328544083</c:v>
                </c:pt>
                <c:pt idx="18">
                  <c:v>50.777411635522192</c:v>
                </c:pt>
                <c:pt idx="19">
                  <c:v>52.939661840174246</c:v>
                </c:pt>
                <c:pt idx="20">
                  <c:v>55.822662113043691</c:v>
                </c:pt>
                <c:pt idx="21">
                  <c:v>57.984912317695759</c:v>
                </c:pt>
                <c:pt idx="22">
                  <c:v>60.147162522347834</c:v>
                </c:pt>
                <c:pt idx="23">
                  <c:v>64.471662931651963</c:v>
                </c:pt>
                <c:pt idx="24">
                  <c:v>67.715038238630072</c:v>
                </c:pt>
                <c:pt idx="25">
                  <c:v>69.87728844328214</c:v>
                </c:pt>
                <c:pt idx="26">
                  <c:v>77.084789125455714</c:v>
                </c:pt>
                <c:pt idx="27">
                  <c:v>80.688539466542508</c:v>
                </c:pt>
                <c:pt idx="28">
                  <c:v>84.292289807629288</c:v>
                </c:pt>
                <c:pt idx="29">
                  <c:v>87.175290080498712</c:v>
                </c:pt>
                <c:pt idx="30">
                  <c:v>88.977165251042109</c:v>
                </c:pt>
                <c:pt idx="31">
                  <c:v>91.499790489802862</c:v>
                </c:pt>
                <c:pt idx="32">
                  <c:v>95.463915864998313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50-4646-B7FB-E9ECB94A9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4996784"/>
        <c:axId val="-54995152"/>
      </c:scatterChart>
      <c:valAx>
        <c:axId val="-5499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layout>
            <c:manualLayout>
              <c:xMode val="edge"/>
              <c:yMode val="edge"/>
              <c:x val="0.39009931359530181"/>
              <c:y val="0.927444794952681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5152"/>
        <c:crosses val="autoZero"/>
        <c:crossBetween val="midCat"/>
      </c:valAx>
      <c:valAx>
        <c:axId val="-549951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Axial, D50 [MPa]</a:t>
                </a:r>
              </a:p>
            </c:rich>
          </c:tx>
          <c:layout>
            <c:manualLayout>
              <c:xMode val="edge"/>
              <c:yMode val="edge"/>
              <c:x val="1.1881222685644111E-2"/>
              <c:y val="0.236593059936908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-5499678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811" l="0.59055118110235738" r="0.59055118110235738" t="2.3622047244094477" header="0" footer="0"/>
    <c:pageSetup orientation="portrait" horizontalDpi="300" verticalDpi="300"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6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7" Type="http://schemas.openxmlformats.org/officeDocument/2006/relationships/image" Target="../media/image12.jpeg"/><Relationship Id="rId2" Type="http://schemas.openxmlformats.org/officeDocument/2006/relationships/image" Target="../media/image7.jpeg"/><Relationship Id="rId1" Type="http://schemas.openxmlformats.org/officeDocument/2006/relationships/chart" Target="../charts/chart2.xml"/><Relationship Id="rId6" Type="http://schemas.openxmlformats.org/officeDocument/2006/relationships/image" Target="../media/image11.jpeg"/><Relationship Id="rId5" Type="http://schemas.openxmlformats.org/officeDocument/2006/relationships/image" Target="../media/image10.jpeg"/><Relationship Id="rId4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7" Type="http://schemas.openxmlformats.org/officeDocument/2006/relationships/image" Target="../media/image18.jpeg"/><Relationship Id="rId2" Type="http://schemas.openxmlformats.org/officeDocument/2006/relationships/image" Target="../media/image13.jpeg"/><Relationship Id="rId1" Type="http://schemas.openxmlformats.org/officeDocument/2006/relationships/chart" Target="../charts/chart3.xml"/><Relationship Id="rId6" Type="http://schemas.openxmlformats.org/officeDocument/2006/relationships/image" Target="../media/image17.jpeg"/><Relationship Id="rId5" Type="http://schemas.openxmlformats.org/officeDocument/2006/relationships/image" Target="../media/image16.jpeg"/><Relationship Id="rId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9</xdr:col>
      <xdr:colOff>0</xdr:colOff>
      <xdr:row>11</xdr:row>
      <xdr:rowOff>0</xdr:rowOff>
    </xdr:to>
    <xdr:sp macro="[0]!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95975" y="971550"/>
          <a:ext cx="1714500" cy="80962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10</xdr:col>
      <xdr:colOff>1</xdr:colOff>
      <xdr:row>6</xdr:row>
      <xdr:rowOff>0</xdr:rowOff>
    </xdr:from>
    <xdr:to>
      <xdr:col>12</xdr:col>
      <xdr:colOff>1</xdr:colOff>
      <xdr:row>11</xdr:row>
      <xdr:rowOff>0</xdr:rowOff>
    </xdr:to>
    <xdr:sp macro="[0]!CambiaNombres" textlink="">
      <xdr:nvSpPr>
        <xdr:cNvPr id="3" name="4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448676" y="971550"/>
          <a:ext cx="1676400" cy="80962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23</xdr:row>
      <xdr:rowOff>9525</xdr:rowOff>
    </xdr:from>
    <xdr:to>
      <xdr:col>18</xdr:col>
      <xdr:colOff>9525</xdr:colOff>
      <xdr:row>38</xdr:row>
      <xdr:rowOff>171450</xdr:rowOff>
    </xdr:to>
    <xdr:graphicFrame macro="">
      <xdr:nvGraphicFramePr>
        <xdr:cNvPr id="163868" name="Chart 1">
          <a:extLst>
            <a:ext uri="{FF2B5EF4-FFF2-40B4-BE49-F238E27FC236}">
              <a16:creationId xmlns:a16="http://schemas.microsoft.com/office/drawing/2014/main" id="{00000000-0008-0000-0100-00001C8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649197</xdr:colOff>
      <xdr:row>24</xdr:row>
      <xdr:rowOff>5172</xdr:rowOff>
    </xdr:from>
    <xdr:to>
      <xdr:col>24</xdr:col>
      <xdr:colOff>144358</xdr:colOff>
      <xdr:row>26</xdr:row>
      <xdr:rowOff>33702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7156022" y="4767672"/>
          <a:ext cx="3162286" cy="409530"/>
          <a:chOff x="25491281" y="3321844"/>
          <a:chExt cx="3215513" cy="416090"/>
        </a:xfrm>
      </xdr:grpSpPr>
      <xdr:sp macro="" textlink="$AE$2">
        <xdr:nvSpPr>
          <xdr:cNvPr id="28" name="CuadroTexto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32" name="CuadroTexto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25492106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19</xdr:col>
      <xdr:colOff>637881</xdr:colOff>
      <xdr:row>25</xdr:row>
      <xdr:rowOff>150481</xdr:rowOff>
    </xdr:from>
    <xdr:to>
      <xdr:col>23</xdr:col>
      <xdr:colOff>321880</xdr:colOff>
      <xdr:row>27</xdr:row>
      <xdr:rowOff>3851</xdr:rowOff>
    </xdr:to>
    <xdr:sp macro="" textlink="$AE$4">
      <xdr:nvSpPr>
        <xdr:cNvPr id="34" name="CuadroTex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17144706" y="5103481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278539</xdr:colOff>
      <xdr:row>24</xdr:row>
      <xdr:rowOff>13144</xdr:rowOff>
    </xdr:from>
    <xdr:to>
      <xdr:col>29</xdr:col>
      <xdr:colOff>334026</xdr:colOff>
      <xdr:row>26</xdr:row>
      <xdr:rowOff>41674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/>
      </xdr:nvGrpSpPr>
      <xdr:grpSpPr>
        <a:xfrm>
          <a:off x="20452489" y="4775644"/>
          <a:ext cx="3351137" cy="409530"/>
          <a:chOff x="25491281" y="3321844"/>
          <a:chExt cx="3224156" cy="416090"/>
        </a:xfrm>
      </xdr:grpSpPr>
      <xdr:sp macro="" textlink="$AE$2">
        <xdr:nvSpPr>
          <xdr:cNvPr id="46" name="CuadroTexto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47" name="CuadroTexto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 txBox="1"/>
        </xdr:nvSpPr>
        <xdr:spPr>
          <a:xfrm>
            <a:off x="25500749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291335</xdr:colOff>
      <xdr:row>25</xdr:row>
      <xdr:rowOff>164224</xdr:rowOff>
    </xdr:from>
    <xdr:to>
      <xdr:col>28</xdr:col>
      <xdr:colOff>349764</xdr:colOff>
      <xdr:row>27</xdr:row>
      <xdr:rowOff>17594</xdr:rowOff>
    </xdr:to>
    <xdr:sp macro="" textlink="$AE$4">
      <xdr:nvSpPr>
        <xdr:cNvPr id="49" name="Cuadro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19569935" y="5117224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668212</xdr:colOff>
      <xdr:row>49</xdr:row>
      <xdr:rowOff>7227</xdr:rowOff>
    </xdr:from>
    <xdr:to>
      <xdr:col>24</xdr:col>
      <xdr:colOff>163373</xdr:colOff>
      <xdr:row>51</xdr:row>
      <xdr:rowOff>45284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17175037" y="9532227"/>
          <a:ext cx="3162286" cy="419057"/>
          <a:chOff x="25491281" y="3302488"/>
          <a:chExt cx="3215513" cy="425770"/>
        </a:xfrm>
      </xdr:grpSpPr>
      <xdr:sp macro="" textlink="$AE$2">
        <xdr:nvSpPr>
          <xdr:cNvPr id="51" name="CuadroTexto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/>
        </xdr:nvSpPr>
        <xdr:spPr>
          <a:xfrm>
            <a:off x="25491281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68" name="CuadroTexto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 txBox="1"/>
        </xdr:nvSpPr>
        <xdr:spPr>
          <a:xfrm>
            <a:off x="25492106" y="34901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653940</xdr:colOff>
      <xdr:row>50</xdr:row>
      <xdr:rowOff>156153</xdr:rowOff>
    </xdr:from>
    <xdr:to>
      <xdr:col>23</xdr:col>
      <xdr:colOff>337939</xdr:colOff>
      <xdr:row>52</xdr:row>
      <xdr:rowOff>9523</xdr:rowOff>
    </xdr:to>
    <xdr:sp macro="" textlink="$AE$4">
      <xdr:nvSpPr>
        <xdr:cNvPr id="70" name="CuadroText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7160765" y="9871653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303804</xdr:colOff>
      <xdr:row>49</xdr:row>
      <xdr:rowOff>13141</xdr:rowOff>
    </xdr:from>
    <xdr:to>
      <xdr:col>29</xdr:col>
      <xdr:colOff>349766</xdr:colOff>
      <xdr:row>51</xdr:row>
      <xdr:rowOff>51196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pSpPr/>
      </xdr:nvGrpSpPr>
      <xdr:grpSpPr>
        <a:xfrm>
          <a:off x="20477754" y="9538141"/>
          <a:ext cx="3341612" cy="419055"/>
          <a:chOff x="25491281" y="3321844"/>
          <a:chExt cx="3214992" cy="425768"/>
        </a:xfrm>
      </xdr:grpSpPr>
      <xdr:sp macro="" textlink="$AE$2">
        <xdr:nvSpPr>
          <xdr:cNvPr id="72" name="CuadroTexto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73" name="CuadroTexto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25491585" y="3509487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24</xdr:col>
      <xdr:colOff>301517</xdr:colOff>
      <xdr:row>50</xdr:row>
      <xdr:rowOff>177503</xdr:rowOff>
    </xdr:from>
    <xdr:to>
      <xdr:col>28</xdr:col>
      <xdr:colOff>359946</xdr:colOff>
      <xdr:row>52</xdr:row>
      <xdr:rowOff>30873</xdr:rowOff>
    </xdr:to>
    <xdr:sp macro="" textlink="$AE$4">
      <xdr:nvSpPr>
        <xdr:cNvPr id="75" name="CuadroTexto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/>
      </xdr:nvSpPr>
      <xdr:spPr>
        <a:xfrm>
          <a:off x="19580117" y="9893003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660986</xdr:colOff>
      <xdr:row>74</xdr:row>
      <xdr:rowOff>32852</xdr:rowOff>
    </xdr:from>
    <xdr:to>
      <xdr:col>24</xdr:col>
      <xdr:colOff>156147</xdr:colOff>
      <xdr:row>76</xdr:row>
      <xdr:rowOff>51858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/>
      </xdr:nvGrpSpPr>
      <xdr:grpSpPr>
        <a:xfrm>
          <a:off x="17167811" y="14320352"/>
          <a:ext cx="3162286" cy="400006"/>
          <a:chOff x="25500966" y="3302488"/>
          <a:chExt cx="3215513" cy="406413"/>
        </a:xfrm>
      </xdr:grpSpPr>
      <xdr:sp macro="" textlink="$AE$2">
        <xdr:nvSpPr>
          <xdr:cNvPr id="77" name="CuadroTexto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 txBox="1"/>
        </xdr:nvSpPr>
        <xdr:spPr>
          <a:xfrm>
            <a:off x="25500966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78" name="CuadroTexto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 txBox="1"/>
        </xdr:nvSpPr>
        <xdr:spPr>
          <a:xfrm>
            <a:off x="25501791" y="34707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659195</xdr:colOff>
      <xdr:row>75</xdr:row>
      <xdr:rowOff>178159</xdr:rowOff>
    </xdr:from>
    <xdr:to>
      <xdr:col>23</xdr:col>
      <xdr:colOff>343194</xdr:colOff>
      <xdr:row>77</xdr:row>
      <xdr:rowOff>31529</xdr:rowOff>
    </xdr:to>
    <xdr:sp macro="" textlink="$AE$4">
      <xdr:nvSpPr>
        <xdr:cNvPr id="80" name="CuadroTexto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17166020" y="14656159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297235</xdr:colOff>
      <xdr:row>74</xdr:row>
      <xdr:rowOff>13150</xdr:rowOff>
    </xdr:from>
    <xdr:to>
      <xdr:col>29</xdr:col>
      <xdr:colOff>343197</xdr:colOff>
      <xdr:row>76</xdr:row>
      <xdr:rowOff>22630</xdr:rowOff>
    </xdr:to>
    <xdr:grpSp>
      <xdr:nvGrpSpPr>
        <xdr:cNvPr id="81" name="Grupo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pSpPr/>
      </xdr:nvGrpSpPr>
      <xdr:grpSpPr>
        <a:xfrm>
          <a:off x="20471185" y="14300650"/>
          <a:ext cx="3341612" cy="390480"/>
          <a:chOff x="25491281" y="3321844"/>
          <a:chExt cx="3214992" cy="396734"/>
        </a:xfrm>
      </xdr:grpSpPr>
      <xdr:sp macro="" textlink="$AE$2">
        <xdr:nvSpPr>
          <xdr:cNvPr id="82" name="CuadroTexto 8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83" name="CuadroTexto 82">
            <a:extLst>
              <a:ext uri="{FF2B5EF4-FFF2-40B4-BE49-F238E27FC236}">
                <a16:creationId xmlns:a16="http://schemas.microsoft.com/office/drawing/2014/main" id="{00000000-0008-0000-0100-000053000000}"/>
              </a:ext>
            </a:extLst>
          </xdr:cNvPr>
          <xdr:cNvSpPr txBox="1"/>
        </xdr:nvSpPr>
        <xdr:spPr>
          <a:xfrm>
            <a:off x="25491585" y="348045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(02,16-02,50) 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294948</xdr:colOff>
      <xdr:row>75</xdr:row>
      <xdr:rowOff>167977</xdr:rowOff>
    </xdr:from>
    <xdr:to>
      <xdr:col>28</xdr:col>
      <xdr:colOff>353377</xdr:colOff>
      <xdr:row>77</xdr:row>
      <xdr:rowOff>21347</xdr:rowOff>
    </xdr:to>
    <xdr:sp macro="" textlink="$AE$4">
      <xdr:nvSpPr>
        <xdr:cNvPr id="85" name="CuadroTexto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19573548" y="14645977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20</xdr:col>
      <xdr:colOff>552451</xdr:colOff>
      <xdr:row>77</xdr:row>
      <xdr:rowOff>19051</xdr:rowOff>
    </xdr:from>
    <xdr:to>
      <xdr:col>23</xdr:col>
      <xdr:colOff>47626</xdr:colOff>
      <xdr:row>78</xdr:row>
      <xdr:rowOff>28576</xdr:rowOff>
    </xdr:to>
    <xdr:sp macro="" textlink="">
      <xdr:nvSpPr>
        <xdr:cNvPr id="35" name="Text Box 10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>
          <a:spLocks noChangeArrowheads="1"/>
        </xdr:cNvSpPr>
      </xdr:nvSpPr>
      <xdr:spPr bwMode="auto">
        <a:xfrm>
          <a:off x="16897351" y="14878051"/>
          <a:ext cx="16954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26</xdr:col>
      <xdr:colOff>76200</xdr:colOff>
      <xdr:row>77</xdr:row>
      <xdr:rowOff>19051</xdr:rowOff>
    </xdr:from>
    <xdr:to>
      <xdr:col>28</xdr:col>
      <xdr:colOff>9525</xdr:colOff>
      <xdr:row>78</xdr:row>
      <xdr:rowOff>19051</xdr:rowOff>
    </xdr:to>
    <xdr:sp macro="" textlink="">
      <xdr:nvSpPr>
        <xdr:cNvPr id="36" name="Text Box 1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>
          <a:spLocks noChangeArrowheads="1"/>
        </xdr:cNvSpPr>
      </xdr:nvSpPr>
      <xdr:spPr bwMode="auto">
        <a:xfrm>
          <a:off x="20450175" y="14878051"/>
          <a:ext cx="14001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20</xdr:col>
      <xdr:colOff>7710</xdr:colOff>
      <xdr:row>4</xdr:row>
      <xdr:rowOff>9525</xdr:rowOff>
    </xdr:from>
    <xdr:to>
      <xdr:col>24</xdr:col>
      <xdr:colOff>0</xdr:colOff>
      <xdr:row>24</xdr:row>
      <xdr:rowOff>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563719D-049C-4E80-9C5C-E867D7EC1F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47960" y="771525"/>
          <a:ext cx="2925990" cy="3990976"/>
        </a:xfrm>
        <a:prstGeom prst="rect">
          <a:avLst/>
        </a:prstGeom>
      </xdr:spPr>
    </xdr:pic>
    <xdr:clientData/>
  </xdr:twoCellAnchor>
  <xdr:twoCellAnchor editAs="oneCell">
    <xdr:from>
      <xdr:col>20</xdr:col>
      <xdr:colOff>774</xdr:colOff>
      <xdr:row>27</xdr:row>
      <xdr:rowOff>171450</xdr:rowOff>
    </xdr:from>
    <xdr:to>
      <xdr:col>24</xdr:col>
      <xdr:colOff>9525</xdr:colOff>
      <xdr:row>49</xdr:row>
      <xdr:rowOff>9526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6F46408-ED7A-4CED-802D-C02E5DCC31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41024" y="5505450"/>
          <a:ext cx="2942451" cy="4029076"/>
        </a:xfrm>
        <a:prstGeom prst="rect">
          <a:avLst/>
        </a:prstGeom>
      </xdr:spPr>
    </xdr:pic>
    <xdr:clientData/>
  </xdr:twoCellAnchor>
  <xdr:twoCellAnchor editAs="oneCell">
    <xdr:from>
      <xdr:col>20</xdr:col>
      <xdr:colOff>8354</xdr:colOff>
      <xdr:row>52</xdr:row>
      <xdr:rowOff>180975</xdr:rowOff>
    </xdr:from>
    <xdr:to>
      <xdr:col>24</xdr:col>
      <xdr:colOff>0</xdr:colOff>
      <xdr:row>74</xdr:row>
      <xdr:rowOff>9525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D1044EF-90F8-4369-B20C-F7770A3A07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48604" y="10277475"/>
          <a:ext cx="2925346" cy="4019550"/>
        </a:xfrm>
        <a:prstGeom prst="rect">
          <a:avLst/>
        </a:prstGeom>
      </xdr:spPr>
    </xdr:pic>
    <xdr:clientData/>
  </xdr:twoCellAnchor>
  <xdr:twoCellAnchor editAs="oneCell">
    <xdr:from>
      <xdr:col>25</xdr:col>
      <xdr:colOff>1</xdr:colOff>
      <xdr:row>4</xdr:row>
      <xdr:rowOff>9525</xdr:rowOff>
    </xdr:from>
    <xdr:to>
      <xdr:col>29</xdr:col>
      <xdr:colOff>533401</xdr:colOff>
      <xdr:row>24</xdr:row>
      <xdr:rowOff>6322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6EA191D-789A-43C7-AF25-784B9FEA12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35901" y="771525"/>
          <a:ext cx="3467100" cy="3997297"/>
        </a:xfrm>
        <a:prstGeom prst="rect">
          <a:avLst/>
        </a:prstGeom>
      </xdr:spPr>
    </xdr:pic>
    <xdr:clientData/>
  </xdr:twoCellAnchor>
  <xdr:twoCellAnchor editAs="oneCell">
    <xdr:from>
      <xdr:col>25</xdr:col>
      <xdr:colOff>5456</xdr:colOff>
      <xdr:row>28</xdr:row>
      <xdr:rowOff>9524</xdr:rowOff>
    </xdr:from>
    <xdr:to>
      <xdr:col>29</xdr:col>
      <xdr:colOff>542925</xdr:colOff>
      <xdr:row>48</xdr:row>
      <xdr:rowOff>187373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308496A-2ADA-41AF-B860-7762FC4AA2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41356" y="5534024"/>
          <a:ext cx="3471169" cy="3987849"/>
        </a:xfrm>
        <a:prstGeom prst="rect">
          <a:avLst/>
        </a:prstGeom>
      </xdr:spPr>
    </xdr:pic>
    <xdr:clientData/>
  </xdr:twoCellAnchor>
  <xdr:twoCellAnchor editAs="oneCell">
    <xdr:from>
      <xdr:col>25</xdr:col>
      <xdr:colOff>10170</xdr:colOff>
      <xdr:row>53</xdr:row>
      <xdr:rowOff>0</xdr:rowOff>
    </xdr:from>
    <xdr:to>
      <xdr:col>29</xdr:col>
      <xdr:colOff>542926</xdr:colOff>
      <xdr:row>74</xdr:row>
      <xdr:rowOff>2638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3E7AE33-5224-49CA-8040-152607D7A8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l="-2"/>
        <a:stretch/>
      </xdr:blipFill>
      <xdr:spPr>
        <a:xfrm>
          <a:off x="20546070" y="10287000"/>
          <a:ext cx="3466456" cy="4003138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0.17864</cdr:x>
      <cdr:y>0.06497</cdr:y>
    </cdr:from>
    <cdr:to>
      <cdr:x>0.95526</cdr:x>
      <cdr:y>0.14161</cdr:y>
    </cdr:to>
    <cdr:sp macro="" textlink="'3629-02'!$AE$2">
      <cdr:nvSpPr>
        <cdr:cNvPr id="4" name="2 CuadroTexto"/>
        <cdr:cNvSpPr txBox="1"/>
      </cdr:nvSpPr>
      <cdr:spPr>
        <a:xfrm xmlns:a="http://schemas.openxmlformats.org/drawingml/2006/main">
          <a:off x="714858" y="199326"/>
          <a:ext cx="3107733" cy="2351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pPr algn="ctr"/>
          <a:fld id="{18F2A86C-E822-47F2-930C-3349BE422B2C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C1BH-L12-L10-3+830-C</a:t>
          </a:fld>
          <a:endParaRPr lang="en-US"/>
        </a:p>
      </cdr:txBody>
    </cdr:sp>
  </cdr:relSizeAnchor>
  <cdr:relSizeAnchor xmlns:cdr="http://schemas.openxmlformats.org/drawingml/2006/chartDrawing">
    <cdr:from>
      <cdr:x>0.18268</cdr:x>
      <cdr:y>0.12605</cdr:y>
    </cdr:from>
    <cdr:to>
      <cdr:x>0.9714</cdr:x>
      <cdr:y>0.19423</cdr:y>
    </cdr:to>
    <cdr:sp macro="" textlink="'3629-02'!$AE$3">
      <cdr:nvSpPr>
        <cdr:cNvPr id="5" name="2 CuadroTexto"/>
        <cdr:cNvSpPr txBox="1"/>
      </cdr:nvSpPr>
      <cdr:spPr>
        <a:xfrm xmlns:a="http://schemas.openxmlformats.org/drawingml/2006/main">
          <a:off x="731003" y="386718"/>
          <a:ext cx="3156166" cy="2091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F648CD-6147-4A76-B8C7-06D340F306E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C1BH-L12-L10-3+830-C (02,16-02,50) </a:t>
          </a:fld>
          <a:endParaRPr lang="es-E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23</xdr:row>
      <xdr:rowOff>9525</xdr:rowOff>
    </xdr:from>
    <xdr:to>
      <xdr:col>18</xdr:col>
      <xdr:colOff>9525</xdr:colOff>
      <xdr:row>38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376351-A69A-4C3B-938A-9AD9562A9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649197</xdr:colOff>
      <xdr:row>24</xdr:row>
      <xdr:rowOff>5172</xdr:rowOff>
    </xdr:from>
    <xdr:to>
      <xdr:col>24</xdr:col>
      <xdr:colOff>144358</xdr:colOff>
      <xdr:row>26</xdr:row>
      <xdr:rowOff>33702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3295EA8-9C95-43F4-954F-799BFF176389}"/>
            </a:ext>
          </a:extLst>
        </xdr:cNvPr>
        <xdr:cNvGrpSpPr/>
      </xdr:nvGrpSpPr>
      <xdr:grpSpPr>
        <a:xfrm>
          <a:off x="17156022" y="4767672"/>
          <a:ext cx="3162286" cy="409530"/>
          <a:chOff x="25491281" y="3321844"/>
          <a:chExt cx="3215513" cy="416090"/>
        </a:xfrm>
      </xdr:grpSpPr>
      <xdr:sp macro="" textlink="$AE$2">
        <xdr:nvSpPr>
          <xdr:cNvPr id="4" name="CuadroTexto 3">
            <a:extLst>
              <a:ext uri="{FF2B5EF4-FFF2-40B4-BE49-F238E27FC236}">
                <a16:creationId xmlns:a16="http://schemas.microsoft.com/office/drawing/2014/main" id="{6AFBF23C-B4A7-46F9-BA01-264908CF1FC7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5" name="CuadroTexto 4">
            <a:extLst>
              <a:ext uri="{FF2B5EF4-FFF2-40B4-BE49-F238E27FC236}">
                <a16:creationId xmlns:a16="http://schemas.microsoft.com/office/drawing/2014/main" id="{6D2A8389-2812-4C23-A157-8AD40EE878B2}"/>
              </a:ext>
            </a:extLst>
          </xdr:cNvPr>
          <xdr:cNvSpPr txBox="1"/>
        </xdr:nvSpPr>
        <xdr:spPr>
          <a:xfrm>
            <a:off x="25492106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19</xdr:col>
      <xdr:colOff>637881</xdr:colOff>
      <xdr:row>25</xdr:row>
      <xdr:rowOff>150481</xdr:rowOff>
    </xdr:from>
    <xdr:to>
      <xdr:col>23</xdr:col>
      <xdr:colOff>321880</xdr:colOff>
      <xdr:row>27</xdr:row>
      <xdr:rowOff>3851</xdr:rowOff>
    </xdr:to>
    <xdr:sp macro="" textlink="$AE$4">
      <xdr:nvSpPr>
        <xdr:cNvPr id="6" name="CuadroTexto 5">
          <a:extLst>
            <a:ext uri="{FF2B5EF4-FFF2-40B4-BE49-F238E27FC236}">
              <a16:creationId xmlns:a16="http://schemas.microsoft.com/office/drawing/2014/main" id="{ED59EF45-5F49-4D5B-B3B1-7A97D7B82091}"/>
            </a:ext>
          </a:extLst>
        </xdr:cNvPr>
        <xdr:cNvSpPr txBox="1"/>
      </xdr:nvSpPr>
      <xdr:spPr>
        <a:xfrm>
          <a:off x="17144706" y="5103481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278539</xdr:colOff>
      <xdr:row>24</xdr:row>
      <xdr:rowOff>13144</xdr:rowOff>
    </xdr:from>
    <xdr:to>
      <xdr:col>29</xdr:col>
      <xdr:colOff>334026</xdr:colOff>
      <xdr:row>26</xdr:row>
      <xdr:rowOff>41674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066EC9D-6F4C-46EA-A167-BF891B21764D}"/>
            </a:ext>
          </a:extLst>
        </xdr:cNvPr>
        <xdr:cNvGrpSpPr/>
      </xdr:nvGrpSpPr>
      <xdr:grpSpPr>
        <a:xfrm>
          <a:off x="20452489" y="4775644"/>
          <a:ext cx="3351137" cy="409530"/>
          <a:chOff x="25491281" y="3321844"/>
          <a:chExt cx="3224156" cy="416090"/>
        </a:xfrm>
      </xdr:grpSpPr>
      <xdr:sp macro="" textlink="$AE$2">
        <xdr:nvSpPr>
          <xdr:cNvPr id="8" name="CuadroTexto 7">
            <a:extLst>
              <a:ext uri="{FF2B5EF4-FFF2-40B4-BE49-F238E27FC236}">
                <a16:creationId xmlns:a16="http://schemas.microsoft.com/office/drawing/2014/main" id="{0BA1D079-028B-4D60-A0BD-AE55E3BA61EA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9" name="CuadroTexto 8">
            <a:extLst>
              <a:ext uri="{FF2B5EF4-FFF2-40B4-BE49-F238E27FC236}">
                <a16:creationId xmlns:a16="http://schemas.microsoft.com/office/drawing/2014/main" id="{22FAA20B-4E7A-4157-9D13-47C91D334E89}"/>
              </a:ext>
            </a:extLst>
          </xdr:cNvPr>
          <xdr:cNvSpPr txBox="1"/>
        </xdr:nvSpPr>
        <xdr:spPr>
          <a:xfrm>
            <a:off x="25500749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291335</xdr:colOff>
      <xdr:row>25</xdr:row>
      <xdr:rowOff>164224</xdr:rowOff>
    </xdr:from>
    <xdr:to>
      <xdr:col>28</xdr:col>
      <xdr:colOff>349764</xdr:colOff>
      <xdr:row>27</xdr:row>
      <xdr:rowOff>17594</xdr:rowOff>
    </xdr:to>
    <xdr:sp macro="" textlink="$AE$4">
      <xdr:nvSpPr>
        <xdr:cNvPr id="10" name="CuadroTexto 9">
          <a:extLst>
            <a:ext uri="{FF2B5EF4-FFF2-40B4-BE49-F238E27FC236}">
              <a16:creationId xmlns:a16="http://schemas.microsoft.com/office/drawing/2014/main" id="{85EEF44F-34EE-4AD4-9EB5-2CF09BCDD887}"/>
            </a:ext>
          </a:extLst>
        </xdr:cNvPr>
        <xdr:cNvSpPr txBox="1"/>
      </xdr:nvSpPr>
      <xdr:spPr>
        <a:xfrm>
          <a:off x="20465285" y="5117224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668212</xdr:colOff>
      <xdr:row>49</xdr:row>
      <xdr:rowOff>7227</xdr:rowOff>
    </xdr:from>
    <xdr:to>
      <xdr:col>24</xdr:col>
      <xdr:colOff>163373</xdr:colOff>
      <xdr:row>51</xdr:row>
      <xdr:rowOff>45284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D571483-7847-4CDB-B433-4405A1A8E275}"/>
            </a:ext>
          </a:extLst>
        </xdr:cNvPr>
        <xdr:cNvGrpSpPr/>
      </xdr:nvGrpSpPr>
      <xdr:grpSpPr>
        <a:xfrm>
          <a:off x="17175037" y="9532227"/>
          <a:ext cx="3162286" cy="419057"/>
          <a:chOff x="25491281" y="3302488"/>
          <a:chExt cx="3215513" cy="425770"/>
        </a:xfrm>
      </xdr:grpSpPr>
      <xdr:sp macro="" textlink="$AE$2">
        <xdr:nvSpPr>
          <xdr:cNvPr id="12" name="CuadroTexto 11">
            <a:extLst>
              <a:ext uri="{FF2B5EF4-FFF2-40B4-BE49-F238E27FC236}">
                <a16:creationId xmlns:a16="http://schemas.microsoft.com/office/drawing/2014/main" id="{56EA116C-2232-4B21-9CF2-A85F8DA85967}"/>
              </a:ext>
            </a:extLst>
          </xdr:cNvPr>
          <xdr:cNvSpPr txBox="1"/>
        </xdr:nvSpPr>
        <xdr:spPr>
          <a:xfrm>
            <a:off x="25491281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13" name="CuadroTexto 12">
            <a:extLst>
              <a:ext uri="{FF2B5EF4-FFF2-40B4-BE49-F238E27FC236}">
                <a16:creationId xmlns:a16="http://schemas.microsoft.com/office/drawing/2014/main" id="{F21E3B5D-B0ED-4A0D-AA21-61EB5587F219}"/>
              </a:ext>
            </a:extLst>
          </xdr:cNvPr>
          <xdr:cNvSpPr txBox="1"/>
        </xdr:nvSpPr>
        <xdr:spPr>
          <a:xfrm>
            <a:off x="25492106" y="34901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653940</xdr:colOff>
      <xdr:row>50</xdr:row>
      <xdr:rowOff>156153</xdr:rowOff>
    </xdr:from>
    <xdr:to>
      <xdr:col>23</xdr:col>
      <xdr:colOff>337939</xdr:colOff>
      <xdr:row>52</xdr:row>
      <xdr:rowOff>9523</xdr:rowOff>
    </xdr:to>
    <xdr:sp macro="" textlink="$AE$4">
      <xdr:nvSpPr>
        <xdr:cNvPr id="14" name="CuadroTexto 13">
          <a:extLst>
            <a:ext uri="{FF2B5EF4-FFF2-40B4-BE49-F238E27FC236}">
              <a16:creationId xmlns:a16="http://schemas.microsoft.com/office/drawing/2014/main" id="{E1923C38-8C0C-490B-8592-DA98EA09DD53}"/>
            </a:ext>
          </a:extLst>
        </xdr:cNvPr>
        <xdr:cNvSpPr txBox="1"/>
      </xdr:nvSpPr>
      <xdr:spPr>
        <a:xfrm>
          <a:off x="17160765" y="9871653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303804</xdr:colOff>
      <xdr:row>49</xdr:row>
      <xdr:rowOff>13141</xdr:rowOff>
    </xdr:from>
    <xdr:to>
      <xdr:col>29</xdr:col>
      <xdr:colOff>349766</xdr:colOff>
      <xdr:row>51</xdr:row>
      <xdr:rowOff>51196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C282BB82-1AAF-45EB-BAAC-87685A36D726}"/>
            </a:ext>
          </a:extLst>
        </xdr:cNvPr>
        <xdr:cNvGrpSpPr/>
      </xdr:nvGrpSpPr>
      <xdr:grpSpPr>
        <a:xfrm>
          <a:off x="20477754" y="9538141"/>
          <a:ext cx="3341612" cy="419055"/>
          <a:chOff x="25491281" y="3321844"/>
          <a:chExt cx="3214992" cy="425768"/>
        </a:xfrm>
      </xdr:grpSpPr>
      <xdr:sp macro="" textlink="$AE$2">
        <xdr:nvSpPr>
          <xdr:cNvPr id="16" name="CuadroTexto 15">
            <a:extLst>
              <a:ext uri="{FF2B5EF4-FFF2-40B4-BE49-F238E27FC236}">
                <a16:creationId xmlns:a16="http://schemas.microsoft.com/office/drawing/2014/main" id="{326C35A6-E739-4425-B5F5-7F244C007976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17" name="CuadroTexto 16">
            <a:extLst>
              <a:ext uri="{FF2B5EF4-FFF2-40B4-BE49-F238E27FC236}">
                <a16:creationId xmlns:a16="http://schemas.microsoft.com/office/drawing/2014/main" id="{7D7D1636-EEBA-4052-964A-90E5D88C578E}"/>
              </a:ext>
            </a:extLst>
          </xdr:cNvPr>
          <xdr:cNvSpPr txBox="1"/>
        </xdr:nvSpPr>
        <xdr:spPr>
          <a:xfrm>
            <a:off x="25491585" y="3509487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24</xdr:col>
      <xdr:colOff>301517</xdr:colOff>
      <xdr:row>50</xdr:row>
      <xdr:rowOff>177503</xdr:rowOff>
    </xdr:from>
    <xdr:to>
      <xdr:col>28</xdr:col>
      <xdr:colOff>359946</xdr:colOff>
      <xdr:row>52</xdr:row>
      <xdr:rowOff>30873</xdr:rowOff>
    </xdr:to>
    <xdr:sp macro="" textlink="$AE$4">
      <xdr:nvSpPr>
        <xdr:cNvPr id="18" name="CuadroTexto 17">
          <a:extLst>
            <a:ext uri="{FF2B5EF4-FFF2-40B4-BE49-F238E27FC236}">
              <a16:creationId xmlns:a16="http://schemas.microsoft.com/office/drawing/2014/main" id="{0AB64321-131B-4F21-8CEF-35B3DA9E5C4F}"/>
            </a:ext>
          </a:extLst>
        </xdr:cNvPr>
        <xdr:cNvSpPr txBox="1"/>
      </xdr:nvSpPr>
      <xdr:spPr>
        <a:xfrm>
          <a:off x="20475467" y="9893003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660986</xdr:colOff>
      <xdr:row>74</xdr:row>
      <xdr:rowOff>32852</xdr:rowOff>
    </xdr:from>
    <xdr:to>
      <xdr:col>24</xdr:col>
      <xdr:colOff>156147</xdr:colOff>
      <xdr:row>76</xdr:row>
      <xdr:rowOff>51858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1ECDC3B4-3AAF-455A-9A51-73568CE25A8E}"/>
            </a:ext>
          </a:extLst>
        </xdr:cNvPr>
        <xdr:cNvGrpSpPr/>
      </xdr:nvGrpSpPr>
      <xdr:grpSpPr>
        <a:xfrm>
          <a:off x="17167811" y="14320352"/>
          <a:ext cx="3162286" cy="400006"/>
          <a:chOff x="25500966" y="3302488"/>
          <a:chExt cx="3215513" cy="406413"/>
        </a:xfrm>
      </xdr:grpSpPr>
      <xdr:sp macro="" textlink="$AE$2">
        <xdr:nvSpPr>
          <xdr:cNvPr id="20" name="CuadroTexto 19">
            <a:extLst>
              <a:ext uri="{FF2B5EF4-FFF2-40B4-BE49-F238E27FC236}">
                <a16:creationId xmlns:a16="http://schemas.microsoft.com/office/drawing/2014/main" id="{F0CAE739-96AD-4A71-B3A5-78D2F6387887}"/>
              </a:ext>
            </a:extLst>
          </xdr:cNvPr>
          <xdr:cNvSpPr txBox="1"/>
        </xdr:nvSpPr>
        <xdr:spPr>
          <a:xfrm>
            <a:off x="25500966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21" name="CuadroTexto 20">
            <a:extLst>
              <a:ext uri="{FF2B5EF4-FFF2-40B4-BE49-F238E27FC236}">
                <a16:creationId xmlns:a16="http://schemas.microsoft.com/office/drawing/2014/main" id="{9CCD473A-C6CE-4FAE-B8FC-89D7537FCCB9}"/>
              </a:ext>
            </a:extLst>
          </xdr:cNvPr>
          <xdr:cNvSpPr txBox="1"/>
        </xdr:nvSpPr>
        <xdr:spPr>
          <a:xfrm>
            <a:off x="25501791" y="34707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659195</xdr:colOff>
      <xdr:row>75</xdr:row>
      <xdr:rowOff>178159</xdr:rowOff>
    </xdr:from>
    <xdr:to>
      <xdr:col>23</xdr:col>
      <xdr:colOff>343194</xdr:colOff>
      <xdr:row>77</xdr:row>
      <xdr:rowOff>31529</xdr:rowOff>
    </xdr:to>
    <xdr:sp macro="" textlink="$AE$4">
      <xdr:nvSpPr>
        <xdr:cNvPr id="22" name="CuadroTexto 21">
          <a:extLst>
            <a:ext uri="{FF2B5EF4-FFF2-40B4-BE49-F238E27FC236}">
              <a16:creationId xmlns:a16="http://schemas.microsoft.com/office/drawing/2014/main" id="{712266BC-B3A3-45E8-89D2-43F5B25A4B2A}"/>
            </a:ext>
          </a:extLst>
        </xdr:cNvPr>
        <xdr:cNvSpPr txBox="1"/>
      </xdr:nvSpPr>
      <xdr:spPr>
        <a:xfrm>
          <a:off x="17166020" y="14656159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297235</xdr:colOff>
      <xdr:row>74</xdr:row>
      <xdr:rowOff>13150</xdr:rowOff>
    </xdr:from>
    <xdr:to>
      <xdr:col>29</xdr:col>
      <xdr:colOff>343197</xdr:colOff>
      <xdr:row>76</xdr:row>
      <xdr:rowOff>22630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670043DE-8282-4542-BECE-CF2550764787}"/>
            </a:ext>
          </a:extLst>
        </xdr:cNvPr>
        <xdr:cNvGrpSpPr/>
      </xdr:nvGrpSpPr>
      <xdr:grpSpPr>
        <a:xfrm>
          <a:off x="20471185" y="14300650"/>
          <a:ext cx="3341612" cy="390480"/>
          <a:chOff x="25491281" y="3321844"/>
          <a:chExt cx="3214992" cy="396734"/>
        </a:xfrm>
      </xdr:grpSpPr>
      <xdr:sp macro="" textlink="$AE$2">
        <xdr:nvSpPr>
          <xdr:cNvPr id="24" name="CuadroTexto 23">
            <a:extLst>
              <a:ext uri="{FF2B5EF4-FFF2-40B4-BE49-F238E27FC236}">
                <a16:creationId xmlns:a16="http://schemas.microsoft.com/office/drawing/2014/main" id="{AEE1102A-5180-4ADE-BD95-2E752EB41491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25" name="CuadroTexto 24">
            <a:extLst>
              <a:ext uri="{FF2B5EF4-FFF2-40B4-BE49-F238E27FC236}">
                <a16:creationId xmlns:a16="http://schemas.microsoft.com/office/drawing/2014/main" id="{F107018A-4A31-448A-A1A6-3CA57CB430AE}"/>
              </a:ext>
            </a:extLst>
          </xdr:cNvPr>
          <xdr:cNvSpPr txBox="1"/>
        </xdr:nvSpPr>
        <xdr:spPr>
          <a:xfrm>
            <a:off x="25491585" y="348045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(04,80-05,35)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294948</xdr:colOff>
      <xdr:row>75</xdr:row>
      <xdr:rowOff>167977</xdr:rowOff>
    </xdr:from>
    <xdr:to>
      <xdr:col>28</xdr:col>
      <xdr:colOff>353377</xdr:colOff>
      <xdr:row>77</xdr:row>
      <xdr:rowOff>21347</xdr:rowOff>
    </xdr:to>
    <xdr:sp macro="" textlink="$AE$4">
      <xdr:nvSpPr>
        <xdr:cNvPr id="26" name="CuadroTexto 25">
          <a:extLst>
            <a:ext uri="{FF2B5EF4-FFF2-40B4-BE49-F238E27FC236}">
              <a16:creationId xmlns:a16="http://schemas.microsoft.com/office/drawing/2014/main" id="{4F2F4AE2-C862-4A82-8ADC-E837D0F21B3F}"/>
            </a:ext>
          </a:extLst>
        </xdr:cNvPr>
        <xdr:cNvSpPr txBox="1"/>
      </xdr:nvSpPr>
      <xdr:spPr>
        <a:xfrm>
          <a:off x="20468898" y="14645977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20</xdr:col>
      <xdr:colOff>552451</xdr:colOff>
      <xdr:row>77</xdr:row>
      <xdr:rowOff>19051</xdr:rowOff>
    </xdr:from>
    <xdr:to>
      <xdr:col>23</xdr:col>
      <xdr:colOff>47626</xdr:colOff>
      <xdr:row>78</xdr:row>
      <xdr:rowOff>28576</xdr:rowOff>
    </xdr:to>
    <xdr:sp macro="" textlink="">
      <xdr:nvSpPr>
        <xdr:cNvPr id="27" name="Text Box 10">
          <a:extLst>
            <a:ext uri="{FF2B5EF4-FFF2-40B4-BE49-F238E27FC236}">
              <a16:creationId xmlns:a16="http://schemas.microsoft.com/office/drawing/2014/main" id="{39F9003B-DF06-4A1B-9D36-1A0CD90BEF3D}"/>
            </a:ext>
          </a:extLst>
        </xdr:cNvPr>
        <xdr:cNvSpPr txBox="1">
          <a:spLocks noChangeArrowheads="1"/>
        </xdr:cNvSpPr>
      </xdr:nvSpPr>
      <xdr:spPr bwMode="auto">
        <a:xfrm>
          <a:off x="17792701" y="14878051"/>
          <a:ext cx="16954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26</xdr:col>
      <xdr:colOff>76200</xdr:colOff>
      <xdr:row>77</xdr:row>
      <xdr:rowOff>19051</xdr:rowOff>
    </xdr:from>
    <xdr:to>
      <xdr:col>28</xdr:col>
      <xdr:colOff>9525</xdr:colOff>
      <xdr:row>78</xdr:row>
      <xdr:rowOff>19051</xdr:rowOff>
    </xdr:to>
    <xdr:sp macro="" textlink="">
      <xdr:nvSpPr>
        <xdr:cNvPr id="28" name="Text Box 15">
          <a:extLst>
            <a:ext uri="{FF2B5EF4-FFF2-40B4-BE49-F238E27FC236}">
              <a16:creationId xmlns:a16="http://schemas.microsoft.com/office/drawing/2014/main" id="{65394D4E-D712-487B-8FFB-ABA82400823E}"/>
            </a:ext>
          </a:extLst>
        </xdr:cNvPr>
        <xdr:cNvSpPr txBox="1">
          <a:spLocks noChangeArrowheads="1"/>
        </xdr:cNvSpPr>
      </xdr:nvSpPr>
      <xdr:spPr bwMode="auto">
        <a:xfrm>
          <a:off x="21345525" y="14878051"/>
          <a:ext cx="14001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19</xdr:col>
      <xdr:colOff>723900</xdr:colOff>
      <xdr:row>4</xdr:row>
      <xdr:rowOff>3784</xdr:rowOff>
    </xdr:from>
    <xdr:to>
      <xdr:col>24</xdr:col>
      <xdr:colOff>0</xdr:colOff>
      <xdr:row>24</xdr:row>
      <xdr:rowOff>8333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13DD998-396E-4E42-BF19-A43B169EC1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73588" y="718159"/>
          <a:ext cx="2996803" cy="3784783"/>
        </a:xfrm>
        <a:prstGeom prst="rect">
          <a:avLst/>
        </a:prstGeom>
      </xdr:spPr>
    </xdr:pic>
    <xdr:clientData/>
  </xdr:twoCellAnchor>
  <xdr:twoCellAnchor editAs="oneCell">
    <xdr:from>
      <xdr:col>19</xdr:col>
      <xdr:colOff>729834</xdr:colOff>
      <xdr:row>28</xdr:row>
      <xdr:rowOff>5345</xdr:rowOff>
    </xdr:from>
    <xdr:to>
      <xdr:col>24</xdr:col>
      <xdr:colOff>0</xdr:colOff>
      <xdr:row>49</xdr:row>
      <xdr:rowOff>9506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7D1A09AB-B550-4409-A9F1-1F53C28A69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36659" y="5529845"/>
          <a:ext cx="2937291" cy="4004661"/>
        </a:xfrm>
        <a:prstGeom prst="rect">
          <a:avLst/>
        </a:prstGeom>
      </xdr:spPr>
    </xdr:pic>
    <xdr:clientData/>
  </xdr:twoCellAnchor>
  <xdr:twoCellAnchor editAs="oneCell">
    <xdr:from>
      <xdr:col>20</xdr:col>
      <xdr:colOff>2343</xdr:colOff>
      <xdr:row>53</xdr:row>
      <xdr:rowOff>9525</xdr:rowOff>
    </xdr:from>
    <xdr:to>
      <xdr:col>24</xdr:col>
      <xdr:colOff>0</xdr:colOff>
      <xdr:row>74</xdr:row>
      <xdr:rowOff>20203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4C0E8A03-C41A-4082-98F7-52451C3D43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42593" y="10296525"/>
          <a:ext cx="2931357" cy="4011178"/>
        </a:xfrm>
        <a:prstGeom prst="rect">
          <a:avLst/>
        </a:prstGeom>
      </xdr:spPr>
    </xdr:pic>
    <xdr:clientData/>
  </xdr:twoCellAnchor>
  <xdr:twoCellAnchor editAs="oneCell">
    <xdr:from>
      <xdr:col>25</xdr:col>
      <xdr:colOff>13095</xdr:colOff>
      <xdr:row>28</xdr:row>
      <xdr:rowOff>0</xdr:rowOff>
    </xdr:from>
    <xdr:to>
      <xdr:col>29</xdr:col>
      <xdr:colOff>600075</xdr:colOff>
      <xdr:row>49</xdr:row>
      <xdr:rowOff>2380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40122A6F-94D7-42E6-A7CD-9F70F83AEC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l="-2"/>
        <a:stretch/>
      </xdr:blipFill>
      <xdr:spPr>
        <a:xfrm>
          <a:off x="20548995" y="5524500"/>
          <a:ext cx="3520680" cy="4002880"/>
        </a:xfrm>
        <a:prstGeom prst="rect">
          <a:avLst/>
        </a:prstGeom>
      </xdr:spPr>
    </xdr:pic>
    <xdr:clientData/>
  </xdr:twoCellAnchor>
  <xdr:twoCellAnchor editAs="oneCell">
    <xdr:from>
      <xdr:col>24</xdr:col>
      <xdr:colOff>361931</xdr:colOff>
      <xdr:row>4</xdr:row>
      <xdr:rowOff>8819</xdr:rowOff>
    </xdr:from>
    <xdr:to>
      <xdr:col>29</xdr:col>
      <xdr:colOff>590550</xdr:colOff>
      <xdr:row>24</xdr:row>
      <xdr:rowOff>8334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2F4A6FD-97C9-499C-8ED0-86CD5EBDAE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35881" y="770819"/>
          <a:ext cx="3524269" cy="4000015"/>
        </a:xfrm>
        <a:prstGeom prst="rect">
          <a:avLst/>
        </a:prstGeom>
      </xdr:spPr>
    </xdr:pic>
    <xdr:clientData/>
  </xdr:twoCellAnchor>
  <xdr:twoCellAnchor editAs="oneCell">
    <xdr:from>
      <xdr:col>25</xdr:col>
      <xdr:colOff>7106</xdr:colOff>
      <xdr:row>53</xdr:row>
      <xdr:rowOff>0</xdr:rowOff>
    </xdr:from>
    <xdr:to>
      <xdr:col>29</xdr:col>
      <xdr:colOff>590550</xdr:colOff>
      <xdr:row>73</xdr:row>
      <xdr:rowOff>190461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14BE977-1684-4666-9929-015C4F2F4F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43006" y="10287000"/>
          <a:ext cx="3517144" cy="4000461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0.17864</cdr:x>
      <cdr:y>0.06497</cdr:y>
    </cdr:from>
    <cdr:to>
      <cdr:x>0.95526</cdr:x>
      <cdr:y>0.14161</cdr:y>
    </cdr:to>
    <cdr:sp macro="" textlink="'3629-06'!$AE$2">
      <cdr:nvSpPr>
        <cdr:cNvPr id="4" name="2 CuadroTexto"/>
        <cdr:cNvSpPr txBox="1"/>
      </cdr:nvSpPr>
      <cdr:spPr>
        <a:xfrm xmlns:a="http://schemas.openxmlformats.org/drawingml/2006/main">
          <a:off x="714858" y="199326"/>
          <a:ext cx="3107733" cy="2351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pPr algn="ctr"/>
          <a:fld id="{18F2A86C-E822-47F2-930C-3349BE422B2C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C1BH-L12-L10-3+830-C</a:t>
          </a:fld>
          <a:endParaRPr lang="en-US"/>
        </a:p>
      </cdr:txBody>
    </cdr:sp>
  </cdr:relSizeAnchor>
  <cdr:relSizeAnchor xmlns:cdr="http://schemas.openxmlformats.org/drawingml/2006/chartDrawing">
    <cdr:from>
      <cdr:x>0.18268</cdr:x>
      <cdr:y>0.12605</cdr:y>
    </cdr:from>
    <cdr:to>
      <cdr:x>0.9714</cdr:x>
      <cdr:y>0.19423</cdr:y>
    </cdr:to>
    <cdr:sp macro="" textlink="'3629-06'!$AE$3">
      <cdr:nvSpPr>
        <cdr:cNvPr id="5" name="2 CuadroTexto"/>
        <cdr:cNvSpPr txBox="1"/>
      </cdr:nvSpPr>
      <cdr:spPr>
        <a:xfrm xmlns:a="http://schemas.openxmlformats.org/drawingml/2006/main">
          <a:off x="731003" y="386718"/>
          <a:ext cx="3156166" cy="2091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F648CD-6147-4A76-B8C7-06D340F306E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C1BH-L12-L10-3+830-C (04,80-05,35)</a:t>
          </a:fld>
          <a:endParaRPr lang="es-E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23</xdr:row>
      <xdr:rowOff>9525</xdr:rowOff>
    </xdr:from>
    <xdr:to>
      <xdr:col>18</xdr:col>
      <xdr:colOff>9525</xdr:colOff>
      <xdr:row>38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EECD8-CB7A-46F2-9811-2FE747A4C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649197</xdr:colOff>
      <xdr:row>24</xdr:row>
      <xdr:rowOff>5172</xdr:rowOff>
    </xdr:from>
    <xdr:to>
      <xdr:col>24</xdr:col>
      <xdr:colOff>144358</xdr:colOff>
      <xdr:row>26</xdr:row>
      <xdr:rowOff>33702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EDD607C-E12E-4DF9-A9AC-E0699793EBD3}"/>
            </a:ext>
          </a:extLst>
        </xdr:cNvPr>
        <xdr:cNvGrpSpPr/>
      </xdr:nvGrpSpPr>
      <xdr:grpSpPr>
        <a:xfrm>
          <a:off x="17156022" y="4767672"/>
          <a:ext cx="3162286" cy="409530"/>
          <a:chOff x="25491281" y="3321844"/>
          <a:chExt cx="3215513" cy="416090"/>
        </a:xfrm>
      </xdr:grpSpPr>
      <xdr:sp macro="" textlink="$AE$2">
        <xdr:nvSpPr>
          <xdr:cNvPr id="4" name="CuadroTexto 3">
            <a:extLst>
              <a:ext uri="{FF2B5EF4-FFF2-40B4-BE49-F238E27FC236}">
                <a16:creationId xmlns:a16="http://schemas.microsoft.com/office/drawing/2014/main" id="{4283FEA6-B7D2-4FDC-AC7C-373B6B01C4F0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5" name="CuadroTexto 4">
            <a:extLst>
              <a:ext uri="{FF2B5EF4-FFF2-40B4-BE49-F238E27FC236}">
                <a16:creationId xmlns:a16="http://schemas.microsoft.com/office/drawing/2014/main" id="{F918055A-BFC5-4902-BCCA-BEC6BC49BEBF}"/>
              </a:ext>
            </a:extLst>
          </xdr:cNvPr>
          <xdr:cNvSpPr txBox="1"/>
        </xdr:nvSpPr>
        <xdr:spPr>
          <a:xfrm>
            <a:off x="25492106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19</xdr:col>
      <xdr:colOff>637881</xdr:colOff>
      <xdr:row>25</xdr:row>
      <xdr:rowOff>150481</xdr:rowOff>
    </xdr:from>
    <xdr:to>
      <xdr:col>23</xdr:col>
      <xdr:colOff>321880</xdr:colOff>
      <xdr:row>27</xdr:row>
      <xdr:rowOff>3851</xdr:rowOff>
    </xdr:to>
    <xdr:sp macro="" textlink="$AE$4">
      <xdr:nvSpPr>
        <xdr:cNvPr id="6" name="CuadroTexto 5">
          <a:extLst>
            <a:ext uri="{FF2B5EF4-FFF2-40B4-BE49-F238E27FC236}">
              <a16:creationId xmlns:a16="http://schemas.microsoft.com/office/drawing/2014/main" id="{3BCB1E3F-A89C-4430-A7A8-3974B945D527}"/>
            </a:ext>
          </a:extLst>
        </xdr:cNvPr>
        <xdr:cNvSpPr txBox="1"/>
      </xdr:nvSpPr>
      <xdr:spPr>
        <a:xfrm>
          <a:off x="17144706" y="5103481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278539</xdr:colOff>
      <xdr:row>24</xdr:row>
      <xdr:rowOff>13144</xdr:rowOff>
    </xdr:from>
    <xdr:to>
      <xdr:col>29</xdr:col>
      <xdr:colOff>334026</xdr:colOff>
      <xdr:row>26</xdr:row>
      <xdr:rowOff>41674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52122F1B-1E09-42D7-8699-FD8FB134CC49}"/>
            </a:ext>
          </a:extLst>
        </xdr:cNvPr>
        <xdr:cNvGrpSpPr/>
      </xdr:nvGrpSpPr>
      <xdr:grpSpPr>
        <a:xfrm>
          <a:off x="20452489" y="4775644"/>
          <a:ext cx="3351137" cy="409530"/>
          <a:chOff x="25491281" y="3321844"/>
          <a:chExt cx="3224156" cy="416090"/>
        </a:xfrm>
      </xdr:grpSpPr>
      <xdr:sp macro="" textlink="$AE$2">
        <xdr:nvSpPr>
          <xdr:cNvPr id="8" name="CuadroTexto 7">
            <a:extLst>
              <a:ext uri="{FF2B5EF4-FFF2-40B4-BE49-F238E27FC236}">
                <a16:creationId xmlns:a16="http://schemas.microsoft.com/office/drawing/2014/main" id="{442E0734-F2FB-4D62-85A7-390BE30B29EB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9" name="CuadroTexto 8">
            <a:extLst>
              <a:ext uri="{FF2B5EF4-FFF2-40B4-BE49-F238E27FC236}">
                <a16:creationId xmlns:a16="http://schemas.microsoft.com/office/drawing/2014/main" id="{587701F6-C1C1-41C5-99B2-EC8EC9D0CDBF}"/>
              </a:ext>
            </a:extLst>
          </xdr:cNvPr>
          <xdr:cNvSpPr txBox="1"/>
        </xdr:nvSpPr>
        <xdr:spPr>
          <a:xfrm>
            <a:off x="25500749" y="349980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291335</xdr:colOff>
      <xdr:row>25</xdr:row>
      <xdr:rowOff>164224</xdr:rowOff>
    </xdr:from>
    <xdr:to>
      <xdr:col>28</xdr:col>
      <xdr:colOff>349764</xdr:colOff>
      <xdr:row>27</xdr:row>
      <xdr:rowOff>17594</xdr:rowOff>
    </xdr:to>
    <xdr:sp macro="" textlink="$AE$4">
      <xdr:nvSpPr>
        <xdr:cNvPr id="10" name="CuadroTexto 9">
          <a:extLst>
            <a:ext uri="{FF2B5EF4-FFF2-40B4-BE49-F238E27FC236}">
              <a16:creationId xmlns:a16="http://schemas.microsoft.com/office/drawing/2014/main" id="{8FAE0CE4-C9C4-4BC0-86FD-50D7EB1AAF36}"/>
            </a:ext>
          </a:extLst>
        </xdr:cNvPr>
        <xdr:cNvSpPr txBox="1"/>
      </xdr:nvSpPr>
      <xdr:spPr>
        <a:xfrm>
          <a:off x="20465285" y="5117224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668212</xdr:colOff>
      <xdr:row>49</xdr:row>
      <xdr:rowOff>7227</xdr:rowOff>
    </xdr:from>
    <xdr:to>
      <xdr:col>24</xdr:col>
      <xdr:colOff>163373</xdr:colOff>
      <xdr:row>51</xdr:row>
      <xdr:rowOff>45284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818ECD2F-01FD-4BA4-8EF4-EA09C4D4391D}"/>
            </a:ext>
          </a:extLst>
        </xdr:cNvPr>
        <xdr:cNvGrpSpPr/>
      </xdr:nvGrpSpPr>
      <xdr:grpSpPr>
        <a:xfrm>
          <a:off x="17175037" y="9532227"/>
          <a:ext cx="3162286" cy="419057"/>
          <a:chOff x="25491281" y="3302488"/>
          <a:chExt cx="3215513" cy="425770"/>
        </a:xfrm>
      </xdr:grpSpPr>
      <xdr:sp macro="" textlink="$AE$2">
        <xdr:nvSpPr>
          <xdr:cNvPr id="12" name="CuadroTexto 11">
            <a:extLst>
              <a:ext uri="{FF2B5EF4-FFF2-40B4-BE49-F238E27FC236}">
                <a16:creationId xmlns:a16="http://schemas.microsoft.com/office/drawing/2014/main" id="{E123B0A1-8D21-4653-9818-696CCB5A6CF2}"/>
              </a:ext>
            </a:extLst>
          </xdr:cNvPr>
          <xdr:cNvSpPr txBox="1"/>
        </xdr:nvSpPr>
        <xdr:spPr>
          <a:xfrm>
            <a:off x="25491281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13" name="CuadroTexto 12">
            <a:extLst>
              <a:ext uri="{FF2B5EF4-FFF2-40B4-BE49-F238E27FC236}">
                <a16:creationId xmlns:a16="http://schemas.microsoft.com/office/drawing/2014/main" id="{7BA8B2F5-1FAD-4521-A401-52ABD5042205}"/>
              </a:ext>
            </a:extLst>
          </xdr:cNvPr>
          <xdr:cNvSpPr txBox="1"/>
        </xdr:nvSpPr>
        <xdr:spPr>
          <a:xfrm>
            <a:off x="25492106" y="34901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653940</xdr:colOff>
      <xdr:row>50</xdr:row>
      <xdr:rowOff>156153</xdr:rowOff>
    </xdr:from>
    <xdr:to>
      <xdr:col>23</xdr:col>
      <xdr:colOff>337939</xdr:colOff>
      <xdr:row>52</xdr:row>
      <xdr:rowOff>9523</xdr:rowOff>
    </xdr:to>
    <xdr:sp macro="" textlink="$AE$4">
      <xdr:nvSpPr>
        <xdr:cNvPr id="14" name="CuadroTexto 13">
          <a:extLst>
            <a:ext uri="{FF2B5EF4-FFF2-40B4-BE49-F238E27FC236}">
              <a16:creationId xmlns:a16="http://schemas.microsoft.com/office/drawing/2014/main" id="{C0536373-27C4-4A52-86A9-7670773DE186}"/>
            </a:ext>
          </a:extLst>
        </xdr:cNvPr>
        <xdr:cNvSpPr txBox="1"/>
      </xdr:nvSpPr>
      <xdr:spPr>
        <a:xfrm>
          <a:off x="17160765" y="9871653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303804</xdr:colOff>
      <xdr:row>49</xdr:row>
      <xdr:rowOff>13141</xdr:rowOff>
    </xdr:from>
    <xdr:to>
      <xdr:col>29</xdr:col>
      <xdr:colOff>349766</xdr:colOff>
      <xdr:row>51</xdr:row>
      <xdr:rowOff>51196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E8C3FBC5-9B87-4A61-8C0F-D26CF648D743}"/>
            </a:ext>
          </a:extLst>
        </xdr:cNvPr>
        <xdr:cNvGrpSpPr/>
      </xdr:nvGrpSpPr>
      <xdr:grpSpPr>
        <a:xfrm>
          <a:off x="20477754" y="9538141"/>
          <a:ext cx="3341612" cy="419055"/>
          <a:chOff x="25491281" y="3321844"/>
          <a:chExt cx="3214992" cy="425768"/>
        </a:xfrm>
      </xdr:grpSpPr>
      <xdr:sp macro="" textlink="$AE$2">
        <xdr:nvSpPr>
          <xdr:cNvPr id="16" name="CuadroTexto 15">
            <a:extLst>
              <a:ext uri="{FF2B5EF4-FFF2-40B4-BE49-F238E27FC236}">
                <a16:creationId xmlns:a16="http://schemas.microsoft.com/office/drawing/2014/main" id="{AAC7C433-35F9-4DBE-B74F-6AAD780394C2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17" name="CuadroTexto 16">
            <a:extLst>
              <a:ext uri="{FF2B5EF4-FFF2-40B4-BE49-F238E27FC236}">
                <a16:creationId xmlns:a16="http://schemas.microsoft.com/office/drawing/2014/main" id="{97C15F98-CB2E-41A1-9360-C53DFC4D76F4}"/>
              </a:ext>
            </a:extLst>
          </xdr:cNvPr>
          <xdr:cNvSpPr txBox="1"/>
        </xdr:nvSpPr>
        <xdr:spPr>
          <a:xfrm>
            <a:off x="25491585" y="3509487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24</xdr:col>
      <xdr:colOff>301517</xdr:colOff>
      <xdr:row>50</xdr:row>
      <xdr:rowOff>177503</xdr:rowOff>
    </xdr:from>
    <xdr:to>
      <xdr:col>28</xdr:col>
      <xdr:colOff>359946</xdr:colOff>
      <xdr:row>52</xdr:row>
      <xdr:rowOff>30873</xdr:rowOff>
    </xdr:to>
    <xdr:sp macro="" textlink="$AE$4">
      <xdr:nvSpPr>
        <xdr:cNvPr id="18" name="CuadroTexto 17">
          <a:extLst>
            <a:ext uri="{FF2B5EF4-FFF2-40B4-BE49-F238E27FC236}">
              <a16:creationId xmlns:a16="http://schemas.microsoft.com/office/drawing/2014/main" id="{7ECD4571-BF05-4325-AA1E-15772DC2E940}"/>
            </a:ext>
          </a:extLst>
        </xdr:cNvPr>
        <xdr:cNvSpPr txBox="1"/>
      </xdr:nvSpPr>
      <xdr:spPr>
        <a:xfrm>
          <a:off x="20475467" y="9893003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19</xdr:col>
      <xdr:colOff>660986</xdr:colOff>
      <xdr:row>74</xdr:row>
      <xdr:rowOff>32852</xdr:rowOff>
    </xdr:from>
    <xdr:to>
      <xdr:col>24</xdr:col>
      <xdr:colOff>156147</xdr:colOff>
      <xdr:row>76</xdr:row>
      <xdr:rowOff>51858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6B5CA57-2019-4348-AE1E-98F15FBAC17D}"/>
            </a:ext>
          </a:extLst>
        </xdr:cNvPr>
        <xdr:cNvGrpSpPr/>
      </xdr:nvGrpSpPr>
      <xdr:grpSpPr>
        <a:xfrm>
          <a:off x="17167811" y="14320352"/>
          <a:ext cx="3162286" cy="400006"/>
          <a:chOff x="25500966" y="3302488"/>
          <a:chExt cx="3215513" cy="406413"/>
        </a:xfrm>
      </xdr:grpSpPr>
      <xdr:sp macro="" textlink="$AE$2">
        <xdr:nvSpPr>
          <xdr:cNvPr id="20" name="CuadroTexto 19">
            <a:extLst>
              <a:ext uri="{FF2B5EF4-FFF2-40B4-BE49-F238E27FC236}">
                <a16:creationId xmlns:a16="http://schemas.microsoft.com/office/drawing/2014/main" id="{6C3BD7DE-4F4F-4D9F-8561-F694642F4F79}"/>
              </a:ext>
            </a:extLst>
          </xdr:cNvPr>
          <xdr:cNvSpPr txBox="1"/>
        </xdr:nvSpPr>
        <xdr:spPr>
          <a:xfrm>
            <a:off x="25500966" y="3302488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21" name="CuadroTexto 20">
            <a:extLst>
              <a:ext uri="{FF2B5EF4-FFF2-40B4-BE49-F238E27FC236}">
                <a16:creationId xmlns:a16="http://schemas.microsoft.com/office/drawing/2014/main" id="{5BC6A72E-AB05-4EB6-BB5A-F7C7D5EB9DF0}"/>
              </a:ext>
            </a:extLst>
          </xdr:cNvPr>
          <xdr:cNvSpPr txBox="1"/>
        </xdr:nvSpPr>
        <xdr:spPr>
          <a:xfrm>
            <a:off x="25501791" y="34707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19</xdr:col>
      <xdr:colOff>659195</xdr:colOff>
      <xdr:row>75</xdr:row>
      <xdr:rowOff>178159</xdr:rowOff>
    </xdr:from>
    <xdr:to>
      <xdr:col>23</xdr:col>
      <xdr:colOff>343194</xdr:colOff>
      <xdr:row>77</xdr:row>
      <xdr:rowOff>31529</xdr:rowOff>
    </xdr:to>
    <xdr:sp macro="" textlink="$AE$4">
      <xdr:nvSpPr>
        <xdr:cNvPr id="22" name="CuadroTexto 21">
          <a:extLst>
            <a:ext uri="{FF2B5EF4-FFF2-40B4-BE49-F238E27FC236}">
              <a16:creationId xmlns:a16="http://schemas.microsoft.com/office/drawing/2014/main" id="{AD6DD4E0-652B-4928-B1C9-D12C8B9756F5}"/>
            </a:ext>
          </a:extLst>
        </xdr:cNvPr>
        <xdr:cNvSpPr txBox="1"/>
      </xdr:nvSpPr>
      <xdr:spPr>
        <a:xfrm>
          <a:off x="17166020" y="14656159"/>
          <a:ext cx="2617699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24</xdr:col>
      <xdr:colOff>297235</xdr:colOff>
      <xdr:row>74</xdr:row>
      <xdr:rowOff>13150</xdr:rowOff>
    </xdr:from>
    <xdr:to>
      <xdr:col>29</xdr:col>
      <xdr:colOff>343197</xdr:colOff>
      <xdr:row>76</xdr:row>
      <xdr:rowOff>22630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3AC83107-220A-45D0-B519-C16E7F9FA561}"/>
            </a:ext>
          </a:extLst>
        </xdr:cNvPr>
        <xdr:cNvGrpSpPr/>
      </xdr:nvGrpSpPr>
      <xdr:grpSpPr>
        <a:xfrm>
          <a:off x="20471185" y="14300650"/>
          <a:ext cx="3341612" cy="390480"/>
          <a:chOff x="25491281" y="3321844"/>
          <a:chExt cx="3214992" cy="396734"/>
        </a:xfrm>
      </xdr:grpSpPr>
      <xdr:sp macro="" textlink="$AE$2">
        <xdr:nvSpPr>
          <xdr:cNvPr id="24" name="CuadroTexto 23">
            <a:extLst>
              <a:ext uri="{FF2B5EF4-FFF2-40B4-BE49-F238E27FC236}">
                <a16:creationId xmlns:a16="http://schemas.microsoft.com/office/drawing/2014/main" id="{6C16D509-21D7-4411-9800-3A8BDFF5B5C7}"/>
              </a:ext>
            </a:extLst>
          </xdr:cNvPr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EACA8D-597A-47AB-BD2A-98EA3D81B43D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PROYECTO  :  C1BH-L12-L10-3+830-C</a:t>
            </a:fld>
            <a:endParaRPr lang="es-ES" sz="900"/>
          </a:p>
        </xdr:txBody>
      </xdr:sp>
      <xdr:sp macro="" textlink="$AE$3">
        <xdr:nvSpPr>
          <xdr:cNvPr id="25" name="CuadroTexto 24">
            <a:extLst>
              <a:ext uri="{FF2B5EF4-FFF2-40B4-BE49-F238E27FC236}">
                <a16:creationId xmlns:a16="http://schemas.microsoft.com/office/drawing/2014/main" id="{101537B5-7BDE-4807-B597-30DD2D7EF107}"/>
              </a:ext>
            </a:extLst>
          </xdr:cNvPr>
          <xdr:cNvSpPr txBox="1"/>
        </xdr:nvSpPr>
        <xdr:spPr>
          <a:xfrm>
            <a:off x="25491585" y="348045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418AE82-7766-4CE4-9278-C9EFFB2E97A8}" type="TxLink">
              <a:rPr lang="en-US" sz="80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MUESTRA  :  C1BH-L12-L10-3+830-C (13,49-13,90) 	</a:t>
            </a:fld>
            <a:endParaRPr lang="es-ES" sz="900"/>
          </a:p>
        </xdr:txBody>
      </xdr:sp>
    </xdr:grpSp>
    <xdr:clientData/>
  </xdr:twoCellAnchor>
  <xdr:twoCellAnchor>
    <xdr:from>
      <xdr:col>24</xdr:col>
      <xdr:colOff>294948</xdr:colOff>
      <xdr:row>75</xdr:row>
      <xdr:rowOff>167977</xdr:rowOff>
    </xdr:from>
    <xdr:to>
      <xdr:col>28</xdr:col>
      <xdr:colOff>353377</xdr:colOff>
      <xdr:row>77</xdr:row>
      <xdr:rowOff>21347</xdr:rowOff>
    </xdr:to>
    <xdr:sp macro="" textlink="$AE$4">
      <xdr:nvSpPr>
        <xdr:cNvPr id="26" name="CuadroTexto 25">
          <a:extLst>
            <a:ext uri="{FF2B5EF4-FFF2-40B4-BE49-F238E27FC236}">
              <a16:creationId xmlns:a16="http://schemas.microsoft.com/office/drawing/2014/main" id="{3180709B-DB6F-40EA-8EC4-7E3DEDF1C59E}"/>
            </a:ext>
          </a:extLst>
        </xdr:cNvPr>
        <xdr:cNvSpPr txBox="1"/>
      </xdr:nvSpPr>
      <xdr:spPr>
        <a:xfrm>
          <a:off x="20468898" y="14645977"/>
          <a:ext cx="2620654" cy="2343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F41B10-4B4B-427E-A56E-8BB8BC77351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ENSAYO: COMPRESIÓN UNIAXIAL SIMPLE</a:t>
          </a:fld>
          <a:endParaRPr lang="es-ES" sz="800"/>
        </a:p>
      </xdr:txBody>
    </xdr:sp>
    <xdr:clientData/>
  </xdr:twoCellAnchor>
  <xdr:twoCellAnchor>
    <xdr:from>
      <xdr:col>20</xdr:col>
      <xdr:colOff>552451</xdr:colOff>
      <xdr:row>77</xdr:row>
      <xdr:rowOff>19051</xdr:rowOff>
    </xdr:from>
    <xdr:to>
      <xdr:col>23</xdr:col>
      <xdr:colOff>47626</xdr:colOff>
      <xdr:row>78</xdr:row>
      <xdr:rowOff>28576</xdr:rowOff>
    </xdr:to>
    <xdr:sp macro="" textlink="">
      <xdr:nvSpPr>
        <xdr:cNvPr id="27" name="Text Box 10">
          <a:extLst>
            <a:ext uri="{FF2B5EF4-FFF2-40B4-BE49-F238E27FC236}">
              <a16:creationId xmlns:a16="http://schemas.microsoft.com/office/drawing/2014/main" id="{DCD8F5A7-30A6-4CCC-877A-A40B4841E4E8}"/>
            </a:ext>
          </a:extLst>
        </xdr:cNvPr>
        <xdr:cNvSpPr txBox="1">
          <a:spLocks noChangeArrowheads="1"/>
        </xdr:cNvSpPr>
      </xdr:nvSpPr>
      <xdr:spPr bwMode="auto">
        <a:xfrm>
          <a:off x="17792701" y="14878051"/>
          <a:ext cx="16954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26</xdr:col>
      <xdr:colOff>76200</xdr:colOff>
      <xdr:row>77</xdr:row>
      <xdr:rowOff>19051</xdr:rowOff>
    </xdr:from>
    <xdr:to>
      <xdr:col>28</xdr:col>
      <xdr:colOff>9525</xdr:colOff>
      <xdr:row>78</xdr:row>
      <xdr:rowOff>19051</xdr:rowOff>
    </xdr:to>
    <xdr:sp macro="" textlink="">
      <xdr:nvSpPr>
        <xdr:cNvPr id="28" name="Text Box 15">
          <a:extLst>
            <a:ext uri="{FF2B5EF4-FFF2-40B4-BE49-F238E27FC236}">
              <a16:creationId xmlns:a16="http://schemas.microsoft.com/office/drawing/2014/main" id="{84F28DCA-C759-4683-A7B1-D9766A213CAF}"/>
            </a:ext>
          </a:extLst>
        </xdr:cNvPr>
        <xdr:cNvSpPr txBox="1">
          <a:spLocks noChangeArrowheads="1"/>
        </xdr:cNvSpPr>
      </xdr:nvSpPr>
      <xdr:spPr bwMode="auto">
        <a:xfrm>
          <a:off x="21345525" y="14878051"/>
          <a:ext cx="14001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8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19</xdr:col>
      <xdr:colOff>729049</xdr:colOff>
      <xdr:row>4</xdr:row>
      <xdr:rowOff>2761</xdr:rowOff>
    </xdr:from>
    <xdr:to>
      <xdr:col>24</xdr:col>
      <xdr:colOff>19050</xdr:colOff>
      <xdr:row>24</xdr:row>
      <xdr:rowOff>9525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3E47D067-F024-4789-9128-A86C38120C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35874" y="764761"/>
          <a:ext cx="2957126" cy="4007264"/>
        </a:xfrm>
        <a:prstGeom prst="rect">
          <a:avLst/>
        </a:prstGeom>
      </xdr:spPr>
    </xdr:pic>
    <xdr:clientData/>
  </xdr:twoCellAnchor>
  <xdr:twoCellAnchor editAs="oneCell">
    <xdr:from>
      <xdr:col>19</xdr:col>
      <xdr:colOff>732314</xdr:colOff>
      <xdr:row>28</xdr:row>
      <xdr:rowOff>9525</xdr:rowOff>
    </xdr:from>
    <xdr:to>
      <xdr:col>24</xdr:col>
      <xdr:colOff>0</xdr:colOff>
      <xdr:row>49</xdr:row>
      <xdr:rowOff>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FF703FE3-A819-4FD7-8A1E-326758CCDA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239139" y="5534025"/>
          <a:ext cx="2934811" cy="3990975"/>
        </a:xfrm>
        <a:prstGeom prst="rect">
          <a:avLst/>
        </a:prstGeom>
      </xdr:spPr>
    </xdr:pic>
    <xdr:clientData/>
  </xdr:twoCellAnchor>
  <xdr:twoCellAnchor editAs="oneCell">
    <xdr:from>
      <xdr:col>20</xdr:col>
      <xdr:colOff>9875</xdr:colOff>
      <xdr:row>52</xdr:row>
      <xdr:rowOff>190002</xdr:rowOff>
    </xdr:from>
    <xdr:to>
      <xdr:col>24</xdr:col>
      <xdr:colOff>1</xdr:colOff>
      <xdr:row>74</xdr:row>
      <xdr:rowOff>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7597EE12-D345-4839-A493-7D470F7A96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l="-2"/>
        <a:stretch/>
      </xdr:blipFill>
      <xdr:spPr>
        <a:xfrm>
          <a:off x="17250125" y="10286502"/>
          <a:ext cx="2923826" cy="4000998"/>
        </a:xfrm>
        <a:prstGeom prst="rect">
          <a:avLst/>
        </a:prstGeom>
      </xdr:spPr>
    </xdr:pic>
    <xdr:clientData/>
  </xdr:twoCellAnchor>
  <xdr:twoCellAnchor editAs="oneCell">
    <xdr:from>
      <xdr:col>24</xdr:col>
      <xdr:colOff>360760</xdr:colOff>
      <xdr:row>27</xdr:row>
      <xdr:rowOff>190499</xdr:rowOff>
    </xdr:from>
    <xdr:to>
      <xdr:col>29</xdr:col>
      <xdr:colOff>0</xdr:colOff>
      <xdr:row>49</xdr:row>
      <xdr:rowOff>5952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BD9E041-5EA1-47DF-A079-29BDFA9325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34710" y="5524499"/>
          <a:ext cx="2934890" cy="4006453"/>
        </a:xfrm>
        <a:prstGeom prst="rect">
          <a:avLst/>
        </a:prstGeom>
      </xdr:spPr>
    </xdr:pic>
    <xdr:clientData/>
  </xdr:twoCellAnchor>
  <xdr:twoCellAnchor editAs="oneCell">
    <xdr:from>
      <xdr:col>24</xdr:col>
      <xdr:colOff>361932</xdr:colOff>
      <xdr:row>4</xdr:row>
      <xdr:rowOff>8918</xdr:rowOff>
    </xdr:from>
    <xdr:to>
      <xdr:col>29</xdr:col>
      <xdr:colOff>0</xdr:colOff>
      <xdr:row>24</xdr:row>
      <xdr:rowOff>8333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6FB75EA7-E7FB-4C6B-8C7A-2C653B937A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35882" y="770918"/>
          <a:ext cx="2933718" cy="3999915"/>
        </a:xfrm>
        <a:prstGeom prst="rect">
          <a:avLst/>
        </a:prstGeom>
      </xdr:spPr>
    </xdr:pic>
    <xdr:clientData/>
  </xdr:twoCellAnchor>
  <xdr:twoCellAnchor editAs="oneCell">
    <xdr:from>
      <xdr:col>25</xdr:col>
      <xdr:colOff>3535</xdr:colOff>
      <xdr:row>53</xdr:row>
      <xdr:rowOff>0</xdr:rowOff>
    </xdr:from>
    <xdr:to>
      <xdr:col>29</xdr:col>
      <xdr:colOff>9525</xdr:colOff>
      <xdr:row>73</xdr:row>
      <xdr:rowOff>186891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9EDAD1B1-884E-4D9A-AD43-3B7CD156FC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39435" y="10287000"/>
          <a:ext cx="2939690" cy="3996891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0.17864</cdr:x>
      <cdr:y>0.06497</cdr:y>
    </cdr:from>
    <cdr:to>
      <cdr:x>0.95526</cdr:x>
      <cdr:y>0.14161</cdr:y>
    </cdr:to>
    <cdr:sp macro="" textlink="'3629-14'!$AE$2">
      <cdr:nvSpPr>
        <cdr:cNvPr id="4" name="2 CuadroTexto"/>
        <cdr:cNvSpPr txBox="1"/>
      </cdr:nvSpPr>
      <cdr:spPr>
        <a:xfrm xmlns:a="http://schemas.openxmlformats.org/drawingml/2006/main">
          <a:off x="714858" y="199326"/>
          <a:ext cx="3107733" cy="2351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pPr algn="ctr"/>
          <a:fld id="{18F2A86C-E822-47F2-930C-3349BE422B2C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C1BH-L12-L10-3+830-C</a:t>
          </a:fld>
          <a:endParaRPr lang="en-US"/>
        </a:p>
      </cdr:txBody>
    </cdr:sp>
  </cdr:relSizeAnchor>
  <cdr:relSizeAnchor xmlns:cdr="http://schemas.openxmlformats.org/drawingml/2006/chartDrawing">
    <cdr:from>
      <cdr:x>0.18268</cdr:x>
      <cdr:y>0.12605</cdr:y>
    </cdr:from>
    <cdr:to>
      <cdr:x>0.9714</cdr:x>
      <cdr:y>0.19423</cdr:y>
    </cdr:to>
    <cdr:sp macro="" textlink="'3629-14'!$AE$3">
      <cdr:nvSpPr>
        <cdr:cNvPr id="5" name="2 CuadroTexto"/>
        <cdr:cNvSpPr txBox="1"/>
      </cdr:nvSpPr>
      <cdr:spPr>
        <a:xfrm xmlns:a="http://schemas.openxmlformats.org/drawingml/2006/main">
          <a:off x="731003" y="386718"/>
          <a:ext cx="3156166" cy="2091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F648CD-6147-4A76-B8C7-06D340F306E2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MUESTRA  :  C1BH-L12-L10-3+830-C (13,49-13,90) 	</a:t>
          </a:fld>
          <a:endParaRPr lang="es-ES" sz="1100"/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M24"/>
  <sheetViews>
    <sheetView showGridLines="0" tabSelected="1" workbookViewId="0">
      <selection activeCell="C3" sqref="C3:H3"/>
    </sheetView>
  </sheetViews>
  <sheetFormatPr baseColWidth="10" defaultRowHeight="12.75" x14ac:dyDescent="0.15"/>
  <cols>
    <col min="1" max="1" width="6.125" style="97" customWidth="1"/>
    <col min="2" max="2" width="12.875" style="97" bestFit="1" customWidth="1"/>
    <col min="3" max="3" width="12.375" style="97" customWidth="1"/>
    <col min="4" max="8" width="11.5" style="97" customWidth="1"/>
    <col min="9" max="9" width="11" style="97"/>
    <col min="10" max="10" width="2.375" style="97" customWidth="1"/>
    <col min="11" max="12" width="11" style="97"/>
    <col min="13" max="13" width="15.375" style="97" bestFit="1" customWidth="1"/>
    <col min="14" max="16384" width="11" style="97"/>
  </cols>
  <sheetData>
    <row r="2" spans="2:8" ht="12.75" customHeight="1" x14ac:dyDescent="0.15">
      <c r="B2" s="96" t="s">
        <v>1</v>
      </c>
      <c r="C2" s="146" t="s">
        <v>98</v>
      </c>
      <c r="D2" s="147"/>
      <c r="E2" s="147"/>
      <c r="F2" s="147"/>
      <c r="G2" s="147"/>
      <c r="H2" s="148"/>
    </row>
    <row r="3" spans="2:8" x14ac:dyDescent="0.15">
      <c r="B3" s="98" t="s">
        <v>71</v>
      </c>
      <c r="C3" s="146" t="s">
        <v>106</v>
      </c>
      <c r="D3" s="147"/>
      <c r="E3" s="147"/>
      <c r="F3" s="147"/>
      <c r="G3" s="147"/>
      <c r="H3" s="148"/>
    </row>
    <row r="4" spans="2:8" x14ac:dyDescent="0.15">
      <c r="B4" s="99" t="s">
        <v>13</v>
      </c>
      <c r="C4" s="146" t="s">
        <v>99</v>
      </c>
      <c r="D4" s="147"/>
      <c r="E4" s="147"/>
      <c r="F4" s="147"/>
      <c r="G4" s="147"/>
      <c r="H4" s="148"/>
    </row>
    <row r="6" spans="2:8" x14ac:dyDescent="0.15">
      <c r="B6" s="144" t="s">
        <v>72</v>
      </c>
      <c r="C6" s="144"/>
      <c r="D6" s="144"/>
    </row>
    <row r="7" spans="2:8" x14ac:dyDescent="0.15">
      <c r="B7" s="145">
        <v>3</v>
      </c>
      <c r="C7" s="145"/>
      <c r="D7" s="145"/>
    </row>
    <row r="10" spans="2:8" x14ac:dyDescent="0.15">
      <c r="B10" s="100" t="s">
        <v>73</v>
      </c>
      <c r="C10" s="100" t="s">
        <v>74</v>
      </c>
    </row>
    <row r="11" spans="2:8" x14ac:dyDescent="0.15">
      <c r="B11" s="101">
        <v>1</v>
      </c>
      <c r="C11" s="102" t="s">
        <v>95</v>
      </c>
    </row>
    <row r="12" spans="2:8" x14ac:dyDescent="0.15">
      <c r="B12" s="101">
        <v>2</v>
      </c>
      <c r="C12" s="102" t="s">
        <v>96</v>
      </c>
    </row>
    <row r="13" spans="2:8" x14ac:dyDescent="0.15">
      <c r="B13" s="101">
        <v>3</v>
      </c>
      <c r="C13" s="102" t="s">
        <v>97</v>
      </c>
    </row>
    <row r="17" spans="13:13" x14ac:dyDescent="0.15">
      <c r="M17" s="100" t="s">
        <v>84</v>
      </c>
    </row>
    <row r="18" spans="13:13" x14ac:dyDescent="0.15">
      <c r="M18" s="129" t="s">
        <v>85</v>
      </c>
    </row>
    <row r="19" spans="13:13" x14ac:dyDescent="0.15">
      <c r="M19" s="129" t="s">
        <v>86</v>
      </c>
    </row>
    <row r="20" spans="13:13" x14ac:dyDescent="0.15">
      <c r="M20" s="129" t="s">
        <v>87</v>
      </c>
    </row>
    <row r="21" spans="13:13" x14ac:dyDescent="0.15">
      <c r="M21" s="129" t="s">
        <v>88</v>
      </c>
    </row>
    <row r="22" spans="13:13" x14ac:dyDescent="0.15">
      <c r="M22" s="129" t="s">
        <v>89</v>
      </c>
    </row>
    <row r="23" spans="13:13" x14ac:dyDescent="0.15">
      <c r="M23" s="129" t="s">
        <v>90</v>
      </c>
    </row>
    <row r="24" spans="13:13" x14ac:dyDescent="0.15">
      <c r="M24" s="129" t="s">
        <v>91</v>
      </c>
    </row>
  </sheetData>
  <sheetProtection algorithmName="SHA-512" hashValue="mdQ6wWSfM3+JRl1BqTk162HwyO4QbMqcaf4eGx/hvThJymTK+F4iTrjAsSKtlRtd4iM+qYAt7fmYvASd+F4ATA==" saltValue="RGURsCBjPT/dnBN7T5xx6A==" spinCount="100000" sheet="1" formatCells="0" formatColumns="0" formatRows="0"/>
  <protectedRanges>
    <protectedRange sqref="B7 B10:D11 C2:H4 G10:H11 B12:H100" name="Rango1"/>
  </protectedRanges>
  <mergeCells count="5">
    <mergeCell ref="B6:D6"/>
    <mergeCell ref="B7:D7"/>
    <mergeCell ref="C2:H2"/>
    <mergeCell ref="C3:H3"/>
    <mergeCell ref="C4:H4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N201"/>
  <sheetViews>
    <sheetView topLeftCell="H1" zoomScaleNormal="100" workbookViewId="0">
      <selection activeCell="N2" sqref="N2"/>
    </sheetView>
  </sheetViews>
  <sheetFormatPr baseColWidth="10" defaultColWidth="9.625" defaultRowHeight="12" x14ac:dyDescent="0.2"/>
  <cols>
    <col min="1" max="1" width="15.625" style="2" customWidth="1"/>
    <col min="2" max="2" width="14.5" style="2" customWidth="1"/>
    <col min="3" max="3" width="9.625" style="2" customWidth="1"/>
    <col min="4" max="5" width="10.5" style="2" customWidth="1"/>
    <col min="6" max="6" width="24.375" style="2" customWidth="1"/>
    <col min="7" max="7" width="11.625" style="2" customWidth="1"/>
    <col min="8" max="8" width="6.25" style="2" customWidth="1"/>
    <col min="9" max="9" width="9.625" style="2"/>
    <col min="10" max="10" width="17.125" style="2" customWidth="1"/>
    <col min="11" max="12" width="12.375" style="2" customWidth="1"/>
    <col min="13" max="13" width="12.125" style="17" customWidth="1"/>
    <col min="14" max="14" width="7.125" style="17" customWidth="1"/>
    <col min="15" max="15" width="5.625" style="2" customWidth="1"/>
    <col min="16" max="16" width="14.625" style="2" customWidth="1"/>
    <col min="17" max="17" width="4.125" style="2" customWidth="1"/>
    <col min="18" max="18" width="8.875" style="2" customWidth="1"/>
    <col min="19" max="23" width="9.625" style="2"/>
    <col min="24" max="24" width="9.625" style="2" customWidth="1"/>
    <col min="25" max="25" width="4.75" style="2" customWidth="1"/>
    <col min="26" max="28" width="9.625" style="2"/>
    <col min="29" max="29" width="9.625" style="2" customWidth="1"/>
    <col min="30" max="30" width="9.125" style="21" customWidth="1"/>
    <col min="31" max="31" width="43.625" style="21" hidden="1" customWidth="1"/>
    <col min="32" max="32" width="0" style="21" hidden="1" customWidth="1"/>
    <col min="33" max="33" width="9.625" style="21"/>
    <col min="34" max="38" width="0" style="21" hidden="1" customWidth="1"/>
    <col min="39" max="40" width="9.625" style="21"/>
    <col min="41" max="16384" width="9.625" style="2"/>
  </cols>
  <sheetData>
    <row r="1" spans="1:39" ht="15" customHeight="1" x14ac:dyDescent="0.2">
      <c r="A1" s="1" t="s">
        <v>69</v>
      </c>
      <c r="B1" s="103" t="str">
        <f>+'Ingreso Datos'!C2</f>
        <v>C1BH-L12-L10-3+830-C</v>
      </c>
      <c r="D1" s="105" t="s">
        <v>75</v>
      </c>
      <c r="E1" s="106"/>
      <c r="F1" s="106"/>
      <c r="G1" s="107"/>
      <c r="J1" s="162" t="s">
        <v>31</v>
      </c>
      <c r="K1" s="162"/>
      <c r="L1" s="162"/>
      <c r="M1" s="162"/>
      <c r="N1" s="162"/>
      <c r="O1" s="162"/>
      <c r="P1" s="162"/>
      <c r="Q1" s="162"/>
      <c r="R1" s="162"/>
      <c r="S1" s="162"/>
      <c r="T1" s="163" t="str">
        <f>J1</f>
        <v>INFORME ENSAYO COMPRESIÓN UNIAXIAL SIMPLE EN MUESTRAS DE ROCA</v>
      </c>
      <c r="U1" s="163"/>
      <c r="V1" s="163"/>
      <c r="W1" s="163"/>
      <c r="X1" s="163"/>
      <c r="Y1" s="163"/>
      <c r="Z1" s="163"/>
      <c r="AA1" s="163"/>
      <c r="AB1" s="163"/>
      <c r="AC1" s="163"/>
      <c r="AD1" s="163"/>
    </row>
    <row r="2" spans="1:39" ht="15" customHeight="1" x14ac:dyDescent="0.2">
      <c r="A2" s="1" t="s">
        <v>68</v>
      </c>
      <c r="B2" s="104" t="s">
        <v>103</v>
      </c>
      <c r="D2" s="108" t="s">
        <v>76</v>
      </c>
      <c r="E2" s="109"/>
      <c r="F2" s="109"/>
      <c r="G2" s="110"/>
      <c r="M2" s="2"/>
      <c r="N2" s="2"/>
      <c r="AE2" s="95" t="str">
        <f>+CONCATENATE(A1,"  ",":","  ",B1)</f>
        <v>PROYECTO  :  C1BH-L12-L10-3+830-C</v>
      </c>
      <c r="AF2" s="94"/>
      <c r="AG2" s="94"/>
      <c r="AH2" s="94"/>
      <c r="AI2" s="94"/>
      <c r="AJ2" s="94"/>
      <c r="AK2" s="94"/>
      <c r="AL2" s="94"/>
      <c r="AM2" s="94"/>
    </row>
    <row r="3" spans="1:39" ht="15" customHeight="1" x14ac:dyDescent="0.2">
      <c r="A3" s="4" t="s">
        <v>23</v>
      </c>
      <c r="B3" s="143">
        <v>45426</v>
      </c>
      <c r="C3" s="5"/>
      <c r="D3" s="111" t="s">
        <v>58</v>
      </c>
      <c r="E3" s="112"/>
      <c r="F3" s="112"/>
      <c r="G3" s="113"/>
      <c r="J3" s="6" t="s">
        <v>1</v>
      </c>
      <c r="K3" s="7"/>
      <c r="L3" s="8" t="str">
        <f>B1</f>
        <v>C1BH-L12-L10-3+830-C</v>
      </c>
      <c r="M3" s="9"/>
      <c r="N3" s="10"/>
      <c r="O3" s="10"/>
      <c r="P3" s="10"/>
      <c r="Q3" s="10"/>
      <c r="R3" s="11"/>
      <c r="T3" s="164" t="s">
        <v>43</v>
      </c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95" t="str">
        <f>+CONCATENATE(A2,"  ",":","  ",B2)</f>
        <v xml:space="preserve">MUESTRA  :  C1BH-L12-L10-3+830-C (02,16-02,50) </v>
      </c>
      <c r="AF3" s="94"/>
      <c r="AG3" s="94"/>
      <c r="AH3" s="94"/>
      <c r="AI3" s="94"/>
      <c r="AJ3" s="94"/>
      <c r="AK3" s="94"/>
      <c r="AL3" s="94"/>
      <c r="AM3" s="94"/>
    </row>
    <row r="4" spans="1:39" ht="15" customHeight="1" x14ac:dyDescent="0.2">
      <c r="A4" s="12" t="s">
        <v>26</v>
      </c>
      <c r="B4" s="104" t="s">
        <v>100</v>
      </c>
      <c r="J4" s="13" t="s">
        <v>93</v>
      </c>
      <c r="K4" s="9"/>
      <c r="L4" s="14" t="str">
        <f>+'Ingreso Datos'!C3</f>
        <v>1.965.912-A</v>
      </c>
      <c r="M4" s="9"/>
      <c r="N4" s="10"/>
      <c r="O4" s="10"/>
      <c r="P4" s="10"/>
      <c r="Q4" s="10"/>
      <c r="R4" s="11"/>
      <c r="U4" s="15"/>
      <c r="V4" s="16"/>
      <c r="W4" s="17"/>
      <c r="X4" s="17"/>
      <c r="AE4" s="2" t="s">
        <v>70</v>
      </c>
    </row>
    <row r="5" spans="1:39" ht="15" customHeight="1" x14ac:dyDescent="0.2">
      <c r="A5" s="12" t="s">
        <v>27</v>
      </c>
      <c r="B5" s="104" t="s">
        <v>101</v>
      </c>
      <c r="J5" s="6" t="s">
        <v>13</v>
      </c>
      <c r="K5" s="7"/>
      <c r="L5" s="14" t="str">
        <f>+'Ingreso Datos'!C4</f>
        <v>-</v>
      </c>
      <c r="M5" s="9"/>
      <c r="N5" s="10"/>
      <c r="O5" s="10"/>
      <c r="P5" s="10"/>
      <c r="Q5" s="10"/>
      <c r="R5" s="11"/>
      <c r="U5" s="120"/>
      <c r="V5" s="121"/>
      <c r="W5" s="121"/>
      <c r="X5" s="122"/>
      <c r="Z5" s="120"/>
      <c r="AA5" s="121"/>
      <c r="AB5" s="121"/>
      <c r="AC5" s="122"/>
    </row>
    <row r="6" spans="1:39" ht="15" customHeight="1" x14ac:dyDescent="0.2">
      <c r="A6" s="12" t="s">
        <v>28</v>
      </c>
      <c r="B6" s="104" t="s">
        <v>102</v>
      </c>
      <c r="E6" s="18" t="s">
        <v>66</v>
      </c>
      <c r="F6" s="11">
        <f>+ROUND(AVERAGE(C8:C16),1)*10</f>
        <v>61</v>
      </c>
      <c r="G6" s="19" t="str">
        <f>+CONCATENATE("D",F6)</f>
        <v>D61</v>
      </c>
      <c r="J6" s="20" t="s">
        <v>14</v>
      </c>
      <c r="K6" s="9"/>
      <c r="L6" s="168">
        <f>B3</f>
        <v>45426</v>
      </c>
      <c r="M6" s="9"/>
      <c r="N6" s="10"/>
      <c r="O6" s="10"/>
      <c r="P6" s="10"/>
      <c r="Q6" s="10"/>
      <c r="R6" s="11"/>
      <c r="U6" s="123"/>
      <c r="V6" s="124"/>
      <c r="W6" s="124"/>
      <c r="X6" s="125"/>
      <c r="Z6" s="123"/>
      <c r="AA6" s="124"/>
      <c r="AB6" s="124"/>
      <c r="AC6" s="125"/>
    </row>
    <row r="7" spans="1:39" ht="15" customHeight="1" x14ac:dyDescent="0.2">
      <c r="A7" s="2" t="s">
        <v>67</v>
      </c>
      <c r="B7" s="104">
        <v>0.5</v>
      </c>
      <c r="C7" s="2" t="s">
        <v>80</v>
      </c>
      <c r="E7" s="22" t="s">
        <v>61</v>
      </c>
      <c r="F7" s="23"/>
      <c r="G7" s="24">
        <f>+AVERAGE(C8:C16)</f>
        <v>6.065555555555556</v>
      </c>
      <c r="H7" s="2" t="s">
        <v>45</v>
      </c>
      <c r="J7" s="25" t="s">
        <v>15</v>
      </c>
      <c r="K7" s="26"/>
      <c r="L7" s="168">
        <f>B3</f>
        <v>45426</v>
      </c>
      <c r="M7" s="9"/>
      <c r="N7" s="10"/>
      <c r="O7" s="10"/>
      <c r="P7" s="10"/>
      <c r="Q7" s="10"/>
      <c r="R7" s="11"/>
      <c r="U7" s="123"/>
      <c r="V7" s="124"/>
      <c r="W7" s="124"/>
      <c r="X7" s="125"/>
      <c r="Z7" s="123"/>
      <c r="AA7" s="124"/>
      <c r="AB7" s="124"/>
      <c r="AC7" s="125"/>
    </row>
    <row r="8" spans="1:39" ht="15" customHeight="1" x14ac:dyDescent="0.2">
      <c r="A8" s="27" t="s">
        <v>32</v>
      </c>
      <c r="B8" s="11"/>
      <c r="C8" s="104">
        <v>6.09</v>
      </c>
      <c r="D8" s="2" t="s">
        <v>45</v>
      </c>
      <c r="E8" s="2" t="s">
        <v>65</v>
      </c>
      <c r="G8" s="2">
        <f>+G7*10</f>
        <v>60.655555555555559</v>
      </c>
      <c r="H8" s="2" t="s">
        <v>48</v>
      </c>
      <c r="J8" s="28"/>
      <c r="K8" s="28"/>
      <c r="L8" s="29"/>
      <c r="M8" s="30"/>
      <c r="U8" s="123"/>
      <c r="V8" s="124"/>
      <c r="W8" s="124"/>
      <c r="X8" s="125"/>
      <c r="Z8" s="123"/>
      <c r="AA8" s="124"/>
      <c r="AB8" s="124"/>
      <c r="AC8" s="125"/>
    </row>
    <row r="9" spans="1:39" ht="15" customHeight="1" x14ac:dyDescent="0.2">
      <c r="A9" s="27" t="s">
        <v>33</v>
      </c>
      <c r="B9" s="10"/>
      <c r="C9" s="104">
        <v>6.09</v>
      </c>
      <c r="D9" s="2" t="s">
        <v>45</v>
      </c>
      <c r="E9" s="22" t="s">
        <v>35</v>
      </c>
      <c r="F9" s="23"/>
      <c r="G9" s="31">
        <f>((G7/2)^2)*PI()</f>
        <v>28.895555710362018</v>
      </c>
      <c r="H9" s="32" t="s">
        <v>52</v>
      </c>
      <c r="J9" s="33" t="s">
        <v>55</v>
      </c>
      <c r="K9" s="28"/>
      <c r="L9" s="29"/>
      <c r="M9" s="30"/>
      <c r="U9" s="123"/>
      <c r="V9" s="124"/>
      <c r="W9" s="124"/>
      <c r="X9" s="125"/>
      <c r="Z9" s="123"/>
      <c r="AA9" s="124"/>
      <c r="AB9" s="124"/>
      <c r="AC9" s="125"/>
    </row>
    <row r="10" spans="1:39" ht="15" customHeight="1" x14ac:dyDescent="0.2">
      <c r="A10" s="27" t="s">
        <v>34</v>
      </c>
      <c r="B10" s="10"/>
      <c r="C10" s="104">
        <v>6.06</v>
      </c>
      <c r="D10" s="2" t="s">
        <v>45</v>
      </c>
      <c r="E10" s="34"/>
      <c r="F10" s="35"/>
      <c r="G10" s="36">
        <f>+G9*100</f>
        <v>2889.5555710362019</v>
      </c>
      <c r="H10" s="32" t="s">
        <v>62</v>
      </c>
      <c r="J10" s="13" t="s">
        <v>2</v>
      </c>
      <c r="K10" s="37"/>
      <c r="L10" s="38" t="str">
        <f>B2</f>
        <v xml:space="preserve">C1BH-L12-L10-3+830-C (02,16-02,50) </v>
      </c>
      <c r="M10" s="9"/>
      <c r="N10" s="10"/>
      <c r="O10" s="10"/>
      <c r="P10" s="10"/>
      <c r="Q10" s="10"/>
      <c r="R10" s="11"/>
      <c r="T10" s="15"/>
      <c r="U10" s="123"/>
      <c r="V10" s="124"/>
      <c r="W10" s="124"/>
      <c r="X10" s="125"/>
      <c r="Z10" s="123"/>
      <c r="AA10" s="124"/>
      <c r="AB10" s="124"/>
      <c r="AC10" s="125"/>
    </row>
    <row r="11" spans="1:39" ht="15" customHeight="1" x14ac:dyDescent="0.2">
      <c r="A11" s="27" t="s">
        <v>36</v>
      </c>
      <c r="B11" s="10"/>
      <c r="C11" s="104">
        <v>6.06</v>
      </c>
      <c r="D11" s="2" t="s">
        <v>45</v>
      </c>
      <c r="E11" s="39" t="s">
        <v>4</v>
      </c>
      <c r="F11" s="23"/>
      <c r="G11" s="40">
        <f>AVERAGE(C17:C19)</f>
        <v>12.856666666666667</v>
      </c>
      <c r="H11" s="41" t="s">
        <v>45</v>
      </c>
      <c r="J11" s="20" t="s">
        <v>26</v>
      </c>
      <c r="K11" s="42"/>
      <c r="L11" s="43" t="str">
        <f>B4</f>
        <v>Toba de lapilli lítica</v>
      </c>
      <c r="M11" s="44"/>
      <c r="N11" s="45"/>
      <c r="O11" s="10"/>
      <c r="P11" s="10"/>
      <c r="Q11" s="10"/>
      <c r="R11" s="11"/>
      <c r="T11" s="15"/>
      <c r="U11" s="123"/>
      <c r="V11" s="124"/>
      <c r="W11" s="124"/>
      <c r="X11" s="125"/>
      <c r="Z11" s="123"/>
      <c r="AA11" s="124"/>
      <c r="AB11" s="124"/>
      <c r="AC11" s="125"/>
    </row>
    <row r="12" spans="1:39" ht="15" customHeight="1" x14ac:dyDescent="0.2">
      <c r="A12" s="27" t="s">
        <v>37</v>
      </c>
      <c r="B12" s="10"/>
      <c r="C12" s="104">
        <v>6.07</v>
      </c>
      <c r="D12" s="2" t="s">
        <v>45</v>
      </c>
      <c r="E12" s="46"/>
      <c r="F12" s="47"/>
      <c r="G12" s="48">
        <f>+G11*10</f>
        <v>128.56666666666666</v>
      </c>
      <c r="H12" s="16" t="s">
        <v>48</v>
      </c>
      <c r="J12" s="20" t="s">
        <v>27</v>
      </c>
      <c r="K12" s="42"/>
      <c r="L12" s="8" t="str">
        <f>B5</f>
        <v>No presenta</v>
      </c>
      <c r="M12" s="44"/>
      <c r="N12" s="45"/>
      <c r="O12" s="10"/>
      <c r="P12" s="10"/>
      <c r="Q12" s="10"/>
      <c r="R12" s="11"/>
      <c r="T12" s="15"/>
      <c r="U12" s="123"/>
      <c r="V12" s="124"/>
      <c r="W12" s="124"/>
      <c r="X12" s="125"/>
      <c r="Z12" s="123"/>
      <c r="AA12" s="124"/>
      <c r="AB12" s="124"/>
      <c r="AC12" s="125"/>
    </row>
    <row r="13" spans="1:39" ht="15" customHeight="1" x14ac:dyDescent="0.2">
      <c r="A13" s="27" t="s">
        <v>38</v>
      </c>
      <c r="B13" s="10"/>
      <c r="C13" s="104">
        <v>6.06</v>
      </c>
      <c r="D13" s="2" t="s">
        <v>45</v>
      </c>
      <c r="E13" s="49" t="s">
        <v>6</v>
      </c>
      <c r="F13" s="47"/>
      <c r="G13" s="50">
        <f>(((G7)/2)^2)*PI()*G11</f>
        <v>371.50052791622102</v>
      </c>
      <c r="H13" s="32" t="s">
        <v>53</v>
      </c>
      <c r="J13" s="20" t="s">
        <v>28</v>
      </c>
      <c r="K13" s="42"/>
      <c r="L13" s="8" t="str">
        <f>B6</f>
        <v>Oxidación y zeolitización</v>
      </c>
      <c r="M13" s="44"/>
      <c r="N13" s="45"/>
      <c r="O13" s="10"/>
      <c r="P13" s="10"/>
      <c r="Q13" s="10"/>
      <c r="R13" s="11"/>
      <c r="T13" s="15"/>
      <c r="U13" s="123"/>
      <c r="V13" s="124"/>
      <c r="W13" s="124"/>
      <c r="X13" s="125"/>
      <c r="Z13" s="123"/>
      <c r="AA13" s="124"/>
      <c r="AB13" s="124"/>
      <c r="AC13" s="125"/>
    </row>
    <row r="14" spans="1:39" ht="30" customHeight="1" x14ac:dyDescent="0.2">
      <c r="A14" s="27" t="s">
        <v>39</v>
      </c>
      <c r="B14" s="10"/>
      <c r="C14" s="104">
        <v>6.04</v>
      </c>
      <c r="D14" s="2" t="s">
        <v>45</v>
      </c>
      <c r="E14" s="27" t="s">
        <v>10</v>
      </c>
      <c r="F14" s="11"/>
      <c r="G14" s="51">
        <f>(C20/G13)</f>
        <v>2.4306021987770454</v>
      </c>
      <c r="H14" s="32" t="s">
        <v>54</v>
      </c>
      <c r="J14" s="20" t="s">
        <v>18</v>
      </c>
      <c r="K14" s="42"/>
      <c r="L14" s="165" t="s">
        <v>107</v>
      </c>
      <c r="M14" s="166"/>
      <c r="N14" s="166"/>
      <c r="O14" s="166"/>
      <c r="P14" s="166"/>
      <c r="Q14" s="166"/>
      <c r="R14" s="167"/>
      <c r="T14" s="15"/>
      <c r="U14" s="123"/>
      <c r="V14" s="124"/>
      <c r="W14" s="124"/>
      <c r="X14" s="125"/>
      <c r="Z14" s="123"/>
      <c r="AA14" s="124"/>
      <c r="AB14" s="124"/>
      <c r="AC14" s="125"/>
    </row>
    <row r="15" spans="1:39" ht="15" customHeight="1" x14ac:dyDescent="0.2">
      <c r="A15" s="27" t="s">
        <v>40</v>
      </c>
      <c r="B15" s="10"/>
      <c r="C15" s="104">
        <v>6.06</v>
      </c>
      <c r="D15" s="2" t="s">
        <v>45</v>
      </c>
      <c r="E15" s="52" t="s">
        <v>7</v>
      </c>
      <c r="F15" s="11"/>
      <c r="G15" s="51">
        <f>(G14/(C21+100))*100</f>
        <v>2.3876249496827562</v>
      </c>
      <c r="H15" s="32" t="s">
        <v>54</v>
      </c>
      <c r="J15" s="28"/>
      <c r="K15" s="28"/>
      <c r="L15" s="28"/>
      <c r="M15" s="30"/>
      <c r="T15" s="15"/>
      <c r="U15" s="123"/>
      <c r="V15" s="124"/>
      <c r="W15" s="124"/>
      <c r="X15" s="125"/>
      <c r="Z15" s="123"/>
      <c r="AA15" s="124"/>
      <c r="AB15" s="124"/>
      <c r="AC15" s="125"/>
    </row>
    <row r="16" spans="1:39" ht="15" customHeight="1" x14ac:dyDescent="0.2">
      <c r="A16" s="27" t="s">
        <v>41</v>
      </c>
      <c r="B16" s="10"/>
      <c r="C16" s="104">
        <v>6.06</v>
      </c>
      <c r="D16" s="2" t="s">
        <v>45</v>
      </c>
      <c r="E16" s="18" t="s">
        <v>60</v>
      </c>
      <c r="F16" s="11"/>
      <c r="G16" s="56">
        <f>G11/G7</f>
        <v>2.1196189778347683</v>
      </c>
      <c r="H16" s="57"/>
      <c r="J16" s="53" t="s">
        <v>24</v>
      </c>
      <c r="K16" s="54"/>
      <c r="L16" s="55"/>
      <c r="M16" s="16"/>
      <c r="N16" s="118" t="s">
        <v>83</v>
      </c>
      <c r="O16" s="119"/>
      <c r="T16" s="15"/>
      <c r="U16" s="123"/>
      <c r="V16" s="124"/>
      <c r="W16" s="124"/>
      <c r="X16" s="125"/>
      <c r="Z16" s="123"/>
      <c r="AA16" s="124"/>
      <c r="AB16" s="124"/>
      <c r="AC16" s="125"/>
    </row>
    <row r="17" spans="1:29" ht="15" customHeight="1" x14ac:dyDescent="0.2">
      <c r="A17" s="27" t="s">
        <v>20</v>
      </c>
      <c r="B17" s="10"/>
      <c r="C17" s="104">
        <v>12.85</v>
      </c>
      <c r="D17" s="2" t="s">
        <v>45</v>
      </c>
      <c r="H17" s="57"/>
      <c r="I17" s="32"/>
      <c r="J17" s="58" t="s">
        <v>61</v>
      </c>
      <c r="K17" s="59" t="s">
        <v>12</v>
      </c>
      <c r="L17" s="60">
        <f>+G7</f>
        <v>6.065555555555556</v>
      </c>
      <c r="M17" s="61"/>
      <c r="N17" s="159" t="s">
        <v>82</v>
      </c>
      <c r="O17" s="160"/>
      <c r="P17" s="160"/>
      <c r="Q17" s="161"/>
      <c r="R17" s="140">
        <f>MAX(L27:L500)</f>
        <v>97.473550186746692</v>
      </c>
      <c r="T17" s="15"/>
      <c r="U17" s="123"/>
      <c r="V17" s="124"/>
      <c r="W17" s="124"/>
      <c r="X17" s="125"/>
      <c r="Z17" s="123"/>
      <c r="AA17" s="124"/>
      <c r="AB17" s="124"/>
      <c r="AC17" s="125"/>
    </row>
    <row r="18" spans="1:29" ht="15" customHeight="1" x14ac:dyDescent="0.2">
      <c r="A18" s="27" t="s">
        <v>21</v>
      </c>
      <c r="B18" s="10"/>
      <c r="C18" s="104">
        <v>12.86</v>
      </c>
      <c r="D18" s="2" t="s">
        <v>45</v>
      </c>
      <c r="I18" s="32"/>
      <c r="J18" s="62" t="s">
        <v>4</v>
      </c>
      <c r="K18" s="63" t="s">
        <v>12</v>
      </c>
      <c r="L18" s="60">
        <f>G11</f>
        <v>12.856666666666667</v>
      </c>
      <c r="M18" s="64"/>
      <c r="N18" s="159" t="str">
        <f>+CONCATENATE("Resistencia Máx. ",K25," [MPa]")</f>
        <v>Resistencia Máx. D61 [MPa]</v>
      </c>
      <c r="O18" s="160"/>
      <c r="P18" s="160"/>
      <c r="Q18" s="161"/>
      <c r="R18" s="140">
        <f>MAX(K27:K500)</f>
        <v>93.779231213340438</v>
      </c>
      <c r="T18" s="16"/>
      <c r="U18" s="123"/>
      <c r="V18" s="124"/>
      <c r="W18" s="124"/>
      <c r="X18" s="125"/>
      <c r="Z18" s="123"/>
      <c r="AA18" s="124"/>
      <c r="AB18" s="124"/>
      <c r="AC18" s="125"/>
    </row>
    <row r="19" spans="1:29" ht="15" customHeight="1" x14ac:dyDescent="0.2">
      <c r="A19" s="27" t="s">
        <v>22</v>
      </c>
      <c r="B19" s="10"/>
      <c r="C19" s="104">
        <v>12.86</v>
      </c>
      <c r="D19" s="2" t="s">
        <v>45</v>
      </c>
      <c r="E19" s="18" t="s">
        <v>30</v>
      </c>
      <c r="F19" s="11"/>
      <c r="G19" s="104" t="s">
        <v>85</v>
      </c>
      <c r="I19" s="32"/>
      <c r="J19" s="65" t="s">
        <v>10</v>
      </c>
      <c r="K19" s="66" t="s">
        <v>16</v>
      </c>
      <c r="L19" s="60">
        <f>G14</f>
        <v>2.4306021987770454</v>
      </c>
      <c r="M19" s="64"/>
      <c r="N19" s="2"/>
      <c r="T19" s="16"/>
      <c r="U19" s="123"/>
      <c r="V19" s="124"/>
      <c r="W19" s="124"/>
      <c r="X19" s="125"/>
      <c r="Z19" s="123"/>
      <c r="AA19" s="124"/>
      <c r="AB19" s="124"/>
      <c r="AC19" s="125"/>
    </row>
    <row r="20" spans="1:29" ht="15" customHeight="1" x14ac:dyDescent="0.2">
      <c r="A20" s="52" t="s">
        <v>5</v>
      </c>
      <c r="B20" s="10"/>
      <c r="C20" s="104">
        <v>902.97</v>
      </c>
      <c r="D20" s="16" t="s">
        <v>46</v>
      </c>
      <c r="E20" s="114" t="s">
        <v>78</v>
      </c>
      <c r="F20" s="115"/>
      <c r="G20" s="116"/>
      <c r="I20" s="57"/>
      <c r="J20" s="62" t="s">
        <v>7</v>
      </c>
      <c r="K20" s="66" t="s">
        <v>16</v>
      </c>
      <c r="L20" s="60">
        <f>G15</f>
        <v>2.3876249496827562</v>
      </c>
      <c r="M20" s="64"/>
      <c r="N20" s="2"/>
      <c r="T20" s="16"/>
      <c r="U20" s="123"/>
      <c r="V20" s="124"/>
      <c r="W20" s="124"/>
      <c r="X20" s="125"/>
      <c r="Z20" s="123"/>
      <c r="AA20" s="124"/>
      <c r="AB20" s="124"/>
      <c r="AC20" s="125"/>
    </row>
    <row r="21" spans="1:29" ht="15" customHeight="1" x14ac:dyDescent="0.2">
      <c r="A21" s="18" t="s">
        <v>25</v>
      </c>
      <c r="B21" s="11"/>
      <c r="C21" s="104">
        <v>1.8</v>
      </c>
      <c r="D21" s="2" t="s">
        <v>47</v>
      </c>
      <c r="E21" s="117" t="s">
        <v>79</v>
      </c>
      <c r="F21" s="115"/>
      <c r="G21" s="116"/>
      <c r="I21" s="57"/>
      <c r="J21" s="65" t="s">
        <v>3</v>
      </c>
      <c r="K21" s="66" t="s">
        <v>0</v>
      </c>
      <c r="L21" s="60">
        <f>C21</f>
        <v>1.8</v>
      </c>
      <c r="M21" s="64"/>
      <c r="N21" s="2"/>
      <c r="T21" s="16"/>
      <c r="U21" s="123"/>
      <c r="V21" s="124"/>
      <c r="W21" s="124"/>
      <c r="X21" s="125"/>
      <c r="Z21" s="123"/>
      <c r="AA21" s="124"/>
      <c r="AB21" s="124"/>
      <c r="AC21" s="125"/>
    </row>
    <row r="22" spans="1:29" ht="15" customHeight="1" x14ac:dyDescent="0.2">
      <c r="H22" s="57"/>
      <c r="I22" s="57"/>
      <c r="N22" s="67"/>
      <c r="U22" s="123"/>
      <c r="V22" s="124"/>
      <c r="W22" s="124"/>
      <c r="X22" s="125"/>
      <c r="Z22" s="123"/>
      <c r="AA22" s="124"/>
      <c r="AB22" s="124"/>
      <c r="AC22" s="125"/>
    </row>
    <row r="23" spans="1:29" ht="15" customHeight="1" x14ac:dyDescent="0.2">
      <c r="A23" s="69" t="s">
        <v>59</v>
      </c>
      <c r="B23" s="69" t="s">
        <v>9</v>
      </c>
      <c r="C23" s="70" t="s">
        <v>8</v>
      </c>
      <c r="D23" s="69" t="s">
        <v>9</v>
      </c>
      <c r="E23" s="69" t="s">
        <v>42</v>
      </c>
      <c r="F23" s="69" t="s">
        <v>42</v>
      </c>
      <c r="G23" s="69" t="s">
        <v>42</v>
      </c>
      <c r="H23" s="57"/>
      <c r="I23" s="57"/>
      <c r="J23" s="3" t="s">
        <v>56</v>
      </c>
      <c r="M23" s="15"/>
      <c r="N23" s="15"/>
      <c r="O23" s="68"/>
      <c r="U23" s="123"/>
      <c r="V23" s="124"/>
      <c r="W23" s="124"/>
      <c r="X23" s="125"/>
      <c r="Z23" s="123"/>
      <c r="AA23" s="124"/>
      <c r="AB23" s="124"/>
      <c r="AC23" s="125"/>
    </row>
    <row r="24" spans="1:29" ht="15" customHeight="1" x14ac:dyDescent="0.2">
      <c r="E24" s="71" t="str">
        <f>G6</f>
        <v>D61</v>
      </c>
      <c r="F24" s="71" t="str">
        <f>G6</f>
        <v>D61</v>
      </c>
      <c r="G24" s="17" t="s">
        <v>64</v>
      </c>
      <c r="H24" s="57"/>
      <c r="I24" s="57"/>
      <c r="J24" s="70" t="s">
        <v>11</v>
      </c>
      <c r="K24" s="69" t="s">
        <v>44</v>
      </c>
      <c r="L24" s="69" t="s">
        <v>44</v>
      </c>
      <c r="M24" s="15"/>
      <c r="N24" s="15"/>
      <c r="O24" s="68"/>
      <c r="U24" s="126"/>
      <c r="V24" s="127"/>
      <c r="W24" s="127"/>
      <c r="X24" s="128"/>
      <c r="Z24" s="126"/>
      <c r="AA24" s="127"/>
      <c r="AB24" s="127"/>
      <c r="AC24" s="128"/>
    </row>
    <row r="25" spans="1:29" ht="15" customHeight="1" x14ac:dyDescent="0.2">
      <c r="A25" s="75" t="s">
        <v>50</v>
      </c>
      <c r="B25" s="75" t="s">
        <v>57</v>
      </c>
      <c r="C25" s="75" t="s">
        <v>0</v>
      </c>
      <c r="D25" s="75" t="s">
        <v>49</v>
      </c>
      <c r="E25" s="76" t="s">
        <v>19</v>
      </c>
      <c r="F25" s="75" t="s">
        <v>19</v>
      </c>
      <c r="G25" s="75" t="s">
        <v>19</v>
      </c>
      <c r="H25" s="57"/>
      <c r="I25" s="57"/>
      <c r="J25" s="72"/>
      <c r="K25" s="73" t="str">
        <f>+G6</f>
        <v>D61</v>
      </c>
      <c r="L25" s="74" t="s">
        <v>63</v>
      </c>
      <c r="M25" s="15"/>
      <c r="N25" s="15"/>
      <c r="O25" s="68"/>
      <c r="U25" s="158"/>
      <c r="V25" s="158"/>
      <c r="W25" s="158"/>
      <c r="X25" s="158"/>
      <c r="Z25" s="15"/>
      <c r="AA25" s="15"/>
      <c r="AB25" s="15"/>
      <c r="AC25" s="15"/>
    </row>
    <row r="26" spans="1:29" ht="15" customHeight="1" x14ac:dyDescent="0.2">
      <c r="A26" s="78">
        <v>0</v>
      </c>
      <c r="B26" s="104">
        <v>0</v>
      </c>
      <c r="C26" s="79">
        <v>0</v>
      </c>
      <c r="D26" s="79">
        <f>+IF(AND(B26&gt;0,B26&lt;=300),1.0191*B26-0.1003,IF(AND(B26=0),0,IF(AND(B26&gt;300,B26&lt;=3000),1.0117*B26-0.7581,"Error")))*1000</f>
        <v>0</v>
      </c>
      <c r="E26" s="79">
        <f t="shared" ref="E26:E39" si="0">D26/G$10</f>
        <v>0</v>
      </c>
      <c r="F26" s="80">
        <f>IF((G$11/G$7)&gt;2.5,(E26/(0.88+(0.222*(G$11/G$7)))),E26*1)</f>
        <v>0</v>
      </c>
      <c r="G26" s="81">
        <f>F26*((AVERAGE(G$8)/50)^0.2)</f>
        <v>0</v>
      </c>
      <c r="H26" s="16"/>
      <c r="J26" s="77" t="s">
        <v>0</v>
      </c>
      <c r="K26" s="77" t="s">
        <v>81</v>
      </c>
      <c r="L26" s="77" t="s">
        <v>81</v>
      </c>
      <c r="M26" s="15"/>
      <c r="N26" s="15"/>
      <c r="O26" s="5"/>
      <c r="U26" s="15"/>
      <c r="V26" s="15"/>
      <c r="W26" s="15"/>
      <c r="X26" s="15"/>
      <c r="Z26" s="15"/>
      <c r="AA26" s="15"/>
      <c r="AB26" s="15"/>
      <c r="AC26" s="15"/>
    </row>
    <row r="27" spans="1:29" ht="15" customHeight="1" x14ac:dyDescent="0.2">
      <c r="A27" s="78">
        <v>1.8</v>
      </c>
      <c r="B27" s="104">
        <v>13</v>
      </c>
      <c r="C27" s="79">
        <f>((A27*0.0045+0.0063)/$G$12)*100</f>
        <v>1.1200414830178897E-2</v>
      </c>
      <c r="D27" s="79">
        <f t="shared" ref="D27:D50" si="1">+IF(AND(B27&gt;0,B27&lt;=300),1.0191*B27-0.1003,IF(AND(B27=0),0,IF(AND(B27&gt;300,B27&lt;=3000),1.0117*B27-0.7581,"Error")))*1000</f>
        <v>13147.999999999998</v>
      </c>
      <c r="E27" s="79">
        <f t="shared" si="0"/>
        <v>4.5501807031470562</v>
      </c>
      <c r="F27" s="80">
        <f t="shared" ref="F27:F50" si="2">IF((G$11/G$7)&gt;2.5,(E27/(0.88+(0.222*(G$11/G$7)))),E27*1)</f>
        <v>4.5501807031470562</v>
      </c>
      <c r="G27" s="81">
        <f t="shared" ref="G27:G39" si="3">F27*((AVERAGE(G$8)/50)^0.2)</f>
        <v>4.7294295484038722</v>
      </c>
      <c r="H27" s="16"/>
      <c r="J27" s="60">
        <f t="shared" ref="J27:J51" si="4">C26</f>
        <v>0</v>
      </c>
      <c r="K27" s="141">
        <f t="shared" ref="K27:K40" si="5">F26</f>
        <v>0</v>
      </c>
      <c r="L27" s="141">
        <f>+G26</f>
        <v>0</v>
      </c>
      <c r="M27" s="82"/>
      <c r="N27" s="82"/>
      <c r="W27" s="17"/>
      <c r="X27" s="17"/>
    </row>
    <row r="28" spans="1:29" ht="15" customHeight="1" x14ac:dyDescent="0.2">
      <c r="A28" s="78">
        <v>35.799999999999997</v>
      </c>
      <c r="B28" s="104">
        <v>23</v>
      </c>
      <c r="C28" s="79">
        <f t="shared" ref="C28:C50" si="6">((A28*0.0045+0.0063)/$G$12)*100</f>
        <v>0.13020482240082965</v>
      </c>
      <c r="D28" s="79">
        <f t="shared" si="1"/>
        <v>23338.999999999996</v>
      </c>
      <c r="E28" s="79">
        <f>D28/G$10</f>
        <v>8.0770206442614185</v>
      </c>
      <c r="F28" s="80">
        <f t="shared" si="2"/>
        <v>8.0770206442614185</v>
      </c>
      <c r="G28" s="81">
        <f>F28*((AVERAGE(G$8)/50)^0.2)</f>
        <v>8.3952050677059589</v>
      </c>
      <c r="H28" s="16"/>
      <c r="J28" s="60">
        <f t="shared" si="4"/>
        <v>1.1200414830178897E-2</v>
      </c>
      <c r="K28" s="141">
        <f t="shared" si="5"/>
        <v>4.5501807031470562</v>
      </c>
      <c r="L28" s="141">
        <f t="shared" ref="L28:L40" si="7">+G27</f>
        <v>4.7294295484038722</v>
      </c>
      <c r="M28" s="82"/>
      <c r="N28" s="82"/>
      <c r="W28" s="17"/>
      <c r="X28" s="17"/>
    </row>
    <row r="29" spans="1:29" ht="15" customHeight="1" x14ac:dyDescent="0.2">
      <c r="A29" s="78">
        <v>69.900000000000006</v>
      </c>
      <c r="B29" s="104">
        <v>31</v>
      </c>
      <c r="C29" s="79">
        <f t="shared" si="6"/>
        <v>0.24955924293492351</v>
      </c>
      <c r="D29" s="79">
        <f t="shared" si="1"/>
        <v>31491.799999999996</v>
      </c>
      <c r="E29" s="79">
        <f t="shared" si="0"/>
        <v>10.898492597152909</v>
      </c>
      <c r="F29" s="80">
        <f t="shared" si="2"/>
        <v>10.898492597152909</v>
      </c>
      <c r="G29" s="81">
        <f t="shared" si="3"/>
        <v>11.327825483147631</v>
      </c>
      <c r="H29" s="16"/>
      <c r="J29" s="60">
        <f t="shared" si="4"/>
        <v>0.13020482240082965</v>
      </c>
      <c r="K29" s="141">
        <f t="shared" si="5"/>
        <v>8.0770206442614185</v>
      </c>
      <c r="L29" s="141">
        <f t="shared" si="7"/>
        <v>8.3952050677059589</v>
      </c>
      <c r="M29" s="82"/>
      <c r="N29" s="82"/>
      <c r="U29" s="149"/>
      <c r="V29" s="150"/>
      <c r="W29" s="150"/>
      <c r="X29" s="151"/>
      <c r="Z29" s="149"/>
      <c r="AA29" s="150"/>
      <c r="AB29" s="150"/>
      <c r="AC29" s="151"/>
    </row>
    <row r="30" spans="1:29" ht="15" customHeight="1" x14ac:dyDescent="0.2">
      <c r="A30" s="78">
        <v>102.8</v>
      </c>
      <c r="B30" s="104">
        <v>42</v>
      </c>
      <c r="C30" s="79">
        <f t="shared" si="6"/>
        <v>0.3647135079077003</v>
      </c>
      <c r="D30" s="79">
        <f t="shared" si="1"/>
        <v>42701.9</v>
      </c>
      <c r="E30" s="79">
        <f t="shared" si="0"/>
        <v>14.778016532378713</v>
      </c>
      <c r="F30" s="80">
        <f t="shared" si="2"/>
        <v>14.778016532378713</v>
      </c>
      <c r="G30" s="81">
        <f t="shared" si="3"/>
        <v>15.360178554379932</v>
      </c>
      <c r="J30" s="60">
        <f t="shared" si="4"/>
        <v>0.24955924293492351</v>
      </c>
      <c r="K30" s="141">
        <f t="shared" si="5"/>
        <v>10.898492597152909</v>
      </c>
      <c r="L30" s="141">
        <f t="shared" si="7"/>
        <v>11.327825483147631</v>
      </c>
      <c r="M30" s="82"/>
      <c r="N30" s="82"/>
      <c r="U30" s="152"/>
      <c r="V30" s="153"/>
      <c r="W30" s="153"/>
      <c r="X30" s="154"/>
      <c r="Z30" s="152"/>
      <c r="AA30" s="153"/>
      <c r="AB30" s="153"/>
      <c r="AC30" s="154"/>
    </row>
    <row r="31" spans="1:29" ht="15" customHeight="1" x14ac:dyDescent="0.2">
      <c r="A31" s="78">
        <v>119.6</v>
      </c>
      <c r="B31" s="104">
        <v>49</v>
      </c>
      <c r="C31" s="79">
        <f t="shared" si="6"/>
        <v>0.42351568576613935</v>
      </c>
      <c r="D31" s="79">
        <f t="shared" si="1"/>
        <v>49835.6</v>
      </c>
      <c r="E31" s="79">
        <f t="shared" si="0"/>
        <v>17.246804491158766</v>
      </c>
      <c r="F31" s="80">
        <f t="shared" si="2"/>
        <v>17.246804491158766</v>
      </c>
      <c r="G31" s="81">
        <f t="shared" si="3"/>
        <v>17.926221417891391</v>
      </c>
      <c r="J31" s="60">
        <f t="shared" si="4"/>
        <v>0.3647135079077003</v>
      </c>
      <c r="K31" s="141">
        <f t="shared" si="5"/>
        <v>14.778016532378713</v>
      </c>
      <c r="L31" s="141">
        <f t="shared" si="7"/>
        <v>15.360178554379932</v>
      </c>
      <c r="M31" s="82"/>
      <c r="N31" s="82"/>
      <c r="U31" s="152"/>
      <c r="V31" s="153"/>
      <c r="W31" s="153"/>
      <c r="X31" s="154"/>
      <c r="Z31" s="152"/>
      <c r="AA31" s="153"/>
      <c r="AB31" s="153"/>
      <c r="AC31" s="154"/>
    </row>
    <row r="32" spans="1:29" ht="15" customHeight="1" x14ac:dyDescent="0.2">
      <c r="A32" s="78">
        <v>136.19999999999999</v>
      </c>
      <c r="B32" s="104">
        <v>56</v>
      </c>
      <c r="C32" s="79">
        <f t="shared" si="6"/>
        <v>0.48161783769769245</v>
      </c>
      <c r="D32" s="79">
        <f t="shared" si="1"/>
        <v>56969.299999999996</v>
      </c>
      <c r="E32" s="79">
        <f t="shared" si="0"/>
        <v>19.715592449938821</v>
      </c>
      <c r="F32" s="80">
        <f t="shared" si="2"/>
        <v>19.715592449938821</v>
      </c>
      <c r="G32" s="81">
        <f t="shared" si="3"/>
        <v>20.492264281402857</v>
      </c>
      <c r="H32" s="83"/>
      <c r="I32" s="83"/>
      <c r="J32" s="60">
        <f t="shared" si="4"/>
        <v>0.42351568576613935</v>
      </c>
      <c r="K32" s="141">
        <f t="shared" si="5"/>
        <v>17.246804491158766</v>
      </c>
      <c r="L32" s="141">
        <f t="shared" si="7"/>
        <v>17.926221417891391</v>
      </c>
      <c r="N32" s="82"/>
      <c r="U32" s="152"/>
      <c r="V32" s="153"/>
      <c r="W32" s="153"/>
      <c r="X32" s="154"/>
      <c r="Z32" s="152"/>
      <c r="AA32" s="153"/>
      <c r="AB32" s="153"/>
      <c r="AC32" s="154"/>
    </row>
    <row r="33" spans="1:29" ht="15" customHeight="1" x14ac:dyDescent="0.2">
      <c r="A33" s="78">
        <v>148.4</v>
      </c>
      <c r="B33" s="104">
        <v>62</v>
      </c>
      <c r="C33" s="79">
        <f t="shared" si="6"/>
        <v>0.5243194192377495</v>
      </c>
      <c r="D33" s="79">
        <f t="shared" si="1"/>
        <v>63083.899999999994</v>
      </c>
      <c r="E33" s="79">
        <f t="shared" si="0"/>
        <v>21.831696414607439</v>
      </c>
      <c r="F33" s="80">
        <f t="shared" si="2"/>
        <v>21.831696414607439</v>
      </c>
      <c r="G33" s="81">
        <f t="shared" si="3"/>
        <v>22.691729592984107</v>
      </c>
      <c r="H33" s="84"/>
      <c r="I33" s="84"/>
      <c r="J33" s="60">
        <f t="shared" si="4"/>
        <v>0.48161783769769245</v>
      </c>
      <c r="K33" s="141">
        <f t="shared" si="5"/>
        <v>19.715592449938821</v>
      </c>
      <c r="L33" s="141">
        <f t="shared" si="7"/>
        <v>20.492264281402857</v>
      </c>
      <c r="M33" s="82"/>
      <c r="N33" s="82"/>
      <c r="U33" s="152"/>
      <c r="V33" s="153"/>
      <c r="W33" s="153"/>
      <c r="X33" s="154"/>
      <c r="Z33" s="152"/>
      <c r="AA33" s="153"/>
      <c r="AB33" s="153"/>
      <c r="AC33" s="154"/>
    </row>
    <row r="34" spans="1:29" ht="15" customHeight="1" x14ac:dyDescent="0.2">
      <c r="A34" s="78">
        <v>169</v>
      </c>
      <c r="B34" s="104">
        <v>72</v>
      </c>
      <c r="C34" s="79">
        <f t="shared" si="6"/>
        <v>0.59642208970702615</v>
      </c>
      <c r="D34" s="79">
        <f t="shared" si="1"/>
        <v>73274.899999999994</v>
      </c>
      <c r="E34" s="79">
        <f t="shared" si="0"/>
        <v>25.3585363557218</v>
      </c>
      <c r="F34" s="80">
        <f t="shared" si="2"/>
        <v>25.3585363557218</v>
      </c>
      <c r="G34" s="81">
        <f t="shared" si="3"/>
        <v>26.357505112286194</v>
      </c>
      <c r="H34" s="84"/>
      <c r="I34" s="84"/>
      <c r="J34" s="60">
        <f t="shared" si="4"/>
        <v>0.5243194192377495</v>
      </c>
      <c r="K34" s="141">
        <f t="shared" si="5"/>
        <v>21.831696414607439</v>
      </c>
      <c r="L34" s="141">
        <f t="shared" si="7"/>
        <v>22.691729592984107</v>
      </c>
      <c r="M34" s="82"/>
      <c r="N34" s="82"/>
      <c r="O34" s="68"/>
      <c r="U34" s="152"/>
      <c r="V34" s="153"/>
      <c r="W34" s="153"/>
      <c r="X34" s="154"/>
      <c r="Z34" s="152"/>
      <c r="AA34" s="153"/>
      <c r="AB34" s="153"/>
      <c r="AC34" s="154"/>
    </row>
    <row r="35" spans="1:29" ht="15" customHeight="1" x14ac:dyDescent="0.2">
      <c r="A35" s="78">
        <v>177.8</v>
      </c>
      <c r="B35" s="104">
        <v>77</v>
      </c>
      <c r="C35" s="79">
        <f t="shared" si="6"/>
        <v>0.62722323049001816</v>
      </c>
      <c r="D35" s="79">
        <f t="shared" si="1"/>
        <v>78370.399999999994</v>
      </c>
      <c r="E35" s="79">
        <f t="shared" si="0"/>
        <v>27.121956326278983</v>
      </c>
      <c r="F35" s="80">
        <f t="shared" si="2"/>
        <v>27.121956326278983</v>
      </c>
      <c r="G35" s="81">
        <f t="shared" si="3"/>
        <v>28.190392871937242</v>
      </c>
      <c r="H35" s="83"/>
      <c r="I35" s="83"/>
      <c r="J35" s="60">
        <f t="shared" si="4"/>
        <v>0.59642208970702615</v>
      </c>
      <c r="K35" s="141">
        <f t="shared" si="5"/>
        <v>25.3585363557218</v>
      </c>
      <c r="L35" s="141">
        <f t="shared" si="7"/>
        <v>26.357505112286194</v>
      </c>
      <c r="M35" s="82"/>
      <c r="O35" s="68"/>
      <c r="U35" s="152"/>
      <c r="V35" s="153"/>
      <c r="W35" s="153"/>
      <c r="X35" s="154"/>
      <c r="Z35" s="152"/>
      <c r="AA35" s="153"/>
      <c r="AB35" s="153"/>
      <c r="AC35" s="154"/>
    </row>
    <row r="36" spans="1:29" ht="15" customHeight="1" x14ac:dyDescent="0.2">
      <c r="A36" s="78">
        <v>199.3</v>
      </c>
      <c r="B36" s="104">
        <v>90</v>
      </c>
      <c r="C36" s="79">
        <f t="shared" si="6"/>
        <v>0.70247601763028267</v>
      </c>
      <c r="D36" s="79">
        <f t="shared" si="1"/>
        <v>91618.699999999983</v>
      </c>
      <c r="E36" s="79">
        <f t="shared" si="0"/>
        <v>31.706848249727653</v>
      </c>
      <c r="F36" s="80">
        <f t="shared" si="2"/>
        <v>31.706848249727653</v>
      </c>
      <c r="G36" s="81">
        <f t="shared" si="3"/>
        <v>32.955901047029954</v>
      </c>
      <c r="H36" s="15"/>
      <c r="I36" s="15"/>
      <c r="J36" s="60">
        <f t="shared" si="4"/>
        <v>0.62722323049001816</v>
      </c>
      <c r="K36" s="141">
        <f t="shared" si="5"/>
        <v>27.121956326278983</v>
      </c>
      <c r="L36" s="141">
        <f t="shared" si="7"/>
        <v>28.190392871937242</v>
      </c>
      <c r="O36" s="68"/>
      <c r="U36" s="152"/>
      <c r="V36" s="153"/>
      <c r="W36" s="153"/>
      <c r="X36" s="154"/>
      <c r="Z36" s="152"/>
      <c r="AA36" s="153"/>
      <c r="AB36" s="153"/>
      <c r="AC36" s="154"/>
    </row>
    <row r="37" spans="1:29" ht="15" customHeight="1" x14ac:dyDescent="0.2">
      <c r="A37" s="78">
        <v>219.6</v>
      </c>
      <c r="B37" s="104">
        <v>102</v>
      </c>
      <c r="C37" s="79">
        <f t="shared" si="6"/>
        <v>0.77352864920922981</v>
      </c>
      <c r="D37" s="79">
        <f t="shared" si="1"/>
        <v>103847.89999999998</v>
      </c>
      <c r="E37" s="79">
        <f t="shared" si="0"/>
        <v>35.939056179064885</v>
      </c>
      <c r="F37" s="80">
        <f t="shared" si="2"/>
        <v>35.939056179064885</v>
      </c>
      <c r="G37" s="81">
        <f t="shared" si="3"/>
        <v>37.354831670192453</v>
      </c>
      <c r="H37" s="85"/>
      <c r="I37" s="85"/>
      <c r="J37" s="60">
        <f t="shared" si="4"/>
        <v>0.70247601763028267</v>
      </c>
      <c r="K37" s="141">
        <f t="shared" si="5"/>
        <v>31.706848249727653</v>
      </c>
      <c r="L37" s="141">
        <f t="shared" si="7"/>
        <v>32.955901047029954</v>
      </c>
      <c r="O37" s="68"/>
      <c r="U37" s="152"/>
      <c r="V37" s="153"/>
      <c r="W37" s="153"/>
      <c r="X37" s="154"/>
      <c r="Z37" s="152"/>
      <c r="AA37" s="153"/>
      <c r="AB37" s="153"/>
      <c r="AC37" s="154"/>
    </row>
    <row r="38" spans="1:29" ht="15" customHeight="1" x14ac:dyDescent="0.2">
      <c r="A38" s="78">
        <v>227.7</v>
      </c>
      <c r="B38" s="104">
        <v>108</v>
      </c>
      <c r="C38" s="79">
        <f t="shared" si="6"/>
        <v>0.80187969924812008</v>
      </c>
      <c r="D38" s="79">
        <f t="shared" si="1"/>
        <v>109962.49999999997</v>
      </c>
      <c r="E38" s="79">
        <f t="shared" si="0"/>
        <v>38.055160143733502</v>
      </c>
      <c r="F38" s="80">
        <f t="shared" si="2"/>
        <v>38.055160143733502</v>
      </c>
      <c r="G38" s="81">
        <f t="shared" si="3"/>
        <v>39.554296981773703</v>
      </c>
      <c r="H38" s="85"/>
      <c r="I38" s="85"/>
      <c r="J38" s="60">
        <f t="shared" si="4"/>
        <v>0.77352864920922981</v>
      </c>
      <c r="K38" s="141">
        <f t="shared" si="5"/>
        <v>35.939056179064885</v>
      </c>
      <c r="L38" s="141">
        <f t="shared" si="7"/>
        <v>37.354831670192453</v>
      </c>
      <c r="O38" s="68"/>
      <c r="U38" s="152"/>
      <c r="V38" s="153"/>
      <c r="W38" s="153"/>
      <c r="X38" s="154"/>
      <c r="Z38" s="152"/>
      <c r="AA38" s="153"/>
      <c r="AB38" s="153"/>
      <c r="AC38" s="154"/>
    </row>
    <row r="39" spans="1:29" ht="15" customHeight="1" x14ac:dyDescent="0.2">
      <c r="A39" s="78">
        <v>234.3</v>
      </c>
      <c r="B39" s="104">
        <v>113</v>
      </c>
      <c r="C39" s="79">
        <f t="shared" si="6"/>
        <v>0.82498055483536425</v>
      </c>
      <c r="D39" s="79">
        <f t="shared" si="1"/>
        <v>115057.99999999999</v>
      </c>
      <c r="E39" s="79">
        <f t="shared" si="0"/>
        <v>39.81858011429069</v>
      </c>
      <c r="F39" s="80">
        <f t="shared" si="2"/>
        <v>39.81858011429069</v>
      </c>
      <c r="G39" s="81">
        <f t="shared" si="3"/>
        <v>41.387184741424754</v>
      </c>
      <c r="H39" s="85"/>
      <c r="I39" s="85"/>
      <c r="J39" s="60">
        <f t="shared" si="4"/>
        <v>0.80187969924812008</v>
      </c>
      <c r="K39" s="141">
        <f t="shared" si="5"/>
        <v>38.055160143733502</v>
      </c>
      <c r="L39" s="141">
        <f t="shared" si="7"/>
        <v>39.554296981773703</v>
      </c>
      <c r="O39" s="68"/>
      <c r="U39" s="152"/>
      <c r="V39" s="153"/>
      <c r="W39" s="153"/>
      <c r="X39" s="154"/>
      <c r="Z39" s="152"/>
      <c r="AA39" s="153"/>
      <c r="AB39" s="153"/>
      <c r="AC39" s="154"/>
    </row>
    <row r="40" spans="1:29" ht="15" customHeight="1" x14ac:dyDescent="0.2">
      <c r="A40" s="78">
        <v>248.6</v>
      </c>
      <c r="B40" s="104">
        <v>123</v>
      </c>
      <c r="C40" s="79">
        <f t="shared" si="6"/>
        <v>0.87503240860772602</v>
      </c>
      <c r="D40" s="79">
        <f t="shared" si="1"/>
        <v>125248.99999999999</v>
      </c>
      <c r="E40" s="79">
        <f t="shared" ref="E40:E50" si="8">D40/G$10</f>
        <v>43.34542005540505</v>
      </c>
      <c r="F40" s="80">
        <f t="shared" si="2"/>
        <v>43.34542005540505</v>
      </c>
      <c r="G40" s="81">
        <f t="shared" ref="G40:G50" si="9">F40*((AVERAGE(G$8)/50)^0.2)</f>
        <v>45.052960260726842</v>
      </c>
      <c r="H40" s="85"/>
      <c r="I40" s="85"/>
      <c r="J40" s="60">
        <f t="shared" si="4"/>
        <v>0.82498055483536425</v>
      </c>
      <c r="K40" s="141">
        <f t="shared" si="5"/>
        <v>39.81858011429069</v>
      </c>
      <c r="L40" s="141">
        <f t="shared" si="7"/>
        <v>41.387184741424754</v>
      </c>
      <c r="O40" s="68"/>
      <c r="U40" s="152"/>
      <c r="V40" s="153"/>
      <c r="W40" s="153"/>
      <c r="X40" s="154"/>
      <c r="Z40" s="152"/>
      <c r="AA40" s="153"/>
      <c r="AB40" s="153"/>
      <c r="AC40" s="154"/>
    </row>
    <row r="41" spans="1:29" ht="15" customHeight="1" x14ac:dyDescent="0.2">
      <c r="A41" s="78">
        <v>258.10000000000002</v>
      </c>
      <c r="B41" s="104">
        <v>129</v>
      </c>
      <c r="C41" s="79">
        <f t="shared" si="6"/>
        <v>0.90828364013481977</v>
      </c>
      <c r="D41" s="79">
        <f t="shared" si="1"/>
        <v>131363.59999999998</v>
      </c>
      <c r="E41" s="79">
        <f t="shared" si="8"/>
        <v>45.461524020073668</v>
      </c>
      <c r="F41" s="80">
        <f t="shared" si="2"/>
        <v>45.461524020073668</v>
      </c>
      <c r="G41" s="81">
        <f t="shared" si="9"/>
        <v>47.252425572308098</v>
      </c>
      <c r="H41" s="85"/>
      <c r="I41" s="85"/>
      <c r="J41" s="60">
        <f t="shared" si="4"/>
        <v>0.87503240860772602</v>
      </c>
      <c r="K41" s="141">
        <f t="shared" ref="K41:K51" si="10">F40</f>
        <v>43.34542005540505</v>
      </c>
      <c r="L41" s="141">
        <f t="shared" ref="L41:L51" si="11">+G40</f>
        <v>45.052960260726842</v>
      </c>
      <c r="O41" s="32"/>
      <c r="P41" s="16"/>
      <c r="U41" s="152"/>
      <c r="V41" s="153"/>
      <c r="W41" s="153"/>
      <c r="X41" s="154"/>
      <c r="Z41" s="152"/>
      <c r="AA41" s="153"/>
      <c r="AB41" s="153"/>
      <c r="AC41" s="154"/>
    </row>
    <row r="42" spans="1:29" ht="15" customHeight="1" x14ac:dyDescent="0.2">
      <c r="A42" s="78">
        <v>270.39999999999998</v>
      </c>
      <c r="B42" s="104">
        <v>138</v>
      </c>
      <c r="C42" s="79">
        <f t="shared" si="6"/>
        <v>0.95133523463831993</v>
      </c>
      <c r="D42" s="79">
        <f t="shared" si="1"/>
        <v>140535.49999999997</v>
      </c>
      <c r="E42" s="79">
        <f t="shared" si="8"/>
        <v>48.635679967076591</v>
      </c>
      <c r="F42" s="80">
        <f t="shared" si="2"/>
        <v>48.635679967076591</v>
      </c>
      <c r="G42" s="81">
        <f t="shared" si="9"/>
        <v>50.551623539679973</v>
      </c>
      <c r="H42" s="85"/>
      <c r="I42" s="85"/>
      <c r="J42" s="60">
        <f t="shared" si="4"/>
        <v>0.90828364013481977</v>
      </c>
      <c r="K42" s="141">
        <f t="shared" si="10"/>
        <v>45.461524020073668</v>
      </c>
      <c r="L42" s="141">
        <f t="shared" si="11"/>
        <v>47.252425572308098</v>
      </c>
      <c r="O42" s="32"/>
      <c r="P42" s="16"/>
      <c r="U42" s="152"/>
      <c r="V42" s="153"/>
      <c r="W42" s="153"/>
      <c r="X42" s="154"/>
      <c r="Z42" s="152"/>
      <c r="AA42" s="153"/>
      <c r="AB42" s="153"/>
      <c r="AC42" s="154"/>
    </row>
    <row r="43" spans="1:29" ht="15" customHeight="1" x14ac:dyDescent="0.2">
      <c r="A43" s="78">
        <v>279.10000000000002</v>
      </c>
      <c r="B43" s="104">
        <v>144</v>
      </c>
      <c r="C43" s="79">
        <f t="shared" si="6"/>
        <v>0.98178636245786866</v>
      </c>
      <c r="D43" s="79">
        <f t="shared" si="1"/>
        <v>146650.09999999998</v>
      </c>
      <c r="E43" s="79">
        <f t="shared" si="8"/>
        <v>50.751783931745216</v>
      </c>
      <c r="F43" s="80">
        <f t="shared" si="2"/>
        <v>50.751783931745216</v>
      </c>
      <c r="G43" s="81">
        <f t="shared" si="9"/>
        <v>52.75108885126123</v>
      </c>
      <c r="H43" s="85"/>
      <c r="I43" s="85"/>
      <c r="J43" s="60">
        <f t="shared" si="4"/>
        <v>0.95133523463831993</v>
      </c>
      <c r="K43" s="141">
        <f t="shared" si="10"/>
        <v>48.635679967076591</v>
      </c>
      <c r="L43" s="141">
        <f t="shared" si="11"/>
        <v>50.551623539679973</v>
      </c>
      <c r="O43" s="32"/>
      <c r="P43" s="16"/>
      <c r="U43" s="152"/>
      <c r="V43" s="153"/>
      <c r="W43" s="153"/>
      <c r="X43" s="154"/>
      <c r="Z43" s="152"/>
      <c r="AA43" s="153"/>
      <c r="AB43" s="153"/>
      <c r="AC43" s="154"/>
    </row>
    <row r="44" spans="1:29" ht="15" customHeight="1" x14ac:dyDescent="0.2">
      <c r="A44" s="78">
        <v>286.5</v>
      </c>
      <c r="B44" s="104">
        <v>149</v>
      </c>
      <c r="C44" s="79">
        <f t="shared" si="6"/>
        <v>1.0076873217526574</v>
      </c>
      <c r="D44" s="79">
        <f t="shared" si="1"/>
        <v>151745.59999999998</v>
      </c>
      <c r="E44" s="79">
        <f t="shared" si="8"/>
        <v>52.515203902302396</v>
      </c>
      <c r="F44" s="80">
        <f t="shared" si="2"/>
        <v>52.515203902302396</v>
      </c>
      <c r="G44" s="81">
        <f t="shared" si="9"/>
        <v>54.583976610912273</v>
      </c>
      <c r="H44" s="85"/>
      <c r="I44" s="85"/>
      <c r="J44" s="60">
        <f t="shared" si="4"/>
        <v>0.98178636245786866</v>
      </c>
      <c r="K44" s="141">
        <f t="shared" si="10"/>
        <v>50.751783931745216</v>
      </c>
      <c r="L44" s="141">
        <f t="shared" si="11"/>
        <v>52.75108885126123</v>
      </c>
      <c r="O44" s="32"/>
      <c r="P44" s="16"/>
      <c r="U44" s="152"/>
      <c r="V44" s="153"/>
      <c r="W44" s="153"/>
      <c r="X44" s="154"/>
      <c r="Z44" s="152"/>
      <c r="AA44" s="153"/>
      <c r="AB44" s="153"/>
      <c r="AC44" s="154"/>
    </row>
    <row r="45" spans="1:29" ht="15" customHeight="1" x14ac:dyDescent="0.2">
      <c r="A45" s="78">
        <v>299.39999999999998</v>
      </c>
      <c r="B45" s="104">
        <v>158</v>
      </c>
      <c r="C45" s="79">
        <f t="shared" si="6"/>
        <v>1.0528389940368159</v>
      </c>
      <c r="D45" s="79">
        <f t="shared" si="1"/>
        <v>160917.5</v>
      </c>
      <c r="E45" s="79">
        <f t="shared" si="8"/>
        <v>55.689359849305333</v>
      </c>
      <c r="F45" s="80">
        <f t="shared" si="2"/>
        <v>55.689359849305333</v>
      </c>
      <c r="G45" s="81">
        <f t="shared" si="9"/>
        <v>57.883174578284162</v>
      </c>
      <c r="H45" s="85"/>
      <c r="I45" s="85"/>
      <c r="J45" s="60">
        <f t="shared" si="4"/>
        <v>1.0076873217526574</v>
      </c>
      <c r="K45" s="141">
        <f t="shared" si="10"/>
        <v>52.515203902302396</v>
      </c>
      <c r="L45" s="141">
        <f t="shared" si="11"/>
        <v>54.583976610912273</v>
      </c>
      <c r="N45" s="84"/>
      <c r="O45" s="16"/>
      <c r="P45" s="16"/>
      <c r="U45" s="152"/>
      <c r="V45" s="153"/>
      <c r="W45" s="153"/>
      <c r="X45" s="154"/>
      <c r="Z45" s="152"/>
      <c r="AA45" s="153"/>
      <c r="AB45" s="153"/>
      <c r="AC45" s="154"/>
    </row>
    <row r="46" spans="1:29" ht="15" customHeight="1" x14ac:dyDescent="0.2">
      <c r="A46" s="78">
        <v>311.7</v>
      </c>
      <c r="B46" s="104">
        <v>167</v>
      </c>
      <c r="C46" s="79">
        <f t="shared" si="6"/>
        <v>1.0958905885403163</v>
      </c>
      <c r="D46" s="79">
        <f t="shared" si="1"/>
        <v>170089.4</v>
      </c>
      <c r="E46" s="79">
        <f t="shared" si="8"/>
        <v>58.863515796308256</v>
      </c>
      <c r="F46" s="80">
        <f t="shared" si="2"/>
        <v>58.863515796308256</v>
      </c>
      <c r="G46" s="81">
        <f t="shared" si="9"/>
        <v>61.182372545656037</v>
      </c>
      <c r="H46" s="85"/>
      <c r="I46" s="85"/>
      <c r="J46" s="60">
        <f t="shared" si="4"/>
        <v>1.0528389940368159</v>
      </c>
      <c r="K46" s="141">
        <f t="shared" si="10"/>
        <v>55.689359849305333</v>
      </c>
      <c r="L46" s="141">
        <f t="shared" si="11"/>
        <v>57.883174578284162</v>
      </c>
      <c r="N46" s="32"/>
      <c r="O46" s="16"/>
      <c r="U46" s="152"/>
      <c r="V46" s="153"/>
      <c r="W46" s="153"/>
      <c r="X46" s="154"/>
      <c r="Z46" s="152"/>
      <c r="AA46" s="153"/>
      <c r="AB46" s="153"/>
      <c r="AC46" s="154"/>
    </row>
    <row r="47" spans="1:29" ht="15" customHeight="1" x14ac:dyDescent="0.2">
      <c r="A47" s="78">
        <v>327.39999999999998</v>
      </c>
      <c r="B47" s="104">
        <v>178</v>
      </c>
      <c r="C47" s="79">
        <f t="shared" si="6"/>
        <v>1.1508426238008815</v>
      </c>
      <c r="D47" s="79">
        <f t="shared" si="1"/>
        <v>181299.49999999997</v>
      </c>
      <c r="E47" s="79">
        <f t="shared" si="8"/>
        <v>62.743039731534047</v>
      </c>
      <c r="F47" s="80">
        <f t="shared" si="2"/>
        <v>62.743039731534047</v>
      </c>
      <c r="G47" s="81">
        <f t="shared" si="9"/>
        <v>65.21472561688833</v>
      </c>
      <c r="H47" s="85"/>
      <c r="I47" s="85"/>
      <c r="J47" s="60">
        <f t="shared" si="4"/>
        <v>1.0958905885403163</v>
      </c>
      <c r="K47" s="141">
        <f t="shared" si="10"/>
        <v>58.863515796308256</v>
      </c>
      <c r="L47" s="141">
        <f t="shared" si="11"/>
        <v>61.182372545656037</v>
      </c>
      <c r="N47" s="32"/>
      <c r="O47" s="16"/>
      <c r="U47" s="152"/>
      <c r="V47" s="153"/>
      <c r="W47" s="153"/>
      <c r="X47" s="154"/>
      <c r="Z47" s="152"/>
      <c r="AA47" s="153"/>
      <c r="AB47" s="153"/>
      <c r="AC47" s="154"/>
    </row>
    <row r="48" spans="1:29" ht="15" customHeight="1" x14ac:dyDescent="0.2">
      <c r="A48" s="78">
        <v>341.5</v>
      </c>
      <c r="B48" s="104">
        <v>189</v>
      </c>
      <c r="C48" s="79">
        <f t="shared" si="6"/>
        <v>1.2001944516463572</v>
      </c>
      <c r="D48" s="79">
        <f t="shared" si="1"/>
        <v>192509.59999999998</v>
      </c>
      <c r="E48" s="79">
        <f t="shared" si="8"/>
        <v>66.622563666759845</v>
      </c>
      <c r="F48" s="80">
        <f t="shared" si="2"/>
        <v>66.622563666759845</v>
      </c>
      <c r="G48" s="81">
        <f t="shared" si="9"/>
        <v>69.247078688120624</v>
      </c>
      <c r="H48" s="85"/>
      <c r="I48" s="85"/>
      <c r="J48" s="60">
        <f t="shared" si="4"/>
        <v>1.1508426238008815</v>
      </c>
      <c r="K48" s="141">
        <f t="shared" si="10"/>
        <v>62.743039731534047</v>
      </c>
      <c r="L48" s="141">
        <f t="shared" si="11"/>
        <v>65.21472561688833</v>
      </c>
      <c r="N48" s="32"/>
      <c r="O48" s="16"/>
      <c r="P48" s="16"/>
      <c r="U48" s="152"/>
      <c r="V48" s="153"/>
      <c r="W48" s="153"/>
      <c r="X48" s="154"/>
      <c r="Z48" s="152"/>
      <c r="AA48" s="153"/>
      <c r="AB48" s="153"/>
      <c r="AC48" s="154"/>
    </row>
    <row r="49" spans="1:29" ht="15" customHeight="1" x14ac:dyDescent="0.2">
      <c r="A49" s="78">
        <v>357.2</v>
      </c>
      <c r="B49" s="104">
        <v>202</v>
      </c>
      <c r="C49" s="79">
        <f t="shared" si="6"/>
        <v>1.2551464869069222</v>
      </c>
      <c r="D49" s="79">
        <f t="shared" si="1"/>
        <v>205757.89999999997</v>
      </c>
      <c r="E49" s="79">
        <f t="shared" si="8"/>
        <v>71.207455590208525</v>
      </c>
      <c r="F49" s="80">
        <f t="shared" si="2"/>
        <v>71.207455590208525</v>
      </c>
      <c r="G49" s="81">
        <f t="shared" si="9"/>
        <v>74.012586863213343</v>
      </c>
      <c r="H49" s="85"/>
      <c r="I49" s="85"/>
      <c r="J49" s="60">
        <f t="shared" si="4"/>
        <v>1.2001944516463572</v>
      </c>
      <c r="K49" s="141">
        <f t="shared" si="10"/>
        <v>66.622563666759845</v>
      </c>
      <c r="L49" s="141">
        <f t="shared" si="11"/>
        <v>69.247078688120624</v>
      </c>
      <c r="N49" s="32"/>
      <c r="P49" s="16"/>
      <c r="U49" s="155"/>
      <c r="V49" s="156"/>
      <c r="W49" s="156"/>
      <c r="X49" s="157"/>
      <c r="Z49" s="155"/>
      <c r="AA49" s="156"/>
      <c r="AB49" s="156"/>
      <c r="AC49" s="157"/>
    </row>
    <row r="50" spans="1:29" ht="15" customHeight="1" x14ac:dyDescent="0.2">
      <c r="A50" s="78">
        <v>365.5</v>
      </c>
      <c r="B50" s="104">
        <v>209</v>
      </c>
      <c r="C50" s="79">
        <f t="shared" si="6"/>
        <v>1.2841975628726989</v>
      </c>
      <c r="D50" s="79">
        <f t="shared" si="1"/>
        <v>212891.59999999998</v>
      </c>
      <c r="E50" s="79">
        <f t="shared" si="8"/>
        <v>73.67624354898858</v>
      </c>
      <c r="F50" s="80">
        <f t="shared" si="2"/>
        <v>73.67624354898858</v>
      </c>
      <c r="G50" s="81">
        <f t="shared" si="9"/>
        <v>76.578629726724813</v>
      </c>
      <c r="H50" s="85"/>
      <c r="I50" s="85"/>
      <c r="J50" s="60">
        <f t="shared" si="4"/>
        <v>1.2551464869069222</v>
      </c>
      <c r="K50" s="141">
        <f t="shared" si="10"/>
        <v>71.207455590208525</v>
      </c>
      <c r="L50" s="141">
        <f t="shared" si="11"/>
        <v>74.012586863213343</v>
      </c>
      <c r="P50" s="16"/>
      <c r="U50" s="15"/>
      <c r="V50" s="15"/>
      <c r="W50" s="15"/>
      <c r="X50" s="15"/>
      <c r="Z50" s="15"/>
      <c r="AA50" s="15"/>
      <c r="AB50" s="15"/>
      <c r="AC50" s="15"/>
    </row>
    <row r="51" spans="1:29" ht="15" customHeight="1" x14ac:dyDescent="0.2">
      <c r="A51" s="78">
        <v>384</v>
      </c>
      <c r="B51" s="104">
        <v>225</v>
      </c>
      <c r="C51" s="79">
        <f t="shared" ref="C51:C58" si="12">((A51*0.0045+0.0063)/$G$12)*100</f>
        <v>1.3489499611096705</v>
      </c>
      <c r="D51" s="79">
        <f t="shared" ref="D51:D58" si="13">+IF(AND(B51&gt;0,B51&lt;=300),1.0191*B51-0.1003,IF(AND(B51=0),0,IF(AND(B51&gt;300,B51&lt;=3000),1.0117*B51-0.7581,"Error")))*1000</f>
        <v>229197.19999999998</v>
      </c>
      <c r="E51" s="79">
        <f t="shared" ref="E51:E58" si="14">D51/G$10</f>
        <v>79.319187454771566</v>
      </c>
      <c r="F51" s="80">
        <f t="shared" ref="F51:F58" si="15">IF((G$11/G$7)&gt;2.5,(E51/(0.88+(0.222*(G$11/G$7)))),E51*1)</f>
        <v>79.319187454771566</v>
      </c>
      <c r="G51" s="81">
        <f t="shared" ref="G51:G58" si="16">F51*((AVERAGE(G$8)/50)^0.2)</f>
        <v>82.44387055760815</v>
      </c>
      <c r="H51" s="85"/>
      <c r="I51" s="85"/>
      <c r="J51" s="60">
        <f t="shared" si="4"/>
        <v>1.2841975628726989</v>
      </c>
      <c r="K51" s="141">
        <f t="shared" si="10"/>
        <v>73.67624354898858</v>
      </c>
      <c r="L51" s="141">
        <f t="shared" si="11"/>
        <v>76.578629726724813</v>
      </c>
      <c r="O51" s="86"/>
      <c r="P51" s="16"/>
      <c r="U51" s="15"/>
      <c r="V51" s="15"/>
      <c r="W51" s="15"/>
      <c r="X51" s="15"/>
      <c r="Z51" s="15"/>
      <c r="AA51" s="15"/>
      <c r="AB51" s="15"/>
      <c r="AC51" s="15"/>
    </row>
    <row r="52" spans="1:29" ht="15" customHeight="1" x14ac:dyDescent="0.2">
      <c r="A52" s="78">
        <v>391.1</v>
      </c>
      <c r="B52" s="104">
        <v>231</v>
      </c>
      <c r="C52" s="79">
        <f t="shared" si="12"/>
        <v>1.37380088151413</v>
      </c>
      <c r="D52" s="79">
        <f t="shared" si="13"/>
        <v>235311.8</v>
      </c>
      <c r="E52" s="79">
        <f t="shared" si="14"/>
        <v>81.43529141944019</v>
      </c>
      <c r="F52" s="80">
        <f t="shared" si="15"/>
        <v>81.43529141944019</v>
      </c>
      <c r="G52" s="81">
        <f t="shared" si="16"/>
        <v>84.643335869189414</v>
      </c>
      <c r="J52" s="60">
        <f t="shared" ref="J52:J58" si="17">C51</f>
        <v>1.3489499611096705</v>
      </c>
      <c r="K52" s="141">
        <f t="shared" ref="K52:K58" si="18">F51</f>
        <v>79.319187454771566</v>
      </c>
      <c r="L52" s="141">
        <f t="shared" ref="L52:L58" si="19">+G51</f>
        <v>82.44387055760815</v>
      </c>
      <c r="M52" s="84"/>
      <c r="N52" s="84"/>
      <c r="P52" s="86"/>
      <c r="Q52" s="86"/>
      <c r="R52" s="86"/>
    </row>
    <row r="53" spans="1:29" ht="15" customHeight="1" x14ac:dyDescent="0.2">
      <c r="A53" s="78">
        <v>402.2</v>
      </c>
      <c r="B53" s="104">
        <v>240</v>
      </c>
      <c r="C53" s="79">
        <f t="shared" si="12"/>
        <v>1.4126523204563131</v>
      </c>
      <c r="D53" s="79">
        <f t="shared" si="13"/>
        <v>244483.69999999998</v>
      </c>
      <c r="E53" s="79">
        <f t="shared" si="14"/>
        <v>84.609447366443106</v>
      </c>
      <c r="F53" s="80">
        <f t="shared" si="15"/>
        <v>84.609447366443106</v>
      </c>
      <c r="G53" s="81">
        <f t="shared" si="16"/>
        <v>87.942533836561282</v>
      </c>
      <c r="J53" s="60">
        <f t="shared" si="17"/>
        <v>1.37380088151413</v>
      </c>
      <c r="K53" s="141">
        <f t="shared" si="18"/>
        <v>81.43529141944019</v>
      </c>
      <c r="L53" s="141">
        <f t="shared" si="19"/>
        <v>84.643335869189414</v>
      </c>
      <c r="N53" s="84"/>
    </row>
    <row r="54" spans="1:29" ht="15" customHeight="1" x14ac:dyDescent="0.2">
      <c r="A54" s="78">
        <v>411.9</v>
      </c>
      <c r="B54" s="104">
        <v>247</v>
      </c>
      <c r="C54" s="79">
        <f t="shared" si="12"/>
        <v>1.4466035779102928</v>
      </c>
      <c r="D54" s="79">
        <f t="shared" si="13"/>
        <v>251617.39999999997</v>
      </c>
      <c r="E54" s="79">
        <f t="shared" si="14"/>
        <v>87.078235325223162</v>
      </c>
      <c r="F54" s="80">
        <f t="shared" si="15"/>
        <v>87.078235325223162</v>
      </c>
      <c r="G54" s="81">
        <f t="shared" si="16"/>
        <v>90.508576700072751</v>
      </c>
      <c r="J54" s="60">
        <f t="shared" si="17"/>
        <v>1.4126523204563131</v>
      </c>
      <c r="K54" s="141">
        <f t="shared" si="18"/>
        <v>84.609447366443106</v>
      </c>
      <c r="L54" s="141">
        <f t="shared" si="19"/>
        <v>87.942533836561282</v>
      </c>
      <c r="U54" s="149"/>
      <c r="V54" s="150"/>
      <c r="W54" s="150"/>
      <c r="X54" s="151"/>
      <c r="Z54" s="149"/>
      <c r="AA54" s="150"/>
      <c r="AB54" s="150"/>
      <c r="AC54" s="151"/>
    </row>
    <row r="55" spans="1:29" ht="15" customHeight="1" x14ac:dyDescent="0.2">
      <c r="A55" s="78">
        <v>425</v>
      </c>
      <c r="B55" s="104">
        <v>257</v>
      </c>
      <c r="C55" s="79">
        <f t="shared" si="12"/>
        <v>1.4924552761213379</v>
      </c>
      <c r="D55" s="79">
        <f t="shared" si="13"/>
        <v>261808.39999999994</v>
      </c>
      <c r="E55" s="79">
        <f t="shared" si="14"/>
        <v>90.605075266337508</v>
      </c>
      <c r="F55" s="80">
        <f t="shared" si="15"/>
        <v>90.605075266337508</v>
      </c>
      <c r="G55" s="81">
        <f t="shared" si="16"/>
        <v>94.174352219374811</v>
      </c>
      <c r="J55" s="60">
        <f t="shared" si="17"/>
        <v>1.4466035779102928</v>
      </c>
      <c r="K55" s="141">
        <f t="shared" si="18"/>
        <v>87.078235325223162</v>
      </c>
      <c r="L55" s="141">
        <f t="shared" si="19"/>
        <v>90.508576700072751</v>
      </c>
      <c r="M55" s="84"/>
      <c r="U55" s="152"/>
      <c r="V55" s="153"/>
      <c r="W55" s="153"/>
      <c r="X55" s="154"/>
      <c r="Z55" s="152"/>
      <c r="AA55" s="153"/>
      <c r="AB55" s="153"/>
      <c r="AC55" s="154"/>
    </row>
    <row r="56" spans="1:29" ht="15" customHeight="1" x14ac:dyDescent="0.2">
      <c r="A56" s="78">
        <v>434.1</v>
      </c>
      <c r="B56" s="104">
        <v>263</v>
      </c>
      <c r="C56" s="79">
        <f t="shared" si="12"/>
        <v>1.5243064557946591</v>
      </c>
      <c r="D56" s="79">
        <f t="shared" si="13"/>
        <v>267922.99999999994</v>
      </c>
      <c r="E56" s="79">
        <f t="shared" si="14"/>
        <v>92.721179231006133</v>
      </c>
      <c r="F56" s="80">
        <f t="shared" si="15"/>
        <v>92.721179231006133</v>
      </c>
      <c r="G56" s="81">
        <f t="shared" si="16"/>
        <v>96.373817530956075</v>
      </c>
      <c r="J56" s="60">
        <f t="shared" si="17"/>
        <v>1.4924552761213379</v>
      </c>
      <c r="K56" s="141">
        <f t="shared" si="18"/>
        <v>90.605075266337508</v>
      </c>
      <c r="L56" s="141">
        <f t="shared" si="19"/>
        <v>94.174352219374811</v>
      </c>
      <c r="M56" s="16"/>
      <c r="U56" s="152"/>
      <c r="V56" s="153"/>
      <c r="W56" s="153"/>
      <c r="X56" s="154"/>
      <c r="Z56" s="152"/>
      <c r="AA56" s="153"/>
      <c r="AB56" s="153"/>
      <c r="AC56" s="154"/>
    </row>
    <row r="57" spans="1:29" ht="15" customHeight="1" x14ac:dyDescent="0.2">
      <c r="A57" s="78">
        <v>438.9</v>
      </c>
      <c r="B57" s="104">
        <v>266</v>
      </c>
      <c r="C57" s="79">
        <f t="shared" si="12"/>
        <v>1.5411070780399272</v>
      </c>
      <c r="D57" s="79">
        <f t="shared" si="13"/>
        <v>270980.29999999993</v>
      </c>
      <c r="E57" s="79">
        <f t="shared" si="14"/>
        <v>93.779231213340438</v>
      </c>
      <c r="F57" s="80">
        <f t="shared" si="15"/>
        <v>93.779231213340438</v>
      </c>
      <c r="G57" s="81">
        <f t="shared" si="16"/>
        <v>97.473550186746692</v>
      </c>
      <c r="J57" s="60">
        <f t="shared" si="17"/>
        <v>1.5243064557946591</v>
      </c>
      <c r="K57" s="141">
        <f t="shared" si="18"/>
        <v>92.721179231006133</v>
      </c>
      <c r="L57" s="141">
        <f t="shared" si="19"/>
        <v>96.373817530956075</v>
      </c>
      <c r="M57" s="16"/>
      <c r="U57" s="152"/>
      <c r="V57" s="153"/>
      <c r="W57" s="153"/>
      <c r="X57" s="154"/>
      <c r="Z57" s="152"/>
      <c r="AA57" s="153"/>
      <c r="AB57" s="153"/>
      <c r="AC57" s="154"/>
    </row>
    <row r="58" spans="1:29" ht="15" customHeight="1" x14ac:dyDescent="0.2">
      <c r="A58" s="78"/>
      <c r="B58" s="104"/>
      <c r="C58" s="79">
        <f t="shared" si="12"/>
        <v>4.9001814882032669E-3</v>
      </c>
      <c r="D58" s="79">
        <f t="shared" si="13"/>
        <v>0</v>
      </c>
      <c r="E58" s="79">
        <f t="shared" si="14"/>
        <v>0</v>
      </c>
      <c r="F58" s="80">
        <f t="shared" si="15"/>
        <v>0</v>
      </c>
      <c r="G58" s="81">
        <f t="shared" si="16"/>
        <v>0</v>
      </c>
      <c r="J58" s="60">
        <f t="shared" si="17"/>
        <v>1.5411070780399272</v>
      </c>
      <c r="K58" s="141">
        <f t="shared" si="18"/>
        <v>93.779231213340438</v>
      </c>
      <c r="L58" s="141">
        <f t="shared" si="19"/>
        <v>97.473550186746692</v>
      </c>
      <c r="M58" s="84"/>
      <c r="U58" s="152"/>
      <c r="V58" s="153"/>
      <c r="W58" s="153"/>
      <c r="X58" s="154"/>
      <c r="Z58" s="152"/>
      <c r="AA58" s="153"/>
      <c r="AB58" s="153"/>
      <c r="AC58" s="154"/>
    </row>
    <row r="59" spans="1:29" ht="15" customHeight="1" x14ac:dyDescent="0.2">
      <c r="A59" s="16"/>
      <c r="B59" s="16"/>
      <c r="C59" s="16"/>
      <c r="D59" s="16"/>
      <c r="E59" s="16"/>
      <c r="F59" s="16"/>
      <c r="G59" s="16"/>
      <c r="M59" s="16"/>
      <c r="N59" s="86"/>
      <c r="U59" s="152"/>
      <c r="V59" s="153"/>
      <c r="W59" s="153"/>
      <c r="X59" s="154"/>
      <c r="Z59" s="152"/>
      <c r="AA59" s="153"/>
      <c r="AB59" s="153"/>
      <c r="AC59" s="154"/>
    </row>
    <row r="60" spans="1:29" ht="15" customHeight="1" x14ac:dyDescent="0.2">
      <c r="A60" s="16"/>
      <c r="B60" s="16"/>
      <c r="C60" s="16"/>
      <c r="D60" s="16"/>
      <c r="E60" s="16"/>
      <c r="F60" s="16"/>
      <c r="G60" s="16"/>
      <c r="J60" s="87" t="s">
        <v>17</v>
      </c>
      <c r="K60" s="15"/>
      <c r="U60" s="152"/>
      <c r="V60" s="153"/>
      <c r="W60" s="153"/>
      <c r="X60" s="154"/>
      <c r="Z60" s="152"/>
      <c r="AA60" s="153"/>
      <c r="AB60" s="153"/>
      <c r="AC60" s="154"/>
    </row>
    <row r="61" spans="1:29" ht="15" customHeight="1" x14ac:dyDescent="0.2">
      <c r="A61" s="16"/>
      <c r="B61" s="16"/>
      <c r="C61" s="16"/>
      <c r="D61" s="16"/>
      <c r="E61" s="16"/>
      <c r="F61" s="16"/>
      <c r="G61" s="16"/>
      <c r="J61" s="88" t="s">
        <v>77</v>
      </c>
      <c r="K61" s="15"/>
      <c r="U61" s="152"/>
      <c r="V61" s="153"/>
      <c r="W61" s="153"/>
      <c r="X61" s="154"/>
      <c r="Z61" s="152"/>
      <c r="AA61" s="153"/>
      <c r="AB61" s="153"/>
      <c r="AC61" s="154"/>
    </row>
    <row r="62" spans="1:29" ht="15" customHeight="1" x14ac:dyDescent="0.2">
      <c r="A62" s="16"/>
      <c r="B62" s="16"/>
      <c r="C62" s="16"/>
      <c r="D62" s="16"/>
      <c r="E62" s="16"/>
      <c r="F62" s="16"/>
      <c r="G62" s="16"/>
      <c r="J62" s="88" t="s">
        <v>51</v>
      </c>
      <c r="L62" s="16"/>
      <c r="M62" s="16"/>
      <c r="U62" s="152"/>
      <c r="V62" s="153"/>
      <c r="W62" s="153"/>
      <c r="X62" s="154"/>
      <c r="Z62" s="152"/>
      <c r="AA62" s="153"/>
      <c r="AB62" s="153"/>
      <c r="AC62" s="154"/>
    </row>
    <row r="63" spans="1:29" ht="15" customHeight="1" x14ac:dyDescent="0.2">
      <c r="A63" s="16"/>
      <c r="B63" s="16"/>
      <c r="C63" s="16"/>
      <c r="D63" s="16"/>
      <c r="E63" s="16"/>
      <c r="F63" s="16"/>
      <c r="G63" s="16"/>
      <c r="J63" s="88" t="s">
        <v>94</v>
      </c>
      <c r="K63" s="15"/>
      <c r="L63" s="16"/>
      <c r="U63" s="152"/>
      <c r="V63" s="153"/>
      <c r="W63" s="153"/>
      <c r="X63" s="154"/>
      <c r="Z63" s="152"/>
      <c r="AA63" s="153"/>
      <c r="AB63" s="153"/>
      <c r="AC63" s="154"/>
    </row>
    <row r="64" spans="1:29" ht="15" customHeight="1" x14ac:dyDescent="0.2">
      <c r="A64" s="16"/>
      <c r="B64" s="16"/>
      <c r="C64" s="16"/>
      <c r="D64" s="16"/>
      <c r="E64" s="16"/>
      <c r="F64" s="16"/>
      <c r="G64" s="16"/>
      <c r="J64" s="89"/>
      <c r="K64" s="15"/>
      <c r="U64" s="152"/>
      <c r="V64" s="153"/>
      <c r="W64" s="153"/>
      <c r="X64" s="154"/>
      <c r="Z64" s="152"/>
      <c r="AA64" s="153"/>
      <c r="AB64" s="153"/>
      <c r="AC64" s="154"/>
    </row>
    <row r="65" spans="1:29" ht="15" customHeight="1" x14ac:dyDescent="0.2">
      <c r="A65" s="16"/>
      <c r="B65" s="16"/>
      <c r="C65" s="16"/>
      <c r="D65" s="16"/>
      <c r="E65" s="16"/>
      <c r="F65" s="16"/>
      <c r="G65" s="16"/>
      <c r="J65" s="87" t="s">
        <v>18</v>
      </c>
      <c r="K65" s="15"/>
      <c r="U65" s="152"/>
      <c r="V65" s="153"/>
      <c r="W65" s="153"/>
      <c r="X65" s="154"/>
      <c r="Z65" s="152"/>
      <c r="AA65" s="153"/>
      <c r="AB65" s="153"/>
      <c r="AC65" s="154"/>
    </row>
    <row r="66" spans="1:29" ht="15" customHeight="1" x14ac:dyDescent="0.2">
      <c r="A66" s="16"/>
      <c r="B66" s="16"/>
      <c r="C66" s="16"/>
      <c r="D66" s="16"/>
      <c r="E66" s="16"/>
      <c r="F66" s="16"/>
      <c r="G66" s="16"/>
      <c r="J66" s="88" t="s">
        <v>92</v>
      </c>
      <c r="K66" s="15"/>
      <c r="U66" s="152"/>
      <c r="V66" s="153"/>
      <c r="W66" s="153"/>
      <c r="X66" s="154"/>
      <c r="Z66" s="152"/>
      <c r="AA66" s="153"/>
      <c r="AB66" s="153"/>
      <c r="AC66" s="154"/>
    </row>
    <row r="67" spans="1:29" ht="15" customHeight="1" x14ac:dyDescent="0.2">
      <c r="A67" s="91"/>
      <c r="B67" s="92"/>
      <c r="C67" s="32"/>
      <c r="D67" s="93"/>
      <c r="E67" s="93"/>
      <c r="F67" s="32"/>
      <c r="G67" s="32"/>
      <c r="H67" s="32"/>
      <c r="I67" s="32"/>
      <c r="J67" s="88" t="s">
        <v>29</v>
      </c>
      <c r="K67" s="90" t="str">
        <f>G19</f>
        <v>Matriz (Tipo A)</v>
      </c>
      <c r="U67" s="152"/>
      <c r="V67" s="153"/>
      <c r="W67" s="153"/>
      <c r="X67" s="154"/>
      <c r="Z67" s="152"/>
      <c r="AA67" s="153"/>
      <c r="AB67" s="153"/>
      <c r="AC67" s="154"/>
    </row>
    <row r="68" spans="1:29" ht="15" customHeight="1" x14ac:dyDescent="0.2">
      <c r="A68" s="91"/>
      <c r="B68" s="92"/>
      <c r="C68" s="32"/>
      <c r="D68" s="93"/>
      <c r="E68" s="93"/>
      <c r="F68" s="32"/>
      <c r="G68" s="32"/>
      <c r="H68" s="32"/>
      <c r="I68" s="32"/>
      <c r="J68" s="88" t="str">
        <f>+CONCATENATE("c. Velocidad de ensayo: ",B7,C7)</f>
        <v>c. Velocidad de ensayo: 0,5 MPa/s</v>
      </c>
      <c r="K68" s="15"/>
      <c r="U68" s="152"/>
      <c r="V68" s="153"/>
      <c r="W68" s="153"/>
      <c r="X68" s="154"/>
      <c r="Z68" s="152"/>
      <c r="AA68" s="153"/>
      <c r="AB68" s="153"/>
      <c r="AC68" s="154"/>
    </row>
    <row r="69" spans="1:29" ht="15" customHeight="1" x14ac:dyDescent="0.2">
      <c r="A69" s="91"/>
      <c r="B69" s="92"/>
      <c r="C69" s="32"/>
      <c r="D69" s="93"/>
      <c r="E69" s="93"/>
      <c r="F69" s="32"/>
      <c r="G69" s="32"/>
      <c r="H69" s="32"/>
      <c r="I69" s="32"/>
      <c r="J69" s="16"/>
      <c r="K69" s="16"/>
      <c r="L69" s="16"/>
      <c r="U69" s="152"/>
      <c r="V69" s="153"/>
      <c r="W69" s="153"/>
      <c r="X69" s="154"/>
      <c r="Z69" s="152"/>
      <c r="AA69" s="153"/>
      <c r="AB69" s="153"/>
      <c r="AC69" s="154"/>
    </row>
    <row r="70" spans="1:29" ht="15" customHeight="1" x14ac:dyDescent="0.2">
      <c r="A70" s="91"/>
      <c r="B70" s="92"/>
      <c r="C70" s="32"/>
      <c r="D70" s="93"/>
      <c r="E70" s="93"/>
      <c r="F70" s="32"/>
      <c r="G70" s="32"/>
      <c r="H70" s="32"/>
      <c r="I70" s="32"/>
      <c r="J70" s="16"/>
      <c r="K70" s="16"/>
      <c r="L70" s="16"/>
      <c r="U70" s="152"/>
      <c r="V70" s="153"/>
      <c r="W70" s="153"/>
      <c r="X70" s="154"/>
      <c r="Z70" s="152"/>
      <c r="AA70" s="153"/>
      <c r="AB70" s="153"/>
      <c r="AC70" s="154"/>
    </row>
    <row r="71" spans="1:29" ht="15" customHeight="1" x14ac:dyDescent="0.2">
      <c r="A71" s="91"/>
      <c r="B71" s="92"/>
      <c r="C71" s="32"/>
      <c r="D71" s="93"/>
      <c r="E71" s="93"/>
      <c r="F71" s="32"/>
      <c r="G71" s="32"/>
      <c r="H71" s="32"/>
      <c r="I71" s="32"/>
      <c r="U71" s="152"/>
      <c r="V71" s="153"/>
      <c r="W71" s="153"/>
      <c r="X71" s="154"/>
      <c r="Z71" s="152"/>
      <c r="AA71" s="153"/>
      <c r="AB71" s="153"/>
      <c r="AC71" s="154"/>
    </row>
    <row r="72" spans="1:29" ht="15" customHeight="1" x14ac:dyDescent="0.2">
      <c r="A72" s="91"/>
      <c r="B72" s="92"/>
      <c r="C72" s="32"/>
      <c r="D72" s="93"/>
      <c r="E72" s="93"/>
      <c r="F72" s="32"/>
      <c r="G72" s="32"/>
      <c r="H72" s="32"/>
      <c r="I72" s="32"/>
      <c r="U72" s="152"/>
      <c r="V72" s="153"/>
      <c r="W72" s="153"/>
      <c r="X72" s="154"/>
      <c r="Z72" s="152"/>
      <c r="AA72" s="153"/>
      <c r="AB72" s="153"/>
      <c r="AC72" s="154"/>
    </row>
    <row r="73" spans="1:29" ht="15" customHeight="1" x14ac:dyDescent="0.2">
      <c r="A73" s="91"/>
      <c r="B73" s="92"/>
      <c r="C73" s="32"/>
      <c r="D73" s="93"/>
      <c r="E73" s="93"/>
      <c r="F73" s="32"/>
      <c r="G73" s="32"/>
      <c r="H73" s="32"/>
      <c r="I73" s="32"/>
      <c r="U73" s="152"/>
      <c r="V73" s="153"/>
      <c r="W73" s="153"/>
      <c r="X73" s="154"/>
      <c r="Z73" s="152"/>
      <c r="AA73" s="153"/>
      <c r="AB73" s="153"/>
      <c r="AC73" s="154"/>
    </row>
    <row r="74" spans="1:29" ht="15" customHeight="1" x14ac:dyDescent="0.2">
      <c r="A74" s="91"/>
      <c r="B74" s="92"/>
      <c r="C74" s="32"/>
      <c r="D74" s="93"/>
      <c r="E74" s="93"/>
      <c r="F74" s="32"/>
      <c r="G74" s="32"/>
      <c r="H74" s="32"/>
      <c r="I74" s="32"/>
      <c r="U74" s="155"/>
      <c r="V74" s="156"/>
      <c r="W74" s="156"/>
      <c r="X74" s="157"/>
      <c r="Z74" s="155"/>
      <c r="AA74" s="156"/>
      <c r="AB74" s="156"/>
      <c r="AC74" s="157"/>
    </row>
    <row r="75" spans="1:29" ht="15" customHeight="1" x14ac:dyDescent="0.2">
      <c r="A75" s="91"/>
      <c r="B75" s="92"/>
      <c r="C75" s="32"/>
      <c r="D75" s="93"/>
      <c r="E75" s="93"/>
      <c r="F75" s="32"/>
      <c r="G75" s="32"/>
      <c r="H75" s="32"/>
      <c r="I75" s="32"/>
    </row>
    <row r="76" spans="1:29" ht="15" customHeight="1" x14ac:dyDescent="0.2">
      <c r="A76" s="91"/>
      <c r="B76" s="92"/>
      <c r="C76" s="32"/>
      <c r="D76" s="93"/>
      <c r="E76" s="93"/>
      <c r="F76" s="32"/>
      <c r="G76" s="32"/>
      <c r="H76" s="32"/>
      <c r="I76" s="32"/>
    </row>
    <row r="77" spans="1:29" ht="15" customHeight="1" x14ac:dyDescent="0.2">
      <c r="A77" s="91"/>
      <c r="B77" s="92"/>
      <c r="C77" s="32"/>
      <c r="D77" s="93"/>
      <c r="E77" s="93"/>
      <c r="F77" s="32"/>
      <c r="G77" s="32"/>
      <c r="H77" s="32"/>
      <c r="I77" s="32"/>
    </row>
    <row r="78" spans="1:29" ht="15" customHeight="1" x14ac:dyDescent="0.2">
      <c r="A78" s="91"/>
      <c r="B78" s="92"/>
      <c r="C78" s="32"/>
      <c r="D78" s="93"/>
      <c r="E78" s="93"/>
      <c r="F78" s="32"/>
      <c r="G78" s="32"/>
      <c r="H78" s="32"/>
      <c r="I78" s="32"/>
    </row>
    <row r="79" spans="1:29" ht="15" customHeight="1" x14ac:dyDescent="0.2">
      <c r="A79" s="91"/>
      <c r="B79" s="92"/>
      <c r="C79" s="32"/>
      <c r="D79" s="93"/>
      <c r="E79" s="93"/>
      <c r="F79" s="32"/>
      <c r="G79" s="32"/>
      <c r="H79" s="32"/>
      <c r="I79" s="32"/>
    </row>
    <row r="80" spans="1:29" ht="15" customHeight="1" x14ac:dyDescent="0.2">
      <c r="A80" s="16"/>
      <c r="B80" s="16"/>
      <c r="C80" s="16"/>
      <c r="D80" s="32"/>
      <c r="E80" s="32"/>
      <c r="F80" s="16"/>
      <c r="G80" s="16"/>
    </row>
    <row r="81" spans="1:15" ht="15" customHeight="1" x14ac:dyDescent="0.2">
      <c r="A81" s="16"/>
      <c r="B81" s="16"/>
      <c r="C81" s="16"/>
      <c r="D81" s="32"/>
      <c r="E81" s="32"/>
      <c r="F81" s="16"/>
      <c r="G81" s="16"/>
    </row>
    <row r="82" spans="1:15" ht="15" customHeight="1" x14ac:dyDescent="0.2">
      <c r="A82" s="16"/>
      <c r="B82" s="16"/>
      <c r="C82" s="16"/>
      <c r="D82" s="32"/>
      <c r="E82" s="32"/>
      <c r="F82" s="16"/>
      <c r="G82" s="16"/>
    </row>
    <row r="83" spans="1:15" ht="15" customHeight="1" x14ac:dyDescent="0.2">
      <c r="A83" s="16"/>
      <c r="B83" s="16"/>
      <c r="C83" s="16"/>
      <c r="D83" s="32"/>
      <c r="E83" s="32"/>
      <c r="F83" s="16"/>
      <c r="G83" s="16"/>
    </row>
    <row r="84" spans="1:15" ht="15" customHeight="1" x14ac:dyDescent="0.2">
      <c r="A84" s="16"/>
      <c r="B84" s="16"/>
      <c r="C84" s="16"/>
      <c r="D84" s="32"/>
      <c r="E84" s="32"/>
      <c r="F84" s="16"/>
      <c r="G84" s="16"/>
    </row>
    <row r="85" spans="1:15" ht="15" customHeight="1" x14ac:dyDescent="0.2">
      <c r="A85" s="16"/>
      <c r="B85" s="16"/>
      <c r="C85" s="16"/>
      <c r="D85" s="32"/>
      <c r="E85" s="32"/>
      <c r="F85" s="16"/>
      <c r="G85" s="16"/>
      <c r="O85" s="17"/>
    </row>
    <row r="86" spans="1:15" ht="15" customHeight="1" x14ac:dyDescent="0.2">
      <c r="A86" s="16"/>
      <c r="B86" s="16"/>
      <c r="C86" s="16"/>
      <c r="D86" s="32"/>
      <c r="E86" s="32"/>
      <c r="F86" s="16"/>
      <c r="G86" s="16"/>
    </row>
    <row r="87" spans="1:15" ht="15" customHeight="1" x14ac:dyDescent="0.2">
      <c r="A87" s="16"/>
      <c r="B87" s="16"/>
      <c r="C87" s="16"/>
      <c r="D87" s="32"/>
      <c r="E87" s="32"/>
      <c r="F87" s="16"/>
      <c r="G87" s="16"/>
    </row>
    <row r="88" spans="1:15" ht="15" customHeight="1" x14ac:dyDescent="0.2">
      <c r="A88" s="16"/>
      <c r="B88" s="16"/>
      <c r="C88" s="16"/>
      <c r="D88" s="32"/>
      <c r="E88" s="32"/>
      <c r="F88" s="16"/>
      <c r="G88" s="16"/>
    </row>
    <row r="89" spans="1:15" ht="15" customHeight="1" x14ac:dyDescent="0.2">
      <c r="A89" s="16"/>
      <c r="B89" s="16"/>
      <c r="C89" s="16"/>
      <c r="D89" s="32"/>
      <c r="E89" s="32"/>
      <c r="F89" s="16"/>
      <c r="G89" s="16"/>
    </row>
    <row r="90" spans="1:15" ht="15" customHeight="1" x14ac:dyDescent="0.2">
      <c r="A90" s="16"/>
      <c r="B90" s="16"/>
      <c r="C90" s="16"/>
      <c r="D90" s="32"/>
      <c r="E90" s="32"/>
      <c r="F90" s="16"/>
      <c r="G90" s="16"/>
    </row>
    <row r="91" spans="1:15" ht="15" customHeight="1" x14ac:dyDescent="0.2">
      <c r="A91" s="16"/>
      <c r="B91" s="16"/>
      <c r="C91" s="16"/>
      <c r="D91" s="32"/>
      <c r="E91" s="32"/>
      <c r="F91" s="16"/>
      <c r="G91" s="16"/>
    </row>
    <row r="92" spans="1:15" ht="15" customHeight="1" x14ac:dyDescent="0.2">
      <c r="A92" s="16"/>
      <c r="B92" s="16"/>
      <c r="C92" s="16"/>
      <c r="D92" s="32"/>
      <c r="E92" s="32"/>
      <c r="F92" s="16"/>
      <c r="G92" s="16"/>
    </row>
    <row r="93" spans="1:15" ht="15" customHeight="1" x14ac:dyDescent="0.2">
      <c r="A93" s="16"/>
      <c r="B93" s="16"/>
      <c r="C93" s="16"/>
      <c r="D93" s="32"/>
      <c r="E93" s="32"/>
      <c r="F93" s="16"/>
      <c r="G93" s="16"/>
    </row>
    <row r="94" spans="1:15" ht="15" customHeight="1" x14ac:dyDescent="0.2">
      <c r="A94" s="16"/>
      <c r="B94" s="16"/>
      <c r="C94" s="16"/>
      <c r="D94" s="16"/>
      <c r="E94" s="16"/>
      <c r="F94" s="16"/>
      <c r="G94" s="16"/>
    </row>
    <row r="95" spans="1:15" ht="15" customHeight="1" x14ac:dyDescent="0.2">
      <c r="A95" s="16"/>
      <c r="B95" s="16"/>
      <c r="C95" s="16"/>
      <c r="D95" s="16"/>
      <c r="E95" s="16"/>
      <c r="F95" s="16"/>
      <c r="G95" s="16"/>
    </row>
    <row r="96" spans="1:15" ht="15" customHeight="1" x14ac:dyDescent="0.2">
      <c r="A96" s="16"/>
      <c r="B96" s="16"/>
      <c r="C96" s="16"/>
      <c r="D96" s="16"/>
      <c r="E96" s="16"/>
      <c r="F96" s="16"/>
      <c r="G96" s="16"/>
    </row>
    <row r="97" spans="1:7" ht="15" customHeight="1" x14ac:dyDescent="0.2">
      <c r="A97" s="16"/>
      <c r="B97" s="16"/>
      <c r="C97" s="16"/>
      <c r="D97" s="16"/>
      <c r="E97" s="16"/>
      <c r="F97" s="16"/>
      <c r="G97" s="16"/>
    </row>
    <row r="98" spans="1:7" ht="15" customHeight="1" x14ac:dyDescent="0.2">
      <c r="A98" s="16"/>
      <c r="B98" s="16"/>
      <c r="C98" s="16"/>
      <c r="D98" s="16"/>
      <c r="E98" s="16"/>
      <c r="F98" s="16"/>
      <c r="G98" s="16"/>
    </row>
    <row r="99" spans="1:7" ht="15" customHeight="1" x14ac:dyDescent="0.2">
      <c r="A99" s="16"/>
      <c r="B99" s="16"/>
      <c r="C99" s="16"/>
      <c r="D99" s="16"/>
      <c r="E99" s="16"/>
      <c r="F99" s="16"/>
      <c r="G99" s="16"/>
    </row>
    <row r="100" spans="1:7" ht="15" customHeight="1" x14ac:dyDescent="0.2">
      <c r="A100" s="16"/>
      <c r="B100" s="16"/>
      <c r="C100" s="16"/>
      <c r="D100" s="16"/>
      <c r="E100" s="16"/>
      <c r="F100" s="16"/>
      <c r="G100" s="16"/>
    </row>
    <row r="101" spans="1:7" ht="15" customHeight="1" x14ac:dyDescent="0.2">
      <c r="A101" s="16"/>
      <c r="B101" s="16"/>
      <c r="C101" s="16"/>
      <c r="D101" s="16"/>
      <c r="E101" s="16"/>
      <c r="F101" s="16"/>
      <c r="G101" s="16"/>
    </row>
    <row r="102" spans="1:7" ht="15" customHeight="1" x14ac:dyDescent="0.2">
      <c r="A102" s="16"/>
      <c r="B102" s="16"/>
      <c r="C102" s="16"/>
      <c r="D102" s="16"/>
      <c r="E102" s="16"/>
      <c r="F102" s="16"/>
      <c r="G102" s="16"/>
    </row>
    <row r="103" spans="1:7" ht="15" customHeight="1" x14ac:dyDescent="0.2">
      <c r="A103" s="16"/>
      <c r="B103" s="16"/>
      <c r="C103" s="16"/>
      <c r="D103" s="16"/>
      <c r="E103" s="16"/>
      <c r="F103" s="16"/>
      <c r="G103" s="16"/>
    </row>
    <row r="104" spans="1:7" ht="15" customHeight="1" x14ac:dyDescent="0.2">
      <c r="A104" s="16"/>
      <c r="B104" s="16"/>
      <c r="C104" s="16"/>
      <c r="D104" s="16"/>
      <c r="E104" s="16"/>
      <c r="F104" s="16"/>
      <c r="G104" s="16"/>
    </row>
    <row r="105" spans="1:7" ht="15" customHeight="1" x14ac:dyDescent="0.2">
      <c r="A105" s="16"/>
      <c r="B105" s="16"/>
      <c r="C105" s="16"/>
      <c r="D105" s="16"/>
      <c r="E105" s="16"/>
      <c r="F105" s="16"/>
      <c r="G105" s="16"/>
    </row>
    <row r="106" spans="1:7" ht="15" customHeight="1" x14ac:dyDescent="0.2">
      <c r="A106" s="16"/>
      <c r="B106" s="16"/>
      <c r="C106" s="16"/>
      <c r="D106" s="16"/>
      <c r="E106" s="16"/>
      <c r="F106" s="16"/>
      <c r="G106" s="16"/>
    </row>
    <row r="107" spans="1:7" ht="15" customHeight="1" x14ac:dyDescent="0.2">
      <c r="A107" s="16"/>
      <c r="B107" s="16"/>
      <c r="C107" s="16"/>
      <c r="D107" s="16"/>
      <c r="E107" s="16"/>
      <c r="F107" s="16"/>
      <c r="G107" s="16"/>
    </row>
    <row r="108" spans="1:7" ht="15" customHeight="1" x14ac:dyDescent="0.2">
      <c r="A108" s="16"/>
      <c r="B108" s="16"/>
      <c r="C108" s="16"/>
      <c r="D108" s="16"/>
      <c r="E108" s="16"/>
      <c r="F108" s="16"/>
      <c r="G108" s="16"/>
    </row>
    <row r="109" spans="1:7" ht="15" customHeight="1" x14ac:dyDescent="0.2">
      <c r="A109" s="16"/>
      <c r="B109" s="16"/>
      <c r="C109" s="16"/>
      <c r="D109" s="16"/>
      <c r="E109" s="16"/>
      <c r="F109" s="16"/>
      <c r="G109" s="16"/>
    </row>
    <row r="110" spans="1:7" ht="15" customHeight="1" x14ac:dyDescent="0.2">
      <c r="A110" s="16"/>
      <c r="B110" s="16"/>
      <c r="C110" s="16"/>
      <c r="D110" s="16"/>
      <c r="E110" s="16"/>
      <c r="F110" s="16"/>
      <c r="G110" s="16"/>
    </row>
    <row r="111" spans="1:7" ht="15" customHeight="1" x14ac:dyDescent="0.2">
      <c r="A111" s="16"/>
      <c r="B111" s="16"/>
      <c r="C111" s="16"/>
      <c r="D111" s="16"/>
      <c r="E111" s="16"/>
      <c r="F111" s="16"/>
      <c r="G111" s="16"/>
    </row>
    <row r="112" spans="1:7" ht="15" customHeight="1" x14ac:dyDescent="0.2">
      <c r="A112" s="16"/>
      <c r="B112" s="16"/>
      <c r="C112" s="16"/>
      <c r="D112" s="16"/>
      <c r="E112" s="16"/>
      <c r="F112" s="16"/>
      <c r="G112" s="16"/>
    </row>
    <row r="113" spans="1:7" ht="15" customHeight="1" x14ac:dyDescent="0.2">
      <c r="A113" s="16"/>
      <c r="B113" s="16"/>
      <c r="C113" s="16"/>
      <c r="D113" s="16"/>
      <c r="E113" s="16"/>
      <c r="F113" s="16"/>
      <c r="G113" s="16"/>
    </row>
    <row r="114" spans="1:7" ht="15" customHeight="1" x14ac:dyDescent="0.2">
      <c r="A114" s="16"/>
      <c r="B114" s="16"/>
      <c r="C114" s="16"/>
      <c r="D114" s="16"/>
      <c r="E114" s="16"/>
      <c r="F114" s="16"/>
      <c r="G114" s="16"/>
    </row>
    <row r="115" spans="1:7" ht="15" customHeight="1" x14ac:dyDescent="0.2">
      <c r="A115" s="16"/>
      <c r="B115" s="16"/>
      <c r="C115" s="16"/>
      <c r="D115" s="16"/>
      <c r="E115" s="16"/>
      <c r="F115" s="16"/>
      <c r="G115" s="16"/>
    </row>
    <row r="116" spans="1:7" ht="15" customHeight="1" x14ac:dyDescent="0.2">
      <c r="A116" s="16"/>
      <c r="B116" s="16"/>
      <c r="C116" s="16"/>
      <c r="D116" s="16"/>
      <c r="E116" s="16"/>
      <c r="F116" s="16"/>
      <c r="G116" s="16"/>
    </row>
    <row r="117" spans="1:7" ht="15" customHeight="1" x14ac:dyDescent="0.2">
      <c r="A117" s="16"/>
      <c r="B117" s="16"/>
      <c r="C117" s="16"/>
      <c r="D117" s="16"/>
      <c r="E117" s="16"/>
      <c r="F117" s="16"/>
      <c r="G117" s="16"/>
    </row>
    <row r="118" spans="1:7" ht="15" customHeight="1" x14ac:dyDescent="0.2">
      <c r="A118" s="16"/>
      <c r="B118" s="16"/>
      <c r="C118" s="16"/>
      <c r="D118" s="16"/>
      <c r="E118" s="16"/>
      <c r="F118" s="16"/>
      <c r="G118" s="16"/>
    </row>
    <row r="119" spans="1:7" ht="15" customHeight="1" x14ac:dyDescent="0.2">
      <c r="A119" s="16"/>
      <c r="B119" s="16"/>
      <c r="C119" s="16"/>
      <c r="D119" s="16"/>
      <c r="E119" s="16"/>
      <c r="F119" s="16"/>
      <c r="G119" s="16"/>
    </row>
    <row r="120" spans="1:7" ht="15" customHeight="1" x14ac:dyDescent="0.2">
      <c r="A120" s="16"/>
      <c r="B120" s="16"/>
      <c r="C120" s="16"/>
      <c r="D120" s="16"/>
      <c r="E120" s="16"/>
      <c r="F120" s="16"/>
      <c r="G120" s="16"/>
    </row>
    <row r="121" spans="1:7" ht="15" customHeight="1" x14ac:dyDescent="0.2">
      <c r="A121" s="16"/>
      <c r="B121" s="16"/>
      <c r="C121" s="16"/>
      <c r="D121" s="16"/>
      <c r="E121" s="16"/>
      <c r="F121" s="16"/>
      <c r="G121" s="16"/>
    </row>
    <row r="122" spans="1:7" ht="15" customHeight="1" x14ac:dyDescent="0.2">
      <c r="A122" s="16"/>
      <c r="B122" s="16"/>
      <c r="C122" s="16"/>
      <c r="D122" s="16"/>
      <c r="E122" s="16"/>
      <c r="F122" s="16"/>
      <c r="G122" s="16"/>
    </row>
    <row r="123" spans="1:7" ht="15" customHeight="1" x14ac:dyDescent="0.2">
      <c r="A123" s="16"/>
      <c r="B123" s="16"/>
      <c r="C123" s="16"/>
      <c r="D123" s="16"/>
      <c r="E123" s="16"/>
      <c r="F123" s="16"/>
      <c r="G123" s="16"/>
    </row>
    <row r="124" spans="1:7" ht="15" customHeight="1" x14ac:dyDescent="0.2">
      <c r="A124" s="16"/>
      <c r="B124" s="16"/>
      <c r="C124" s="16"/>
      <c r="D124" s="16"/>
      <c r="E124" s="16"/>
      <c r="F124" s="16"/>
      <c r="G124" s="16"/>
    </row>
    <row r="125" spans="1:7" ht="15" customHeight="1" x14ac:dyDescent="0.2">
      <c r="A125" s="16"/>
      <c r="B125" s="16"/>
      <c r="C125" s="16"/>
      <c r="D125" s="16"/>
      <c r="E125" s="16"/>
      <c r="F125" s="16"/>
      <c r="G125" s="16"/>
    </row>
    <row r="126" spans="1:7" ht="15" customHeight="1" x14ac:dyDescent="0.2">
      <c r="A126" s="16"/>
      <c r="B126" s="16"/>
      <c r="C126" s="16"/>
      <c r="D126" s="16"/>
      <c r="E126" s="16"/>
      <c r="F126" s="16"/>
      <c r="G126" s="16"/>
    </row>
    <row r="127" spans="1:7" ht="15" customHeight="1" x14ac:dyDescent="0.2">
      <c r="A127" s="16"/>
      <c r="B127" s="16"/>
      <c r="C127" s="16"/>
      <c r="D127" s="16"/>
      <c r="E127" s="16"/>
      <c r="F127" s="16"/>
      <c r="G127" s="16"/>
    </row>
    <row r="128" spans="1:7" ht="15" customHeight="1" x14ac:dyDescent="0.2">
      <c r="A128" s="16"/>
      <c r="B128" s="16"/>
      <c r="C128" s="16"/>
      <c r="D128" s="16"/>
      <c r="E128" s="16"/>
      <c r="F128" s="16"/>
      <c r="G128" s="16"/>
    </row>
    <row r="129" spans="1:7" ht="15" customHeight="1" x14ac:dyDescent="0.2">
      <c r="A129" s="16"/>
      <c r="B129" s="16"/>
      <c r="C129" s="16"/>
      <c r="D129" s="16"/>
      <c r="E129" s="16"/>
      <c r="F129" s="16"/>
      <c r="G129" s="16"/>
    </row>
    <row r="130" spans="1:7" x14ac:dyDescent="0.2">
      <c r="A130" s="16"/>
      <c r="B130" s="16"/>
      <c r="C130" s="16"/>
      <c r="D130" s="16"/>
      <c r="E130" s="16"/>
      <c r="F130" s="16"/>
      <c r="G130" s="16"/>
    </row>
    <row r="131" spans="1:7" x14ac:dyDescent="0.2">
      <c r="A131" s="16"/>
      <c r="B131" s="16"/>
      <c r="C131" s="16"/>
      <c r="D131" s="16"/>
      <c r="E131" s="16"/>
      <c r="F131" s="16"/>
      <c r="G131" s="16"/>
    </row>
    <row r="132" spans="1:7" x14ac:dyDescent="0.2">
      <c r="A132" s="16"/>
      <c r="B132" s="16"/>
      <c r="C132" s="16"/>
      <c r="D132" s="16"/>
      <c r="E132" s="16"/>
      <c r="F132" s="16"/>
      <c r="G132" s="16"/>
    </row>
    <row r="133" spans="1:7" x14ac:dyDescent="0.2">
      <c r="A133" s="16"/>
      <c r="B133" s="16"/>
      <c r="C133" s="16"/>
      <c r="D133" s="16"/>
      <c r="E133" s="16"/>
      <c r="F133" s="16"/>
      <c r="G133" s="16"/>
    </row>
    <row r="134" spans="1:7" x14ac:dyDescent="0.2">
      <c r="A134" s="16"/>
      <c r="B134" s="16"/>
      <c r="C134" s="16"/>
      <c r="D134" s="16"/>
      <c r="E134" s="16"/>
      <c r="F134" s="16"/>
      <c r="G134" s="16"/>
    </row>
    <row r="135" spans="1:7" x14ac:dyDescent="0.2">
      <c r="A135" s="16"/>
      <c r="B135" s="16"/>
      <c r="C135" s="16"/>
      <c r="D135" s="16"/>
      <c r="E135" s="16"/>
      <c r="F135" s="16"/>
      <c r="G135" s="16"/>
    </row>
    <row r="136" spans="1:7" x14ac:dyDescent="0.2">
      <c r="A136" s="16"/>
      <c r="B136" s="16"/>
      <c r="C136" s="16"/>
      <c r="D136" s="16"/>
      <c r="E136" s="16"/>
      <c r="F136" s="16"/>
      <c r="G136" s="16"/>
    </row>
    <row r="137" spans="1:7" x14ac:dyDescent="0.2">
      <c r="A137" s="16"/>
      <c r="B137" s="16"/>
      <c r="C137" s="16"/>
      <c r="D137" s="16"/>
      <c r="E137" s="16"/>
      <c r="F137" s="16"/>
      <c r="G137" s="16"/>
    </row>
    <row r="138" spans="1:7" x14ac:dyDescent="0.2">
      <c r="A138" s="16"/>
      <c r="B138" s="16"/>
      <c r="C138" s="16"/>
      <c r="D138" s="16"/>
      <c r="E138" s="16"/>
      <c r="F138" s="16"/>
      <c r="G138" s="16"/>
    </row>
    <row r="139" spans="1:7" x14ac:dyDescent="0.2">
      <c r="A139" s="16"/>
      <c r="B139" s="16"/>
      <c r="C139" s="16"/>
      <c r="D139" s="16"/>
      <c r="E139" s="16"/>
      <c r="F139" s="16"/>
      <c r="G139" s="16"/>
    </row>
    <row r="140" spans="1:7" x14ac:dyDescent="0.2">
      <c r="A140" s="16"/>
      <c r="B140" s="16"/>
      <c r="C140" s="16"/>
      <c r="D140" s="16"/>
      <c r="E140" s="16"/>
      <c r="F140" s="16"/>
      <c r="G140" s="16"/>
    </row>
    <row r="141" spans="1:7" x14ac:dyDescent="0.2">
      <c r="A141" s="16"/>
      <c r="B141" s="16"/>
      <c r="C141" s="16"/>
      <c r="D141" s="16"/>
      <c r="E141" s="16"/>
      <c r="F141" s="16"/>
      <c r="G141" s="16"/>
    </row>
    <row r="142" spans="1:7" x14ac:dyDescent="0.2">
      <c r="A142" s="16"/>
      <c r="B142" s="16"/>
      <c r="C142" s="16"/>
      <c r="D142" s="16"/>
      <c r="E142" s="16"/>
      <c r="F142" s="16"/>
      <c r="G142" s="16"/>
    </row>
    <row r="143" spans="1:7" x14ac:dyDescent="0.2">
      <c r="A143" s="16"/>
      <c r="B143" s="16"/>
      <c r="C143" s="16"/>
      <c r="D143" s="16"/>
      <c r="E143" s="16"/>
      <c r="F143" s="16"/>
      <c r="G143" s="16"/>
    </row>
    <row r="144" spans="1:7" x14ac:dyDescent="0.2">
      <c r="A144" s="16"/>
      <c r="B144" s="16"/>
      <c r="C144" s="16"/>
      <c r="D144" s="16"/>
      <c r="E144" s="16"/>
      <c r="F144" s="16"/>
      <c r="G144" s="16"/>
    </row>
    <row r="145" spans="1:7" x14ac:dyDescent="0.2">
      <c r="A145" s="16"/>
      <c r="B145" s="16"/>
      <c r="C145" s="16"/>
      <c r="D145" s="16"/>
      <c r="E145" s="16"/>
      <c r="F145" s="16"/>
      <c r="G145" s="16"/>
    </row>
    <row r="146" spans="1:7" x14ac:dyDescent="0.2">
      <c r="A146" s="16"/>
      <c r="B146" s="16"/>
      <c r="C146" s="16"/>
      <c r="D146" s="16"/>
      <c r="E146" s="16"/>
      <c r="F146" s="16"/>
      <c r="G146" s="16"/>
    </row>
    <row r="147" spans="1:7" x14ac:dyDescent="0.2">
      <c r="A147" s="16"/>
      <c r="B147" s="16"/>
      <c r="C147" s="16"/>
      <c r="D147" s="16"/>
      <c r="E147" s="16"/>
      <c r="F147" s="16"/>
      <c r="G147" s="16"/>
    </row>
    <row r="148" spans="1:7" x14ac:dyDescent="0.2">
      <c r="A148" s="16"/>
      <c r="B148" s="16"/>
      <c r="C148" s="16"/>
      <c r="D148" s="16"/>
      <c r="E148" s="16"/>
      <c r="F148" s="16"/>
      <c r="G148" s="16"/>
    </row>
    <row r="149" spans="1:7" x14ac:dyDescent="0.2">
      <c r="A149" s="16"/>
      <c r="B149" s="16"/>
      <c r="C149" s="16"/>
      <c r="D149" s="16"/>
      <c r="E149" s="16"/>
      <c r="F149" s="16"/>
      <c r="G149" s="16"/>
    </row>
    <row r="150" spans="1:7" x14ac:dyDescent="0.2">
      <c r="A150" s="16"/>
      <c r="B150" s="16"/>
      <c r="C150" s="16"/>
      <c r="D150" s="16"/>
      <c r="E150" s="16"/>
      <c r="F150" s="16"/>
      <c r="G150" s="16"/>
    </row>
    <row r="151" spans="1:7" x14ac:dyDescent="0.2">
      <c r="A151" s="16"/>
      <c r="B151" s="16"/>
      <c r="C151" s="16"/>
      <c r="D151" s="16"/>
      <c r="E151" s="16"/>
      <c r="F151" s="16"/>
      <c r="G151" s="16"/>
    </row>
    <row r="152" spans="1:7" x14ac:dyDescent="0.2">
      <c r="A152" s="16"/>
      <c r="B152" s="16"/>
      <c r="C152" s="16"/>
      <c r="D152" s="16"/>
      <c r="E152" s="16"/>
      <c r="F152" s="16"/>
      <c r="G152" s="16"/>
    </row>
    <row r="153" spans="1:7" x14ac:dyDescent="0.2">
      <c r="A153" s="16"/>
      <c r="B153" s="16"/>
      <c r="C153" s="16"/>
      <c r="D153" s="16"/>
      <c r="E153" s="16"/>
      <c r="F153" s="16"/>
      <c r="G153" s="16"/>
    </row>
    <row r="154" spans="1:7" x14ac:dyDescent="0.2">
      <c r="A154" s="16"/>
      <c r="B154" s="16"/>
      <c r="C154" s="16"/>
      <c r="D154" s="16"/>
      <c r="E154" s="16"/>
      <c r="F154" s="16"/>
      <c r="G154" s="16"/>
    </row>
    <row r="155" spans="1:7" x14ac:dyDescent="0.2">
      <c r="A155" s="16"/>
      <c r="B155" s="16"/>
      <c r="C155" s="16"/>
      <c r="D155" s="16"/>
      <c r="E155" s="16"/>
      <c r="F155" s="16"/>
      <c r="G155" s="16"/>
    </row>
    <row r="156" spans="1:7" x14ac:dyDescent="0.2">
      <c r="A156" s="16"/>
      <c r="B156" s="16"/>
      <c r="C156" s="16"/>
      <c r="D156" s="16"/>
      <c r="E156" s="16"/>
      <c r="F156" s="16"/>
      <c r="G156" s="16"/>
    </row>
    <row r="157" spans="1:7" x14ac:dyDescent="0.2">
      <c r="A157" s="16"/>
      <c r="B157" s="16"/>
      <c r="C157" s="16"/>
      <c r="D157" s="16"/>
      <c r="E157" s="16"/>
      <c r="F157" s="16"/>
      <c r="G157" s="16"/>
    </row>
    <row r="158" spans="1:7" x14ac:dyDescent="0.2">
      <c r="A158" s="16"/>
      <c r="B158" s="16"/>
      <c r="C158" s="16"/>
      <c r="D158" s="16"/>
      <c r="E158" s="16"/>
      <c r="F158" s="16"/>
      <c r="G158" s="16"/>
    </row>
    <row r="159" spans="1:7" x14ac:dyDescent="0.2">
      <c r="A159" s="16"/>
      <c r="B159" s="16"/>
      <c r="C159" s="16"/>
      <c r="D159" s="16"/>
      <c r="E159" s="16"/>
      <c r="F159" s="16"/>
      <c r="G159" s="16"/>
    </row>
    <row r="160" spans="1:7" x14ac:dyDescent="0.2">
      <c r="A160" s="16"/>
      <c r="B160" s="16"/>
      <c r="C160" s="16"/>
      <c r="D160" s="16"/>
      <c r="E160" s="16"/>
      <c r="F160" s="16"/>
      <c r="G160" s="16"/>
    </row>
    <row r="161" spans="1:7" x14ac:dyDescent="0.2">
      <c r="A161" s="16"/>
      <c r="B161" s="16"/>
      <c r="C161" s="16"/>
      <c r="D161" s="16"/>
      <c r="E161" s="16"/>
      <c r="F161" s="16"/>
      <c r="G161" s="16"/>
    </row>
    <row r="162" spans="1:7" x14ac:dyDescent="0.2">
      <c r="A162" s="16"/>
      <c r="B162" s="16"/>
      <c r="C162" s="16"/>
      <c r="D162" s="16"/>
      <c r="E162" s="16"/>
      <c r="F162" s="16"/>
      <c r="G162" s="16"/>
    </row>
    <row r="163" spans="1:7" x14ac:dyDescent="0.2">
      <c r="A163" s="16"/>
      <c r="B163" s="16"/>
      <c r="C163" s="16"/>
      <c r="D163" s="16"/>
      <c r="E163" s="16"/>
      <c r="F163" s="16"/>
      <c r="G163" s="16"/>
    </row>
    <row r="164" spans="1:7" x14ac:dyDescent="0.2">
      <c r="A164" s="16"/>
      <c r="B164" s="16"/>
      <c r="C164" s="16"/>
      <c r="D164" s="16"/>
      <c r="E164" s="16"/>
      <c r="F164" s="16"/>
      <c r="G164" s="16"/>
    </row>
    <row r="165" spans="1:7" x14ac:dyDescent="0.2">
      <c r="A165" s="16"/>
      <c r="B165" s="16"/>
      <c r="C165" s="16"/>
      <c r="D165" s="16"/>
      <c r="E165" s="16"/>
      <c r="F165" s="16"/>
      <c r="G165" s="16"/>
    </row>
    <row r="166" spans="1:7" x14ac:dyDescent="0.2">
      <c r="A166" s="16"/>
      <c r="B166" s="16"/>
      <c r="C166" s="16"/>
      <c r="D166" s="16"/>
      <c r="E166" s="16"/>
      <c r="F166" s="16"/>
      <c r="G166" s="16"/>
    </row>
    <row r="167" spans="1:7" x14ac:dyDescent="0.2">
      <c r="A167" s="16"/>
      <c r="B167" s="16"/>
      <c r="C167" s="16"/>
      <c r="D167" s="16"/>
      <c r="E167" s="16"/>
      <c r="F167" s="16"/>
      <c r="G167" s="16"/>
    </row>
    <row r="168" spans="1:7" x14ac:dyDescent="0.2">
      <c r="A168" s="16"/>
      <c r="B168" s="16"/>
      <c r="C168" s="16"/>
      <c r="D168" s="16"/>
      <c r="E168" s="16"/>
      <c r="F168" s="16"/>
      <c r="G168" s="16"/>
    </row>
    <row r="169" spans="1:7" x14ac:dyDescent="0.2">
      <c r="A169" s="16"/>
      <c r="B169" s="16"/>
      <c r="C169" s="16"/>
      <c r="D169" s="16"/>
      <c r="E169" s="16"/>
      <c r="F169" s="16"/>
      <c r="G169" s="16"/>
    </row>
    <row r="170" spans="1:7" x14ac:dyDescent="0.2">
      <c r="A170" s="16"/>
      <c r="B170" s="16"/>
      <c r="C170" s="16"/>
      <c r="D170" s="16"/>
      <c r="E170" s="16"/>
      <c r="F170" s="16"/>
      <c r="G170" s="16"/>
    </row>
    <row r="171" spans="1:7" x14ac:dyDescent="0.2">
      <c r="A171" s="16"/>
      <c r="B171" s="16"/>
      <c r="C171" s="16"/>
      <c r="D171" s="16"/>
      <c r="E171" s="16"/>
      <c r="F171" s="16"/>
      <c r="G171" s="16"/>
    </row>
    <row r="172" spans="1:7" x14ac:dyDescent="0.2">
      <c r="A172" s="16"/>
      <c r="B172" s="16"/>
      <c r="C172" s="16"/>
      <c r="D172" s="16"/>
      <c r="E172" s="16"/>
      <c r="F172" s="16"/>
      <c r="G172" s="16"/>
    </row>
    <row r="173" spans="1:7" x14ac:dyDescent="0.2">
      <c r="A173" s="16"/>
      <c r="B173" s="16"/>
      <c r="C173" s="16"/>
      <c r="D173" s="16"/>
      <c r="E173" s="16"/>
      <c r="F173" s="16"/>
      <c r="G173" s="16"/>
    </row>
    <row r="174" spans="1:7" x14ac:dyDescent="0.2">
      <c r="A174" s="16"/>
      <c r="B174" s="16"/>
      <c r="C174" s="16"/>
      <c r="D174" s="16"/>
      <c r="E174" s="16"/>
      <c r="F174" s="16"/>
      <c r="G174" s="16"/>
    </row>
    <row r="175" spans="1:7" x14ac:dyDescent="0.2">
      <c r="A175" s="16"/>
      <c r="B175" s="16"/>
      <c r="C175" s="16"/>
      <c r="D175" s="16"/>
      <c r="E175" s="16"/>
      <c r="F175" s="16"/>
      <c r="G175" s="16"/>
    </row>
    <row r="176" spans="1:7" x14ac:dyDescent="0.2">
      <c r="A176" s="16"/>
      <c r="B176" s="16"/>
      <c r="C176" s="16"/>
      <c r="D176" s="16"/>
      <c r="E176" s="16"/>
      <c r="F176" s="16"/>
      <c r="G176" s="16"/>
    </row>
    <row r="177" spans="1:7" x14ac:dyDescent="0.2">
      <c r="A177" s="16"/>
      <c r="B177" s="16"/>
      <c r="C177" s="16"/>
      <c r="D177" s="16"/>
      <c r="E177" s="16"/>
      <c r="F177" s="16"/>
      <c r="G177" s="16"/>
    </row>
    <row r="178" spans="1:7" x14ac:dyDescent="0.2">
      <c r="A178" s="16"/>
      <c r="B178" s="16"/>
      <c r="C178" s="16"/>
      <c r="D178" s="16"/>
      <c r="E178" s="16"/>
      <c r="F178" s="16"/>
      <c r="G178" s="16"/>
    </row>
    <row r="179" spans="1:7" x14ac:dyDescent="0.2">
      <c r="A179" s="16"/>
      <c r="B179" s="16"/>
      <c r="C179" s="16"/>
      <c r="D179" s="16"/>
      <c r="E179" s="16"/>
      <c r="F179" s="16"/>
      <c r="G179" s="16"/>
    </row>
    <row r="180" spans="1:7" x14ac:dyDescent="0.2">
      <c r="A180" s="16"/>
      <c r="B180" s="16"/>
      <c r="C180" s="16"/>
      <c r="D180" s="16"/>
      <c r="E180" s="16"/>
      <c r="F180" s="16"/>
      <c r="G180" s="16"/>
    </row>
    <row r="181" spans="1:7" x14ac:dyDescent="0.2">
      <c r="A181" s="16"/>
      <c r="B181" s="16"/>
      <c r="C181" s="16"/>
      <c r="D181" s="16"/>
      <c r="E181" s="16"/>
      <c r="F181" s="16"/>
      <c r="G181" s="16"/>
    </row>
    <row r="182" spans="1:7" x14ac:dyDescent="0.2">
      <c r="A182" s="16"/>
      <c r="B182" s="16"/>
      <c r="C182" s="16"/>
      <c r="D182" s="16"/>
      <c r="E182" s="16"/>
      <c r="F182" s="16"/>
      <c r="G182" s="16"/>
    </row>
    <row r="183" spans="1:7" x14ac:dyDescent="0.2">
      <c r="A183" s="16"/>
      <c r="B183" s="16"/>
      <c r="C183" s="16"/>
      <c r="D183" s="16"/>
      <c r="E183" s="16"/>
      <c r="F183" s="16"/>
      <c r="G183" s="16"/>
    </row>
    <row r="184" spans="1:7" x14ac:dyDescent="0.2">
      <c r="A184" s="16"/>
      <c r="B184" s="16"/>
      <c r="C184" s="16"/>
      <c r="D184" s="16"/>
      <c r="E184" s="16"/>
      <c r="F184" s="16"/>
      <c r="G184" s="16"/>
    </row>
    <row r="185" spans="1:7" x14ac:dyDescent="0.2">
      <c r="A185" s="16"/>
      <c r="B185" s="16"/>
      <c r="C185" s="16"/>
      <c r="D185" s="16"/>
      <c r="E185" s="16"/>
      <c r="F185" s="16"/>
      <c r="G185" s="16"/>
    </row>
    <row r="186" spans="1:7" x14ac:dyDescent="0.2">
      <c r="A186" s="16"/>
      <c r="B186" s="16"/>
      <c r="C186" s="16"/>
      <c r="D186" s="16"/>
      <c r="E186" s="16"/>
      <c r="F186" s="16"/>
      <c r="G186" s="16"/>
    </row>
    <row r="187" spans="1:7" x14ac:dyDescent="0.2">
      <c r="A187" s="16"/>
      <c r="B187" s="16"/>
      <c r="C187" s="16"/>
      <c r="D187" s="16"/>
      <c r="E187" s="16"/>
      <c r="F187" s="16"/>
      <c r="G187" s="16"/>
    </row>
    <row r="188" spans="1:7" x14ac:dyDescent="0.2">
      <c r="A188" s="16"/>
      <c r="B188" s="16"/>
      <c r="C188" s="16"/>
      <c r="D188" s="16"/>
      <c r="E188" s="16"/>
      <c r="F188" s="16"/>
      <c r="G188" s="16"/>
    </row>
    <row r="189" spans="1:7" x14ac:dyDescent="0.2">
      <c r="A189" s="16"/>
      <c r="B189" s="16"/>
      <c r="C189" s="16"/>
      <c r="D189" s="16"/>
      <c r="E189" s="16"/>
      <c r="F189" s="16"/>
      <c r="G189" s="16"/>
    </row>
    <row r="190" spans="1:7" x14ac:dyDescent="0.2">
      <c r="A190" s="16"/>
      <c r="B190" s="16"/>
      <c r="C190" s="16"/>
      <c r="D190" s="16"/>
      <c r="E190" s="16"/>
      <c r="F190" s="16"/>
      <c r="G190" s="16"/>
    </row>
    <row r="191" spans="1:7" x14ac:dyDescent="0.2">
      <c r="A191" s="16"/>
      <c r="B191" s="16"/>
      <c r="C191" s="16"/>
      <c r="D191" s="16"/>
      <c r="E191" s="16"/>
      <c r="F191" s="16"/>
      <c r="G191" s="16"/>
    </row>
    <row r="192" spans="1:7" x14ac:dyDescent="0.2">
      <c r="A192" s="16"/>
      <c r="B192" s="16"/>
      <c r="C192" s="16"/>
      <c r="D192" s="16"/>
      <c r="E192" s="16"/>
      <c r="F192" s="16"/>
      <c r="G192" s="16"/>
    </row>
    <row r="193" spans="1:7" x14ac:dyDescent="0.2">
      <c r="A193" s="16"/>
      <c r="B193" s="16"/>
      <c r="C193" s="16"/>
      <c r="D193" s="16"/>
      <c r="E193" s="16"/>
      <c r="F193" s="16"/>
      <c r="G193" s="16"/>
    </row>
    <row r="194" spans="1:7" x14ac:dyDescent="0.2">
      <c r="A194" s="16"/>
      <c r="B194" s="16"/>
      <c r="C194" s="16"/>
      <c r="D194" s="16"/>
      <c r="E194" s="16"/>
      <c r="F194" s="16"/>
      <c r="G194" s="16"/>
    </row>
    <row r="195" spans="1:7" x14ac:dyDescent="0.2">
      <c r="A195" s="16"/>
      <c r="B195" s="16"/>
      <c r="C195" s="16"/>
      <c r="D195" s="16"/>
      <c r="E195" s="16"/>
      <c r="F195" s="16"/>
      <c r="G195" s="16"/>
    </row>
    <row r="196" spans="1:7" x14ac:dyDescent="0.2">
      <c r="A196" s="16"/>
      <c r="B196" s="16"/>
      <c r="C196" s="16"/>
      <c r="D196" s="16"/>
      <c r="E196" s="16"/>
      <c r="F196" s="16"/>
      <c r="G196" s="16"/>
    </row>
    <row r="197" spans="1:7" x14ac:dyDescent="0.2">
      <c r="A197" s="16"/>
      <c r="B197" s="16"/>
      <c r="C197" s="16"/>
      <c r="D197" s="16"/>
      <c r="E197" s="16"/>
      <c r="F197" s="16"/>
      <c r="G197" s="16"/>
    </row>
    <row r="198" spans="1:7" x14ac:dyDescent="0.2">
      <c r="A198" s="16"/>
      <c r="B198" s="16"/>
      <c r="C198" s="16"/>
      <c r="D198" s="16"/>
      <c r="E198" s="16"/>
      <c r="F198" s="16"/>
      <c r="G198" s="16"/>
    </row>
    <row r="199" spans="1:7" x14ac:dyDescent="0.2">
      <c r="A199" s="16"/>
      <c r="B199" s="16"/>
      <c r="C199" s="16"/>
      <c r="D199" s="16"/>
      <c r="E199" s="16"/>
      <c r="F199" s="16"/>
      <c r="G199" s="16"/>
    </row>
    <row r="200" spans="1:7" x14ac:dyDescent="0.2">
      <c r="A200" s="16"/>
      <c r="B200" s="16"/>
      <c r="C200" s="16"/>
      <c r="D200" s="16"/>
      <c r="E200" s="16"/>
      <c r="F200" s="16"/>
      <c r="G200" s="16"/>
    </row>
    <row r="201" spans="1:7" x14ac:dyDescent="0.2">
      <c r="A201" s="16"/>
      <c r="B201" s="16"/>
      <c r="C201" s="16"/>
      <c r="D201" s="16"/>
      <c r="E201" s="16"/>
      <c r="F201" s="16"/>
      <c r="G201" s="16"/>
    </row>
  </sheetData>
  <sheetProtection formatCells="0" formatColumns="0" formatRows="0"/>
  <mergeCells count="11">
    <mergeCell ref="U54:X74"/>
    <mergeCell ref="Z54:AC74"/>
    <mergeCell ref="U25:X25"/>
    <mergeCell ref="N17:Q17"/>
    <mergeCell ref="J1:S1"/>
    <mergeCell ref="T1:AD1"/>
    <mergeCell ref="U29:X49"/>
    <mergeCell ref="Z29:AC49"/>
    <mergeCell ref="T3:AD3"/>
    <mergeCell ref="N18:Q18"/>
    <mergeCell ref="L14:R14"/>
  </mergeCells>
  <phoneticPr fontId="0" type="noConversion"/>
  <conditionalFormatting sqref="B2">
    <cfRule type="cellIs" dxfId="17" priority="6" operator="greaterThan">
      <formula>0</formula>
    </cfRule>
  </conditionalFormatting>
  <conditionalFormatting sqref="B3:B7">
    <cfRule type="cellIs" dxfId="16" priority="5" operator="greaterThan">
      <formula>0</formula>
    </cfRule>
  </conditionalFormatting>
  <conditionalFormatting sqref="C8:C21">
    <cfRule type="cellIs" dxfId="15" priority="4" operator="greaterThan">
      <formula>0</formula>
    </cfRule>
  </conditionalFormatting>
  <conditionalFormatting sqref="G19">
    <cfRule type="cellIs" dxfId="14" priority="3" operator="greaterThan">
      <formula>0</formula>
    </cfRule>
  </conditionalFormatting>
  <conditionalFormatting sqref="B26:B58">
    <cfRule type="cellIs" dxfId="13" priority="2" operator="greaterThan">
      <formula>0</formula>
    </cfRule>
  </conditionalFormatting>
  <conditionalFormatting sqref="G20:G21">
    <cfRule type="cellIs" dxfId="12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'Ingreso Datos'!$M$18:$M$24</xm:f>
          </x14:formula1>
          <xm:sqref>G19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AN201"/>
  <sheetViews>
    <sheetView topLeftCell="G1" zoomScaleNormal="100" workbookViewId="0">
      <selection activeCell="L14" sqref="L14:R14"/>
    </sheetView>
  </sheetViews>
  <sheetFormatPr baseColWidth="10" defaultColWidth="9.625" defaultRowHeight="12" x14ac:dyDescent="0.2"/>
  <cols>
    <col min="1" max="1" width="15.625" style="2" customWidth="1"/>
    <col min="2" max="2" width="14.5" style="2" customWidth="1"/>
    <col min="3" max="3" width="9.625" style="2" customWidth="1"/>
    <col min="4" max="5" width="10.5" style="2" customWidth="1"/>
    <col min="6" max="6" width="24.375" style="2" customWidth="1"/>
    <col min="7" max="7" width="11.625" style="2" customWidth="1"/>
    <col min="8" max="8" width="6.25" style="2" customWidth="1"/>
    <col min="9" max="9" width="9.625" style="2"/>
    <col min="10" max="10" width="17.125" style="2" customWidth="1"/>
    <col min="11" max="12" width="12.375" style="2" customWidth="1"/>
    <col min="13" max="13" width="12.125" style="17" customWidth="1"/>
    <col min="14" max="14" width="7.125" style="17" customWidth="1"/>
    <col min="15" max="15" width="5.625" style="2" customWidth="1"/>
    <col min="16" max="16" width="14.625" style="2" customWidth="1"/>
    <col min="17" max="17" width="4.125" style="2" customWidth="1"/>
    <col min="18" max="18" width="8.875" style="2" customWidth="1"/>
    <col min="19" max="23" width="9.625" style="2"/>
    <col min="24" max="24" width="9.625" style="2" customWidth="1"/>
    <col min="25" max="25" width="4.75" style="2" customWidth="1"/>
    <col min="26" max="27" width="9.625" style="2"/>
    <col min="28" max="29" width="9.625" style="2" customWidth="1"/>
    <col min="30" max="30" width="9.125" style="21" customWidth="1"/>
    <col min="31" max="31" width="43.625" style="21" hidden="1" customWidth="1"/>
    <col min="32" max="32" width="0" style="21" hidden="1" customWidth="1"/>
    <col min="33" max="33" width="9.625" style="21"/>
    <col min="34" max="38" width="0" style="21" hidden="1" customWidth="1"/>
    <col min="39" max="40" width="9.625" style="21"/>
    <col min="41" max="16384" width="9.625" style="2"/>
  </cols>
  <sheetData>
    <row r="1" spans="1:39" ht="15" customHeight="1" x14ac:dyDescent="0.2">
      <c r="A1" s="1" t="s">
        <v>69</v>
      </c>
      <c r="B1" s="103" t="str">
        <f>+'Ingreso Datos'!C2</f>
        <v>C1BH-L12-L10-3+830-C</v>
      </c>
      <c r="D1" s="105" t="s">
        <v>75</v>
      </c>
      <c r="E1" s="106"/>
      <c r="F1" s="106"/>
      <c r="G1" s="107"/>
      <c r="J1" s="162" t="s">
        <v>31</v>
      </c>
      <c r="K1" s="162"/>
      <c r="L1" s="162"/>
      <c r="M1" s="162"/>
      <c r="N1" s="162"/>
      <c r="O1" s="162"/>
      <c r="P1" s="162"/>
      <c r="Q1" s="162"/>
      <c r="R1" s="162"/>
      <c r="S1" s="162"/>
      <c r="T1" s="163" t="str">
        <f>J1</f>
        <v>INFORME ENSAYO COMPRESIÓN UNIAXIAL SIMPLE EN MUESTRAS DE ROCA</v>
      </c>
      <c r="U1" s="163"/>
      <c r="V1" s="163"/>
      <c r="W1" s="163"/>
      <c r="X1" s="163"/>
      <c r="Y1" s="163"/>
      <c r="Z1" s="163"/>
      <c r="AA1" s="163"/>
      <c r="AB1" s="163"/>
      <c r="AC1" s="163"/>
      <c r="AD1" s="163"/>
    </row>
    <row r="2" spans="1:39" ht="15" customHeight="1" x14ac:dyDescent="0.2">
      <c r="A2" s="1" t="s">
        <v>68</v>
      </c>
      <c r="B2" s="104" t="s">
        <v>104</v>
      </c>
      <c r="D2" s="108" t="s">
        <v>76</v>
      </c>
      <c r="E2" s="109"/>
      <c r="F2" s="109"/>
      <c r="G2" s="110"/>
      <c r="M2" s="2"/>
      <c r="N2" s="2"/>
      <c r="AE2" s="95" t="str">
        <f>+CONCATENATE(A1,"  ",":","  ",B1)</f>
        <v>PROYECTO  :  C1BH-L12-L10-3+830-C</v>
      </c>
      <c r="AF2" s="94"/>
      <c r="AG2" s="94"/>
      <c r="AH2" s="94"/>
      <c r="AI2" s="94"/>
      <c r="AJ2" s="94"/>
      <c r="AK2" s="94"/>
      <c r="AL2" s="94"/>
      <c r="AM2" s="94"/>
    </row>
    <row r="3" spans="1:39" ht="15" customHeight="1" x14ac:dyDescent="0.2">
      <c r="A3" s="4" t="s">
        <v>23</v>
      </c>
      <c r="B3" s="143">
        <v>45426</v>
      </c>
      <c r="C3" s="5"/>
      <c r="D3" s="111" t="s">
        <v>58</v>
      </c>
      <c r="E3" s="112"/>
      <c r="F3" s="112"/>
      <c r="G3" s="113"/>
      <c r="J3" s="6" t="s">
        <v>1</v>
      </c>
      <c r="K3" s="7"/>
      <c r="L3" s="142" t="str">
        <f>B1</f>
        <v>C1BH-L12-L10-3+830-C</v>
      </c>
      <c r="M3" s="9"/>
      <c r="N3" s="10"/>
      <c r="O3" s="10"/>
      <c r="P3" s="10"/>
      <c r="Q3" s="10"/>
      <c r="R3" s="11"/>
      <c r="T3" s="164" t="s">
        <v>43</v>
      </c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95" t="str">
        <f>+CONCATENATE(A2,"  ",":","  ",B2)</f>
        <v>MUESTRA  :  C1BH-L12-L10-3+830-C (04,80-05,35)</v>
      </c>
      <c r="AF3" s="94"/>
      <c r="AG3" s="94"/>
      <c r="AH3" s="94"/>
      <c r="AI3" s="94"/>
      <c r="AJ3" s="94"/>
      <c r="AK3" s="94"/>
      <c r="AL3" s="94"/>
      <c r="AM3" s="94"/>
    </row>
    <row r="4" spans="1:39" ht="15" customHeight="1" x14ac:dyDescent="0.2">
      <c r="A4" s="12" t="s">
        <v>26</v>
      </c>
      <c r="B4" s="104" t="s">
        <v>100</v>
      </c>
      <c r="J4" s="13" t="s">
        <v>93</v>
      </c>
      <c r="K4" s="9"/>
      <c r="L4" s="14" t="str">
        <f>+'Ingreso Datos'!C3</f>
        <v>1.965.912-A</v>
      </c>
      <c r="M4" s="9"/>
      <c r="N4" s="10"/>
      <c r="O4" s="10"/>
      <c r="P4" s="10"/>
      <c r="Q4" s="10"/>
      <c r="R4" s="11"/>
      <c r="U4" s="134"/>
      <c r="V4" s="16"/>
      <c r="W4" s="17"/>
      <c r="X4" s="17"/>
      <c r="AE4" s="2" t="s">
        <v>70</v>
      </c>
    </row>
    <row r="5" spans="1:39" ht="15" customHeight="1" x14ac:dyDescent="0.2">
      <c r="A5" s="12" t="s">
        <v>27</v>
      </c>
      <c r="B5" s="104" t="s">
        <v>101</v>
      </c>
      <c r="J5" s="6" t="s">
        <v>13</v>
      </c>
      <c r="K5" s="7"/>
      <c r="L5" s="14" t="str">
        <f>+'Ingreso Datos'!C4</f>
        <v>-</v>
      </c>
      <c r="M5" s="9"/>
      <c r="N5" s="10"/>
      <c r="O5" s="10"/>
      <c r="P5" s="10"/>
      <c r="Q5" s="10"/>
      <c r="R5" s="11"/>
      <c r="U5" s="130"/>
      <c r="V5" s="131"/>
      <c r="W5" s="131"/>
      <c r="X5" s="132"/>
      <c r="Z5" s="130"/>
      <c r="AA5" s="131"/>
      <c r="AB5" s="131"/>
      <c r="AC5" s="132"/>
    </row>
    <row r="6" spans="1:39" ht="15" customHeight="1" x14ac:dyDescent="0.2">
      <c r="A6" s="12" t="s">
        <v>28</v>
      </c>
      <c r="B6" s="104" t="s">
        <v>102</v>
      </c>
      <c r="E6" s="18" t="s">
        <v>66</v>
      </c>
      <c r="F6" s="11">
        <f>+ROUND(AVERAGE(C8:C16),1)*10</f>
        <v>61</v>
      </c>
      <c r="G6" s="19" t="str">
        <f>+CONCATENATE("D",F6)</f>
        <v>D61</v>
      </c>
      <c r="J6" s="20" t="s">
        <v>14</v>
      </c>
      <c r="K6" s="9"/>
      <c r="L6" s="168">
        <f>B3</f>
        <v>45426</v>
      </c>
      <c r="M6" s="9"/>
      <c r="N6" s="10"/>
      <c r="O6" s="10"/>
      <c r="P6" s="10"/>
      <c r="Q6" s="10"/>
      <c r="R6" s="11"/>
      <c r="U6" s="133"/>
      <c r="V6" s="134"/>
      <c r="W6" s="134"/>
      <c r="X6" s="135"/>
      <c r="Z6" s="133"/>
      <c r="AA6" s="134"/>
      <c r="AB6" s="134"/>
      <c r="AC6" s="135"/>
    </row>
    <row r="7" spans="1:39" ht="15" customHeight="1" x14ac:dyDescent="0.2">
      <c r="A7" s="2" t="s">
        <v>67</v>
      </c>
      <c r="B7" s="104">
        <v>0.5</v>
      </c>
      <c r="C7" s="2" t="s">
        <v>80</v>
      </c>
      <c r="E7" s="22" t="s">
        <v>61</v>
      </c>
      <c r="F7" s="23"/>
      <c r="G7" s="24">
        <f>+AVERAGE(C8:C16)</f>
        <v>6.1211111111111123</v>
      </c>
      <c r="H7" s="2" t="s">
        <v>45</v>
      </c>
      <c r="J7" s="25" t="s">
        <v>15</v>
      </c>
      <c r="K7" s="26"/>
      <c r="L7" s="168">
        <f>B3</f>
        <v>45426</v>
      </c>
      <c r="M7" s="9"/>
      <c r="N7" s="10"/>
      <c r="O7" s="10"/>
      <c r="P7" s="10"/>
      <c r="Q7" s="10"/>
      <c r="R7" s="11"/>
      <c r="U7" s="133"/>
      <c r="V7" s="134"/>
      <c r="W7" s="134"/>
      <c r="X7" s="135"/>
      <c r="Z7" s="133"/>
      <c r="AA7" s="134"/>
      <c r="AB7" s="134"/>
      <c r="AC7" s="135"/>
    </row>
    <row r="8" spans="1:39" ht="15" customHeight="1" x14ac:dyDescent="0.2">
      <c r="A8" s="27" t="s">
        <v>32</v>
      </c>
      <c r="B8" s="11"/>
      <c r="C8" s="104">
        <v>6.11</v>
      </c>
      <c r="D8" s="2" t="s">
        <v>45</v>
      </c>
      <c r="E8" s="2" t="s">
        <v>65</v>
      </c>
      <c r="G8" s="2">
        <f>+G7*10</f>
        <v>61.211111111111123</v>
      </c>
      <c r="H8" s="2" t="s">
        <v>48</v>
      </c>
      <c r="J8" s="28"/>
      <c r="K8" s="28"/>
      <c r="L8" s="29"/>
      <c r="M8" s="30"/>
      <c r="U8" s="133"/>
      <c r="V8" s="134"/>
      <c r="W8" s="134"/>
      <c r="X8" s="135"/>
      <c r="Z8" s="133"/>
      <c r="AA8" s="134"/>
      <c r="AB8" s="134"/>
      <c r="AC8" s="135"/>
    </row>
    <row r="9" spans="1:39" ht="15" customHeight="1" x14ac:dyDescent="0.2">
      <c r="A9" s="27" t="s">
        <v>33</v>
      </c>
      <c r="B9" s="10"/>
      <c r="C9" s="104">
        <v>6.12</v>
      </c>
      <c r="D9" s="2" t="s">
        <v>45</v>
      </c>
      <c r="E9" s="22" t="s">
        <v>35</v>
      </c>
      <c r="F9" s="23"/>
      <c r="G9" s="31">
        <f>((G7/2)^2)*PI()</f>
        <v>29.427299355802965</v>
      </c>
      <c r="H9" s="32" t="s">
        <v>52</v>
      </c>
      <c r="J9" s="33" t="s">
        <v>55</v>
      </c>
      <c r="K9" s="28"/>
      <c r="L9" s="29"/>
      <c r="M9" s="30"/>
      <c r="U9" s="133"/>
      <c r="V9" s="134"/>
      <c r="W9" s="134"/>
      <c r="X9" s="135"/>
      <c r="Z9" s="133"/>
      <c r="AA9" s="134"/>
      <c r="AB9" s="134"/>
      <c r="AC9" s="135"/>
    </row>
    <row r="10" spans="1:39" ht="15" customHeight="1" x14ac:dyDescent="0.2">
      <c r="A10" s="27" t="s">
        <v>34</v>
      </c>
      <c r="B10" s="10"/>
      <c r="C10" s="104">
        <v>6.12</v>
      </c>
      <c r="D10" s="2" t="s">
        <v>45</v>
      </c>
      <c r="E10" s="34"/>
      <c r="F10" s="35"/>
      <c r="G10" s="36">
        <f>+G9*100</f>
        <v>2942.7299355802966</v>
      </c>
      <c r="H10" s="32" t="s">
        <v>62</v>
      </c>
      <c r="J10" s="13" t="s">
        <v>2</v>
      </c>
      <c r="K10" s="37"/>
      <c r="L10" s="38" t="str">
        <f>B2</f>
        <v>C1BH-L12-L10-3+830-C (04,80-05,35)</v>
      </c>
      <c r="M10" s="9"/>
      <c r="N10" s="10"/>
      <c r="O10" s="10"/>
      <c r="P10" s="10"/>
      <c r="Q10" s="10"/>
      <c r="R10" s="11"/>
      <c r="T10" s="134"/>
      <c r="U10" s="133"/>
      <c r="V10" s="134"/>
      <c r="W10" s="134"/>
      <c r="X10" s="135"/>
      <c r="Z10" s="133"/>
      <c r="AA10" s="134"/>
      <c r="AB10" s="134"/>
      <c r="AC10" s="135"/>
    </row>
    <row r="11" spans="1:39" ht="15" customHeight="1" x14ac:dyDescent="0.2">
      <c r="A11" s="27" t="s">
        <v>36</v>
      </c>
      <c r="B11" s="10"/>
      <c r="C11" s="104">
        <v>6.12</v>
      </c>
      <c r="D11" s="2" t="s">
        <v>45</v>
      </c>
      <c r="E11" s="39" t="s">
        <v>4</v>
      </c>
      <c r="F11" s="23"/>
      <c r="G11" s="40">
        <f>AVERAGE(C17:C19)</f>
        <v>13.206666666666669</v>
      </c>
      <c r="H11" s="41" t="s">
        <v>45</v>
      </c>
      <c r="J11" s="20" t="s">
        <v>26</v>
      </c>
      <c r="K11" s="42"/>
      <c r="L11" s="43" t="str">
        <f>B4</f>
        <v>Toba de lapilli lítica</v>
      </c>
      <c r="M11" s="44"/>
      <c r="N11" s="45"/>
      <c r="O11" s="10"/>
      <c r="P11" s="10"/>
      <c r="Q11" s="10"/>
      <c r="R11" s="11"/>
      <c r="T11" s="134"/>
      <c r="U11" s="133"/>
      <c r="V11" s="134"/>
      <c r="W11" s="134"/>
      <c r="X11" s="135"/>
      <c r="Z11" s="133"/>
      <c r="AA11" s="134"/>
      <c r="AB11" s="134"/>
      <c r="AC11" s="135"/>
    </row>
    <row r="12" spans="1:39" ht="15" customHeight="1" x14ac:dyDescent="0.2">
      <c r="A12" s="27" t="s">
        <v>37</v>
      </c>
      <c r="B12" s="10"/>
      <c r="C12" s="104">
        <v>6.11</v>
      </c>
      <c r="D12" s="2" t="s">
        <v>45</v>
      </c>
      <c r="E12" s="46"/>
      <c r="F12" s="47"/>
      <c r="G12" s="48">
        <f>+G11*10</f>
        <v>132.06666666666669</v>
      </c>
      <c r="H12" s="16" t="s">
        <v>48</v>
      </c>
      <c r="J12" s="20" t="s">
        <v>27</v>
      </c>
      <c r="K12" s="42"/>
      <c r="L12" s="142" t="str">
        <f>B5</f>
        <v>No presenta</v>
      </c>
      <c r="M12" s="44"/>
      <c r="N12" s="45"/>
      <c r="O12" s="10"/>
      <c r="P12" s="10"/>
      <c r="Q12" s="10"/>
      <c r="R12" s="11"/>
      <c r="T12" s="134"/>
      <c r="U12" s="133"/>
      <c r="V12" s="134"/>
      <c r="W12" s="134"/>
      <c r="X12" s="135"/>
      <c r="Z12" s="133"/>
      <c r="AA12" s="134"/>
      <c r="AB12" s="134"/>
      <c r="AC12" s="135"/>
    </row>
    <row r="13" spans="1:39" ht="15" customHeight="1" x14ac:dyDescent="0.2">
      <c r="A13" s="27" t="s">
        <v>38</v>
      </c>
      <c r="B13" s="10"/>
      <c r="C13" s="104">
        <v>6.12</v>
      </c>
      <c r="D13" s="2" t="s">
        <v>45</v>
      </c>
      <c r="E13" s="49" t="s">
        <v>6</v>
      </c>
      <c r="F13" s="47"/>
      <c r="G13" s="50">
        <f>(((G7)/2)^2)*PI()*G11</f>
        <v>388.63653349230458</v>
      </c>
      <c r="H13" s="32" t="s">
        <v>53</v>
      </c>
      <c r="J13" s="20" t="s">
        <v>28</v>
      </c>
      <c r="K13" s="42"/>
      <c r="L13" s="142" t="str">
        <f>B6</f>
        <v>Oxidación y zeolitización</v>
      </c>
      <c r="M13" s="44"/>
      <c r="N13" s="45"/>
      <c r="O13" s="10"/>
      <c r="P13" s="10"/>
      <c r="Q13" s="10"/>
      <c r="R13" s="11"/>
      <c r="T13" s="134"/>
      <c r="U13" s="133"/>
      <c r="V13" s="134"/>
      <c r="W13" s="134"/>
      <c r="X13" s="135"/>
      <c r="Z13" s="133"/>
      <c r="AA13" s="134"/>
      <c r="AB13" s="134"/>
      <c r="AC13" s="135"/>
    </row>
    <row r="14" spans="1:39" ht="30" customHeight="1" x14ac:dyDescent="0.2">
      <c r="A14" s="27" t="s">
        <v>39</v>
      </c>
      <c r="B14" s="10"/>
      <c r="C14" s="104">
        <v>6.13</v>
      </c>
      <c r="D14" s="2" t="s">
        <v>45</v>
      </c>
      <c r="E14" s="27" t="s">
        <v>10</v>
      </c>
      <c r="F14" s="11"/>
      <c r="G14" s="51">
        <f>(C20/G13)</f>
        <v>2.4617860585640092</v>
      </c>
      <c r="H14" s="32" t="s">
        <v>54</v>
      </c>
      <c r="J14" s="20" t="s">
        <v>18</v>
      </c>
      <c r="K14" s="42"/>
      <c r="L14" s="165" t="s">
        <v>108</v>
      </c>
      <c r="M14" s="166"/>
      <c r="N14" s="166"/>
      <c r="O14" s="166"/>
      <c r="P14" s="166"/>
      <c r="Q14" s="166"/>
      <c r="R14" s="167"/>
      <c r="T14" s="134"/>
      <c r="U14" s="133"/>
      <c r="V14" s="134"/>
      <c r="W14" s="134"/>
      <c r="X14" s="135"/>
      <c r="Z14" s="133"/>
      <c r="AA14" s="134"/>
      <c r="AB14" s="134"/>
      <c r="AC14" s="135"/>
    </row>
    <row r="15" spans="1:39" ht="15" customHeight="1" x14ac:dyDescent="0.2">
      <c r="A15" s="27" t="s">
        <v>40</v>
      </c>
      <c r="B15" s="10"/>
      <c r="C15" s="104">
        <v>6.13</v>
      </c>
      <c r="D15" s="2" t="s">
        <v>45</v>
      </c>
      <c r="E15" s="52" t="s">
        <v>7</v>
      </c>
      <c r="F15" s="11"/>
      <c r="G15" s="51">
        <f>(G14/(C21+100))*100</f>
        <v>2.4050274116490908</v>
      </c>
      <c r="H15" s="32" t="s">
        <v>54</v>
      </c>
      <c r="J15" s="28"/>
      <c r="K15" s="28"/>
      <c r="L15" s="28"/>
      <c r="M15" s="30"/>
      <c r="T15" s="134"/>
      <c r="U15" s="133"/>
      <c r="V15" s="134"/>
      <c r="W15" s="134"/>
      <c r="X15" s="135"/>
      <c r="Z15" s="133"/>
      <c r="AA15" s="134"/>
      <c r="AB15" s="134"/>
      <c r="AC15" s="135"/>
    </row>
    <row r="16" spans="1:39" ht="15" customHeight="1" x14ac:dyDescent="0.2">
      <c r="A16" s="27" t="s">
        <v>41</v>
      </c>
      <c r="B16" s="10"/>
      <c r="C16" s="104">
        <v>6.13</v>
      </c>
      <c r="D16" s="2" t="s">
        <v>45</v>
      </c>
      <c r="E16" s="18" t="s">
        <v>60</v>
      </c>
      <c r="F16" s="11"/>
      <c r="G16" s="56">
        <f>G11/G7</f>
        <v>2.1575603557814484</v>
      </c>
      <c r="H16" s="57"/>
      <c r="J16" s="53" t="s">
        <v>24</v>
      </c>
      <c r="K16" s="54"/>
      <c r="L16" s="55"/>
      <c r="M16" s="16"/>
      <c r="N16" s="118" t="s">
        <v>83</v>
      </c>
      <c r="O16" s="119"/>
      <c r="T16" s="134"/>
      <c r="U16" s="133"/>
      <c r="V16" s="134"/>
      <c r="W16" s="134"/>
      <c r="X16" s="135"/>
      <c r="Z16" s="133"/>
      <c r="AA16" s="134"/>
      <c r="AB16" s="134"/>
      <c r="AC16" s="135"/>
    </row>
    <row r="17" spans="1:29" ht="15" customHeight="1" x14ac:dyDescent="0.2">
      <c r="A17" s="27" t="s">
        <v>20</v>
      </c>
      <c r="B17" s="10"/>
      <c r="C17" s="104">
        <v>13.2</v>
      </c>
      <c r="D17" s="2" t="s">
        <v>45</v>
      </c>
      <c r="H17" s="57"/>
      <c r="I17" s="32"/>
      <c r="J17" s="58" t="s">
        <v>61</v>
      </c>
      <c r="K17" s="59" t="s">
        <v>12</v>
      </c>
      <c r="L17" s="60">
        <f>+G7</f>
        <v>6.1211111111111123</v>
      </c>
      <c r="M17" s="139"/>
      <c r="N17" s="159" t="s">
        <v>82</v>
      </c>
      <c r="O17" s="160"/>
      <c r="P17" s="160"/>
      <c r="Q17" s="161"/>
      <c r="R17" s="140">
        <f>MAX(L27:L501)</f>
        <v>80.020054028286182</v>
      </c>
      <c r="T17" s="134"/>
      <c r="U17" s="133"/>
      <c r="V17" s="134"/>
      <c r="W17" s="134"/>
      <c r="X17" s="135"/>
      <c r="Z17" s="133"/>
      <c r="AA17" s="134"/>
      <c r="AB17" s="134"/>
      <c r="AC17" s="135"/>
    </row>
    <row r="18" spans="1:29" ht="15" customHeight="1" x14ac:dyDescent="0.2">
      <c r="A18" s="27" t="s">
        <v>21</v>
      </c>
      <c r="B18" s="10"/>
      <c r="C18" s="104">
        <v>13.21</v>
      </c>
      <c r="D18" s="2" t="s">
        <v>45</v>
      </c>
      <c r="I18" s="32"/>
      <c r="J18" s="62" t="s">
        <v>4</v>
      </c>
      <c r="K18" s="63" t="s">
        <v>12</v>
      </c>
      <c r="L18" s="60">
        <f>G11</f>
        <v>13.206666666666669</v>
      </c>
      <c r="M18" s="64"/>
      <c r="N18" s="159" t="str">
        <f>+CONCATENATE("Resistencia Máx. ",K25," [MPa]")</f>
        <v>Resistencia Máx. D61 [MPa]</v>
      </c>
      <c r="O18" s="160"/>
      <c r="P18" s="160"/>
      <c r="Q18" s="161"/>
      <c r="R18" s="140">
        <f>MAX(K27:K501)</f>
        <v>76.846977109846804</v>
      </c>
      <c r="T18" s="16"/>
      <c r="U18" s="133"/>
      <c r="V18" s="134"/>
      <c r="W18" s="134"/>
      <c r="X18" s="135"/>
      <c r="Z18" s="133"/>
      <c r="AA18" s="134"/>
      <c r="AB18" s="134"/>
      <c r="AC18" s="135"/>
    </row>
    <row r="19" spans="1:29" ht="15" customHeight="1" x14ac:dyDescent="0.2">
      <c r="A19" s="27" t="s">
        <v>22</v>
      </c>
      <c r="B19" s="10"/>
      <c r="C19" s="104">
        <v>13.21</v>
      </c>
      <c r="D19" s="2" t="s">
        <v>45</v>
      </c>
      <c r="E19" s="18" t="s">
        <v>30</v>
      </c>
      <c r="F19" s="11"/>
      <c r="G19" s="104" t="s">
        <v>85</v>
      </c>
      <c r="I19" s="32"/>
      <c r="J19" s="65" t="s">
        <v>10</v>
      </c>
      <c r="K19" s="66" t="s">
        <v>16</v>
      </c>
      <c r="L19" s="60">
        <f>G14</f>
        <v>2.4617860585640092</v>
      </c>
      <c r="M19" s="64"/>
      <c r="N19" s="2"/>
      <c r="T19" s="16"/>
      <c r="U19" s="133"/>
      <c r="V19" s="134"/>
      <c r="W19" s="134"/>
      <c r="X19" s="135"/>
      <c r="Z19" s="133"/>
      <c r="AA19" s="134"/>
      <c r="AB19" s="134"/>
      <c r="AC19" s="135"/>
    </row>
    <row r="20" spans="1:29" ht="15" customHeight="1" x14ac:dyDescent="0.2">
      <c r="A20" s="52" t="s">
        <v>5</v>
      </c>
      <c r="B20" s="10"/>
      <c r="C20" s="104">
        <v>956.74</v>
      </c>
      <c r="D20" s="16" t="s">
        <v>46</v>
      </c>
      <c r="E20" s="114" t="s">
        <v>78</v>
      </c>
      <c r="F20" s="115"/>
      <c r="G20" s="116"/>
      <c r="I20" s="57"/>
      <c r="J20" s="62" t="s">
        <v>7</v>
      </c>
      <c r="K20" s="66" t="s">
        <v>16</v>
      </c>
      <c r="L20" s="60">
        <f>G15</f>
        <v>2.4050274116490908</v>
      </c>
      <c r="M20" s="64"/>
      <c r="N20" s="2"/>
      <c r="T20" s="16"/>
      <c r="U20" s="133"/>
      <c r="V20" s="134"/>
      <c r="W20" s="134"/>
      <c r="X20" s="135"/>
      <c r="Z20" s="133"/>
      <c r="AA20" s="134"/>
      <c r="AB20" s="134"/>
      <c r="AC20" s="135"/>
    </row>
    <row r="21" spans="1:29" ht="15" customHeight="1" x14ac:dyDescent="0.2">
      <c r="A21" s="18" t="s">
        <v>25</v>
      </c>
      <c r="B21" s="11"/>
      <c r="C21" s="104">
        <v>2.36</v>
      </c>
      <c r="D21" s="2" t="s">
        <v>47</v>
      </c>
      <c r="E21" s="117" t="s">
        <v>79</v>
      </c>
      <c r="F21" s="115"/>
      <c r="G21" s="116"/>
      <c r="I21" s="57"/>
      <c r="J21" s="65" t="s">
        <v>3</v>
      </c>
      <c r="K21" s="66" t="s">
        <v>0</v>
      </c>
      <c r="L21" s="60">
        <f>C21</f>
        <v>2.36</v>
      </c>
      <c r="M21" s="64"/>
      <c r="N21" s="2"/>
      <c r="T21" s="16"/>
      <c r="U21" s="133"/>
      <c r="V21" s="134"/>
      <c r="W21" s="134"/>
      <c r="X21" s="135"/>
      <c r="Z21" s="133"/>
      <c r="AA21" s="134"/>
      <c r="AB21" s="134"/>
      <c r="AC21" s="135"/>
    </row>
    <row r="22" spans="1:29" ht="15" customHeight="1" x14ac:dyDescent="0.2">
      <c r="H22" s="57"/>
      <c r="I22" s="57"/>
      <c r="N22" s="67"/>
      <c r="U22" s="133"/>
      <c r="V22" s="134"/>
      <c r="W22" s="134"/>
      <c r="X22" s="135"/>
      <c r="Z22" s="133"/>
      <c r="AA22" s="134"/>
      <c r="AB22" s="134"/>
      <c r="AC22" s="135"/>
    </row>
    <row r="23" spans="1:29" ht="15" customHeight="1" x14ac:dyDescent="0.2">
      <c r="A23" s="69" t="s">
        <v>59</v>
      </c>
      <c r="B23" s="69" t="s">
        <v>9</v>
      </c>
      <c r="C23" s="70" t="s">
        <v>8</v>
      </c>
      <c r="D23" s="69" t="s">
        <v>9</v>
      </c>
      <c r="E23" s="69" t="s">
        <v>42</v>
      </c>
      <c r="F23" s="69" t="s">
        <v>42</v>
      </c>
      <c r="G23" s="69" t="s">
        <v>42</v>
      </c>
      <c r="H23" s="57"/>
      <c r="I23" s="57"/>
      <c r="J23" s="3" t="s">
        <v>56</v>
      </c>
      <c r="M23" s="134"/>
      <c r="N23" s="134"/>
      <c r="O23" s="68"/>
      <c r="U23" s="133"/>
      <c r="V23" s="134"/>
      <c r="W23" s="134"/>
      <c r="X23" s="135"/>
      <c r="Z23" s="133"/>
      <c r="AA23" s="134"/>
      <c r="AB23" s="134"/>
      <c r="AC23" s="135"/>
    </row>
    <row r="24" spans="1:29" ht="15" customHeight="1" x14ac:dyDescent="0.2">
      <c r="E24" s="71" t="str">
        <f>G6</f>
        <v>D61</v>
      </c>
      <c r="F24" s="71" t="str">
        <f>G6</f>
        <v>D61</v>
      </c>
      <c r="G24" s="17" t="s">
        <v>64</v>
      </c>
      <c r="H24" s="57"/>
      <c r="I24" s="57"/>
      <c r="J24" s="70" t="s">
        <v>11</v>
      </c>
      <c r="K24" s="69" t="s">
        <v>44</v>
      </c>
      <c r="L24" s="69" t="s">
        <v>44</v>
      </c>
      <c r="M24" s="134"/>
      <c r="N24" s="134"/>
      <c r="O24" s="68"/>
      <c r="U24" s="136"/>
      <c r="V24" s="137"/>
      <c r="W24" s="137"/>
      <c r="X24" s="138"/>
      <c r="Z24" s="136"/>
      <c r="AA24" s="137"/>
      <c r="AB24" s="137"/>
      <c r="AC24" s="138"/>
    </row>
    <row r="25" spans="1:29" ht="15" customHeight="1" x14ac:dyDescent="0.2">
      <c r="A25" s="75" t="s">
        <v>50</v>
      </c>
      <c r="B25" s="75" t="s">
        <v>57</v>
      </c>
      <c r="C25" s="75" t="s">
        <v>0</v>
      </c>
      <c r="D25" s="75" t="s">
        <v>49</v>
      </c>
      <c r="E25" s="76" t="s">
        <v>19</v>
      </c>
      <c r="F25" s="75" t="s">
        <v>19</v>
      </c>
      <c r="G25" s="75" t="s">
        <v>19</v>
      </c>
      <c r="H25" s="57"/>
      <c r="I25" s="57"/>
      <c r="J25" s="72"/>
      <c r="K25" s="73" t="str">
        <f>+G6</f>
        <v>D61</v>
      </c>
      <c r="L25" s="74" t="s">
        <v>63</v>
      </c>
      <c r="M25" s="134"/>
      <c r="N25" s="134"/>
      <c r="O25" s="68"/>
      <c r="U25" s="158"/>
      <c r="V25" s="158"/>
      <c r="W25" s="158"/>
      <c r="X25" s="158"/>
      <c r="Z25" s="134"/>
      <c r="AA25" s="134"/>
      <c r="AB25" s="134"/>
      <c r="AC25" s="134"/>
    </row>
    <row r="26" spans="1:29" ht="15" customHeight="1" x14ac:dyDescent="0.2">
      <c r="A26" s="78">
        <v>0</v>
      </c>
      <c r="B26" s="104">
        <v>0</v>
      </c>
      <c r="C26" s="79">
        <v>0</v>
      </c>
      <c r="D26" s="79">
        <f>+IF(AND(B26&gt;0,B26&lt;=300),1.0191*B26-0.1003,IF(AND(B26=0),0,IF(AND(B26&gt;300,B26&lt;=3000),1.0117*B26-0.7581,"Error")))*1000</f>
        <v>0</v>
      </c>
      <c r="E26" s="79">
        <f t="shared" ref="E26:E58" si="0">D26/G$10</f>
        <v>0</v>
      </c>
      <c r="F26" s="80">
        <f>IF((G$11/G$7)&gt;2.5,(E26/(0.88+(0.222*(G$11/G$7)))),E26*1)</f>
        <v>0</v>
      </c>
      <c r="G26" s="81">
        <f>F26*((AVERAGE(G$8)/50)^0.2)</f>
        <v>0</v>
      </c>
      <c r="H26" s="16"/>
      <c r="J26" s="77" t="s">
        <v>0</v>
      </c>
      <c r="K26" s="77" t="s">
        <v>81</v>
      </c>
      <c r="L26" s="77" t="s">
        <v>81</v>
      </c>
      <c r="M26" s="134"/>
      <c r="N26" s="134"/>
      <c r="O26" s="5"/>
      <c r="U26" s="134"/>
      <c r="V26" s="134"/>
      <c r="W26" s="134"/>
      <c r="X26" s="134"/>
      <c r="Z26" s="134"/>
      <c r="AA26" s="134"/>
      <c r="AB26" s="134"/>
      <c r="AC26" s="134"/>
    </row>
    <row r="27" spans="1:29" ht="15" customHeight="1" x14ac:dyDescent="0.2">
      <c r="A27" s="78">
        <v>1.6</v>
      </c>
      <c r="B27" s="104">
        <v>12</v>
      </c>
      <c r="C27" s="79">
        <f>((A27*0.0045+0.0063)/$G$12)*100</f>
        <v>1.0222110045431597E-2</v>
      </c>
      <c r="D27" s="79">
        <f t="shared" ref="D27:D58" si="1">+IF(AND(B27&gt;0,B27&lt;=300),1.0191*B27-0.1003,IF(AND(B27=0),0,IF(AND(B27&gt;300,B27&lt;=3000),1.0117*B27-0.7581,"Error")))*1000</f>
        <v>12128.899999999998</v>
      </c>
      <c r="E27" s="79">
        <f t="shared" si="0"/>
        <v>4.1216490352548165</v>
      </c>
      <c r="F27" s="80">
        <f t="shared" ref="F27:F58" si="2">IF((G$11/G$7)&gt;2.5,(E27/(0.88+(0.222*(G$11/G$7)))),E27*1)</f>
        <v>4.1216490352548165</v>
      </c>
      <c r="G27" s="81">
        <f t="shared" ref="G27:G58" si="3">F27*((AVERAGE(G$8)/50)^0.2)</f>
        <v>4.2918354226904674</v>
      </c>
      <c r="H27" s="16"/>
      <c r="J27" s="60">
        <f t="shared" ref="J27:J59" si="4">C26</f>
        <v>0</v>
      </c>
      <c r="K27" s="141">
        <f t="shared" ref="K27:K59" si="5">F26</f>
        <v>0</v>
      </c>
      <c r="L27" s="141">
        <f>+G26</f>
        <v>0</v>
      </c>
      <c r="M27" s="82"/>
      <c r="N27" s="82"/>
      <c r="W27" s="17"/>
      <c r="X27" s="17"/>
    </row>
    <row r="28" spans="1:29" ht="15" customHeight="1" x14ac:dyDescent="0.2">
      <c r="A28" s="78">
        <v>18</v>
      </c>
      <c r="B28" s="104">
        <v>18</v>
      </c>
      <c r="C28" s="79">
        <f t="shared" ref="C28:C58" si="6">((A28*0.0045+0.0063)/$G$12)*100</f>
        <v>6.6102978293790998E-2</v>
      </c>
      <c r="D28" s="79">
        <f t="shared" si="1"/>
        <v>18243.499999999996</v>
      </c>
      <c r="E28" s="79">
        <f>D28/G$10</f>
        <v>6.1995155516717295</v>
      </c>
      <c r="F28" s="80">
        <f t="shared" si="2"/>
        <v>6.1995155516717295</v>
      </c>
      <c r="G28" s="81">
        <f>F28*((AVERAGE(G$8)/50)^0.2)</f>
        <v>6.4554988114217728</v>
      </c>
      <c r="H28" s="16"/>
      <c r="J28" s="60">
        <f t="shared" si="4"/>
        <v>1.0222110045431597E-2</v>
      </c>
      <c r="K28" s="141">
        <f t="shared" si="5"/>
        <v>4.1216490352548165</v>
      </c>
      <c r="L28" s="141">
        <f t="shared" ref="L28:L59" si="7">+G27</f>
        <v>4.2918354226904674</v>
      </c>
      <c r="M28" s="82"/>
      <c r="N28" s="82"/>
      <c r="W28" s="17"/>
      <c r="X28" s="17"/>
    </row>
    <row r="29" spans="1:29" ht="15" customHeight="1" x14ac:dyDescent="0.2">
      <c r="A29" s="78">
        <v>44.5</v>
      </c>
      <c r="B29" s="104">
        <v>24</v>
      </c>
      <c r="C29" s="79">
        <f t="shared" si="6"/>
        <v>0.15639828369510345</v>
      </c>
      <c r="D29" s="79">
        <f t="shared" si="1"/>
        <v>24358.1</v>
      </c>
      <c r="E29" s="79">
        <f t="shared" si="0"/>
        <v>8.2773820680886452</v>
      </c>
      <c r="F29" s="80">
        <f t="shared" si="2"/>
        <v>8.2773820680886452</v>
      </c>
      <c r="G29" s="81">
        <f t="shared" si="3"/>
        <v>8.619162200153081</v>
      </c>
      <c r="H29" s="16"/>
      <c r="J29" s="60">
        <f t="shared" si="4"/>
        <v>6.6102978293790998E-2</v>
      </c>
      <c r="K29" s="141">
        <f t="shared" si="5"/>
        <v>6.1995155516717295</v>
      </c>
      <c r="L29" s="141">
        <f t="shared" si="7"/>
        <v>6.4554988114217728</v>
      </c>
      <c r="M29" s="82"/>
      <c r="N29" s="82"/>
      <c r="U29" s="149"/>
      <c r="V29" s="150"/>
      <c r="W29" s="150"/>
      <c r="X29" s="151"/>
      <c r="Z29" s="149"/>
      <c r="AA29" s="150"/>
      <c r="AB29" s="150"/>
      <c r="AC29" s="151"/>
    </row>
    <row r="30" spans="1:29" ht="15" customHeight="1" x14ac:dyDescent="0.2">
      <c r="A30" s="78">
        <v>57.5</v>
      </c>
      <c r="B30" s="104">
        <v>29</v>
      </c>
      <c r="C30" s="79">
        <f t="shared" si="6"/>
        <v>0.20069409389197371</v>
      </c>
      <c r="D30" s="79">
        <f t="shared" si="1"/>
        <v>29453.599999999999</v>
      </c>
      <c r="E30" s="79">
        <f t="shared" si="0"/>
        <v>10.008937498436072</v>
      </c>
      <c r="F30" s="80">
        <f t="shared" si="2"/>
        <v>10.008937498436072</v>
      </c>
      <c r="G30" s="81">
        <f t="shared" si="3"/>
        <v>10.422215024095834</v>
      </c>
      <c r="J30" s="60">
        <f t="shared" si="4"/>
        <v>0.15639828369510345</v>
      </c>
      <c r="K30" s="141">
        <f t="shared" si="5"/>
        <v>8.2773820680886452</v>
      </c>
      <c r="L30" s="141">
        <f t="shared" si="7"/>
        <v>8.619162200153081</v>
      </c>
      <c r="M30" s="82"/>
      <c r="N30" s="82"/>
      <c r="U30" s="152"/>
      <c r="V30" s="153"/>
      <c r="W30" s="153"/>
      <c r="X30" s="154"/>
      <c r="Z30" s="152"/>
      <c r="AA30" s="153"/>
      <c r="AB30" s="153"/>
      <c r="AC30" s="154"/>
    </row>
    <row r="31" spans="1:29" ht="15" customHeight="1" x14ac:dyDescent="0.2">
      <c r="A31" s="78">
        <v>71.3</v>
      </c>
      <c r="B31" s="104">
        <v>34</v>
      </c>
      <c r="C31" s="79">
        <f t="shared" si="6"/>
        <v>0.247715800100959</v>
      </c>
      <c r="D31" s="79">
        <f t="shared" si="1"/>
        <v>34549.100000000006</v>
      </c>
      <c r="E31" s="79">
        <f t="shared" si="0"/>
        <v>11.740492928783503</v>
      </c>
      <c r="F31" s="80">
        <f t="shared" si="2"/>
        <v>11.740492928783503</v>
      </c>
      <c r="G31" s="81">
        <f t="shared" si="3"/>
        <v>12.225267848038593</v>
      </c>
      <c r="J31" s="60">
        <f t="shared" si="4"/>
        <v>0.20069409389197371</v>
      </c>
      <c r="K31" s="141">
        <f t="shared" si="5"/>
        <v>10.008937498436072</v>
      </c>
      <c r="L31" s="141">
        <f t="shared" si="7"/>
        <v>10.422215024095834</v>
      </c>
      <c r="M31" s="82"/>
      <c r="N31" s="82"/>
      <c r="U31" s="152"/>
      <c r="V31" s="153"/>
      <c r="W31" s="153"/>
      <c r="X31" s="154"/>
      <c r="Z31" s="152"/>
      <c r="AA31" s="153"/>
      <c r="AB31" s="153"/>
      <c r="AC31" s="154"/>
    </row>
    <row r="32" spans="1:29" ht="15" customHeight="1" x14ac:dyDescent="0.2">
      <c r="A32" s="78">
        <v>96.3</v>
      </c>
      <c r="B32" s="104">
        <v>44</v>
      </c>
      <c r="C32" s="79">
        <f t="shared" si="6"/>
        <v>0.33290005047955573</v>
      </c>
      <c r="D32" s="79">
        <f t="shared" si="1"/>
        <v>44740.1</v>
      </c>
      <c r="E32" s="79">
        <f t="shared" si="0"/>
        <v>15.203603789478358</v>
      </c>
      <c r="F32" s="80">
        <f t="shared" si="2"/>
        <v>15.203603789478358</v>
      </c>
      <c r="G32" s="81">
        <f t="shared" si="3"/>
        <v>15.831373495924101</v>
      </c>
      <c r="H32" s="83"/>
      <c r="I32" s="83"/>
      <c r="J32" s="60">
        <f t="shared" si="4"/>
        <v>0.247715800100959</v>
      </c>
      <c r="K32" s="141">
        <f t="shared" si="5"/>
        <v>11.740492928783503</v>
      </c>
      <c r="L32" s="141">
        <f t="shared" si="7"/>
        <v>12.225267848038593</v>
      </c>
      <c r="N32" s="82"/>
      <c r="U32" s="152"/>
      <c r="V32" s="153"/>
      <c r="W32" s="153"/>
      <c r="X32" s="154"/>
      <c r="Z32" s="152"/>
      <c r="AA32" s="153"/>
      <c r="AB32" s="153"/>
      <c r="AC32" s="154"/>
    </row>
    <row r="33" spans="1:29" ht="15" customHeight="1" x14ac:dyDescent="0.2">
      <c r="A33" s="78">
        <v>112.4</v>
      </c>
      <c r="B33" s="104">
        <v>50</v>
      </c>
      <c r="C33" s="79">
        <f t="shared" si="6"/>
        <v>0.38775870772337195</v>
      </c>
      <c r="D33" s="79">
        <f t="shared" si="1"/>
        <v>50854.700000000004</v>
      </c>
      <c r="E33" s="79">
        <f t="shared" si="0"/>
        <v>17.281470305895272</v>
      </c>
      <c r="F33" s="80">
        <f t="shared" si="2"/>
        <v>17.281470305895272</v>
      </c>
      <c r="G33" s="81">
        <f t="shared" si="3"/>
        <v>17.995036884655409</v>
      </c>
      <c r="H33" s="84"/>
      <c r="I33" s="84"/>
      <c r="J33" s="60">
        <f t="shared" si="4"/>
        <v>0.33290005047955573</v>
      </c>
      <c r="K33" s="141">
        <f t="shared" si="5"/>
        <v>15.203603789478358</v>
      </c>
      <c r="L33" s="141">
        <f t="shared" si="7"/>
        <v>15.831373495924101</v>
      </c>
      <c r="M33" s="82"/>
      <c r="N33" s="82"/>
      <c r="U33" s="152"/>
      <c r="V33" s="153"/>
      <c r="W33" s="153"/>
      <c r="X33" s="154"/>
      <c r="Z33" s="152"/>
      <c r="AA33" s="153"/>
      <c r="AB33" s="153"/>
      <c r="AC33" s="154"/>
    </row>
    <row r="34" spans="1:29" ht="15" customHeight="1" x14ac:dyDescent="0.2">
      <c r="A34" s="78">
        <v>127.4</v>
      </c>
      <c r="B34" s="104">
        <v>57</v>
      </c>
      <c r="C34" s="79">
        <f t="shared" si="6"/>
        <v>0.43886925795052995</v>
      </c>
      <c r="D34" s="79">
        <f t="shared" si="1"/>
        <v>57988.4</v>
      </c>
      <c r="E34" s="79">
        <f t="shared" si="0"/>
        <v>19.705647908381671</v>
      </c>
      <c r="F34" s="80">
        <f t="shared" si="2"/>
        <v>19.705647908381671</v>
      </c>
      <c r="G34" s="81">
        <f t="shared" si="3"/>
        <v>20.519310838175265</v>
      </c>
      <c r="H34" s="84"/>
      <c r="I34" s="84"/>
      <c r="J34" s="60">
        <f t="shared" si="4"/>
        <v>0.38775870772337195</v>
      </c>
      <c r="K34" s="141">
        <f t="shared" si="5"/>
        <v>17.281470305895272</v>
      </c>
      <c r="L34" s="141">
        <f t="shared" si="7"/>
        <v>17.995036884655409</v>
      </c>
      <c r="M34" s="82"/>
      <c r="N34" s="82"/>
      <c r="O34" s="68"/>
      <c r="U34" s="152"/>
      <c r="V34" s="153"/>
      <c r="W34" s="153"/>
      <c r="X34" s="154"/>
      <c r="Z34" s="152"/>
      <c r="AA34" s="153"/>
      <c r="AB34" s="153"/>
      <c r="AC34" s="154"/>
    </row>
    <row r="35" spans="1:29" ht="15" customHeight="1" x14ac:dyDescent="0.2">
      <c r="A35" s="78">
        <v>136.5</v>
      </c>
      <c r="B35" s="104">
        <v>63</v>
      </c>
      <c r="C35" s="79">
        <f t="shared" si="6"/>
        <v>0.4698763250883391</v>
      </c>
      <c r="D35" s="79">
        <f t="shared" si="1"/>
        <v>64102.999999999993</v>
      </c>
      <c r="E35" s="79">
        <f t="shared" si="0"/>
        <v>21.783514424798582</v>
      </c>
      <c r="F35" s="80">
        <f t="shared" si="2"/>
        <v>21.783514424798582</v>
      </c>
      <c r="G35" s="81">
        <f t="shared" si="3"/>
        <v>22.682974226906566</v>
      </c>
      <c r="H35" s="83"/>
      <c r="I35" s="83"/>
      <c r="J35" s="60">
        <f t="shared" si="4"/>
        <v>0.43886925795052995</v>
      </c>
      <c r="K35" s="141">
        <f t="shared" si="5"/>
        <v>19.705647908381671</v>
      </c>
      <c r="L35" s="141">
        <f t="shared" si="7"/>
        <v>20.519310838175265</v>
      </c>
      <c r="M35" s="82"/>
      <c r="O35" s="68"/>
      <c r="U35" s="152"/>
      <c r="V35" s="153"/>
      <c r="W35" s="153"/>
      <c r="X35" s="154"/>
      <c r="Z35" s="152"/>
      <c r="AA35" s="153"/>
      <c r="AB35" s="153"/>
      <c r="AC35" s="154"/>
    </row>
    <row r="36" spans="1:29" ht="15" customHeight="1" x14ac:dyDescent="0.2">
      <c r="A36" s="78">
        <v>150.5</v>
      </c>
      <c r="B36" s="104">
        <v>69</v>
      </c>
      <c r="C36" s="79">
        <f t="shared" si="6"/>
        <v>0.51757950530035313</v>
      </c>
      <c r="D36" s="79">
        <f t="shared" si="1"/>
        <v>70217.599999999991</v>
      </c>
      <c r="E36" s="79">
        <f t="shared" si="0"/>
        <v>23.861380941215497</v>
      </c>
      <c r="F36" s="80">
        <f t="shared" si="2"/>
        <v>23.861380941215497</v>
      </c>
      <c r="G36" s="81">
        <f t="shared" si="3"/>
        <v>24.846637615637874</v>
      </c>
      <c r="H36" s="134"/>
      <c r="I36" s="134"/>
      <c r="J36" s="60">
        <f t="shared" si="4"/>
        <v>0.4698763250883391</v>
      </c>
      <c r="K36" s="141">
        <f t="shared" si="5"/>
        <v>21.783514424798582</v>
      </c>
      <c r="L36" s="141">
        <f t="shared" si="7"/>
        <v>22.682974226906566</v>
      </c>
      <c r="O36" s="68"/>
      <c r="U36" s="152"/>
      <c r="V36" s="153"/>
      <c r="W36" s="153"/>
      <c r="X36" s="154"/>
      <c r="Z36" s="152"/>
      <c r="AA36" s="153"/>
      <c r="AB36" s="153"/>
      <c r="AC36" s="154"/>
    </row>
    <row r="37" spans="1:29" ht="15" customHeight="1" x14ac:dyDescent="0.2">
      <c r="A37" s="78">
        <v>163.9</v>
      </c>
      <c r="B37" s="104">
        <v>76</v>
      </c>
      <c r="C37" s="79">
        <f t="shared" si="6"/>
        <v>0.56323826350328099</v>
      </c>
      <c r="D37" s="79">
        <f t="shared" si="1"/>
        <v>77351.299999999974</v>
      </c>
      <c r="E37" s="79">
        <f t="shared" si="0"/>
        <v>26.285558543701889</v>
      </c>
      <c r="F37" s="80">
        <f t="shared" si="2"/>
        <v>26.285558543701889</v>
      </c>
      <c r="G37" s="81">
        <f t="shared" si="3"/>
        <v>27.370911569157723</v>
      </c>
      <c r="H37" s="85"/>
      <c r="I37" s="85"/>
      <c r="J37" s="60">
        <f t="shared" si="4"/>
        <v>0.51757950530035313</v>
      </c>
      <c r="K37" s="141">
        <f t="shared" si="5"/>
        <v>23.861380941215497</v>
      </c>
      <c r="L37" s="141">
        <f t="shared" si="7"/>
        <v>24.846637615637874</v>
      </c>
      <c r="O37" s="68"/>
      <c r="U37" s="152"/>
      <c r="V37" s="153"/>
      <c r="W37" s="153"/>
      <c r="X37" s="154"/>
      <c r="Z37" s="152"/>
      <c r="AA37" s="153"/>
      <c r="AB37" s="153"/>
      <c r="AC37" s="154"/>
    </row>
    <row r="38" spans="1:29" ht="15" customHeight="1" x14ac:dyDescent="0.2">
      <c r="A38" s="78">
        <v>180.1</v>
      </c>
      <c r="B38" s="104">
        <v>86</v>
      </c>
      <c r="C38" s="79">
        <f t="shared" si="6"/>
        <v>0.61843765774861159</v>
      </c>
      <c r="D38" s="79">
        <f t="shared" si="1"/>
        <v>87542.299999999988</v>
      </c>
      <c r="E38" s="79">
        <f t="shared" si="0"/>
        <v>29.74866940439675</v>
      </c>
      <c r="F38" s="80">
        <f t="shared" si="2"/>
        <v>29.74866940439675</v>
      </c>
      <c r="G38" s="81">
        <f t="shared" si="3"/>
        <v>30.97701721704324</v>
      </c>
      <c r="H38" s="85"/>
      <c r="I38" s="85"/>
      <c r="J38" s="60">
        <f t="shared" si="4"/>
        <v>0.56323826350328099</v>
      </c>
      <c r="K38" s="141">
        <f t="shared" si="5"/>
        <v>26.285558543701889</v>
      </c>
      <c r="L38" s="141">
        <f t="shared" si="7"/>
        <v>27.370911569157723</v>
      </c>
      <c r="O38" s="68"/>
      <c r="U38" s="152"/>
      <c r="V38" s="153"/>
      <c r="W38" s="153"/>
      <c r="X38" s="154"/>
      <c r="Z38" s="152"/>
      <c r="AA38" s="153"/>
      <c r="AB38" s="153"/>
      <c r="AC38" s="154"/>
    </row>
    <row r="39" spans="1:29" ht="15" customHeight="1" x14ac:dyDescent="0.2">
      <c r="A39" s="78">
        <v>187.3</v>
      </c>
      <c r="B39" s="104">
        <v>91</v>
      </c>
      <c r="C39" s="79">
        <f t="shared" si="6"/>
        <v>0.64297072185764748</v>
      </c>
      <c r="D39" s="79">
        <f t="shared" si="1"/>
        <v>92637.799999999988</v>
      </c>
      <c r="E39" s="79">
        <f t="shared" si="0"/>
        <v>31.480224834744178</v>
      </c>
      <c r="F39" s="80">
        <f t="shared" si="2"/>
        <v>31.480224834744178</v>
      </c>
      <c r="G39" s="81">
        <f t="shared" si="3"/>
        <v>32.78007004098599</v>
      </c>
      <c r="H39" s="85"/>
      <c r="I39" s="85"/>
      <c r="J39" s="60">
        <f t="shared" si="4"/>
        <v>0.61843765774861159</v>
      </c>
      <c r="K39" s="141">
        <f t="shared" si="5"/>
        <v>29.74866940439675</v>
      </c>
      <c r="L39" s="141">
        <f t="shared" si="7"/>
        <v>30.97701721704324</v>
      </c>
      <c r="O39" s="68"/>
      <c r="U39" s="152"/>
      <c r="V39" s="153"/>
      <c r="W39" s="153"/>
      <c r="X39" s="154"/>
      <c r="Z39" s="152"/>
      <c r="AA39" s="153"/>
      <c r="AB39" s="153"/>
      <c r="AC39" s="154"/>
    </row>
    <row r="40" spans="1:29" ht="15" customHeight="1" x14ac:dyDescent="0.2">
      <c r="A40" s="78">
        <v>194.4</v>
      </c>
      <c r="B40" s="104">
        <v>96</v>
      </c>
      <c r="C40" s="79">
        <f t="shared" si="6"/>
        <v>0.66716304896516887</v>
      </c>
      <c r="D40" s="79">
        <f t="shared" si="1"/>
        <v>97733.299999999988</v>
      </c>
      <c r="E40" s="79">
        <f t="shared" si="0"/>
        <v>33.211780265091605</v>
      </c>
      <c r="F40" s="80">
        <f t="shared" si="2"/>
        <v>33.211780265091605</v>
      </c>
      <c r="G40" s="81">
        <f t="shared" si="3"/>
        <v>34.583122864928747</v>
      </c>
      <c r="H40" s="85"/>
      <c r="I40" s="85"/>
      <c r="J40" s="60">
        <f t="shared" si="4"/>
        <v>0.64297072185764748</v>
      </c>
      <c r="K40" s="141">
        <f t="shared" si="5"/>
        <v>31.480224834744178</v>
      </c>
      <c r="L40" s="141">
        <f t="shared" si="7"/>
        <v>32.78007004098599</v>
      </c>
      <c r="O40" s="68"/>
      <c r="U40" s="152"/>
      <c r="V40" s="153"/>
      <c r="W40" s="153"/>
      <c r="X40" s="154"/>
      <c r="Z40" s="152"/>
      <c r="AA40" s="153"/>
      <c r="AB40" s="153"/>
      <c r="AC40" s="154"/>
    </row>
    <row r="41" spans="1:29" ht="15" customHeight="1" x14ac:dyDescent="0.2">
      <c r="A41" s="78">
        <v>206.4</v>
      </c>
      <c r="B41" s="104">
        <v>103</v>
      </c>
      <c r="C41" s="79">
        <f t="shared" si="6"/>
        <v>0.70805148914689531</v>
      </c>
      <c r="D41" s="79">
        <f t="shared" si="1"/>
        <v>104866.99999999999</v>
      </c>
      <c r="E41" s="79">
        <f t="shared" si="0"/>
        <v>35.635957867578007</v>
      </c>
      <c r="F41" s="80">
        <f t="shared" si="2"/>
        <v>35.635957867578007</v>
      </c>
      <c r="G41" s="81">
        <f t="shared" si="3"/>
        <v>37.107396818448606</v>
      </c>
      <c r="H41" s="85"/>
      <c r="I41" s="85"/>
      <c r="J41" s="60">
        <f t="shared" si="4"/>
        <v>0.66716304896516887</v>
      </c>
      <c r="K41" s="141">
        <f t="shared" si="5"/>
        <v>33.211780265091605</v>
      </c>
      <c r="L41" s="141">
        <f t="shared" si="7"/>
        <v>34.583122864928747</v>
      </c>
      <c r="O41" s="32"/>
      <c r="P41" s="16"/>
      <c r="U41" s="152"/>
      <c r="V41" s="153"/>
      <c r="W41" s="153"/>
      <c r="X41" s="154"/>
      <c r="Z41" s="152"/>
      <c r="AA41" s="153"/>
      <c r="AB41" s="153"/>
      <c r="AC41" s="154"/>
    </row>
    <row r="42" spans="1:29" ht="15" customHeight="1" x14ac:dyDescent="0.2">
      <c r="A42" s="78">
        <v>217.7</v>
      </c>
      <c r="B42" s="104">
        <v>111</v>
      </c>
      <c r="C42" s="79">
        <f t="shared" si="6"/>
        <v>0.74655477031802098</v>
      </c>
      <c r="D42" s="79">
        <f t="shared" si="1"/>
        <v>113019.79999999999</v>
      </c>
      <c r="E42" s="79">
        <f t="shared" si="0"/>
        <v>38.406446556133893</v>
      </c>
      <c r="F42" s="80">
        <f t="shared" si="2"/>
        <v>38.406446556133893</v>
      </c>
      <c r="G42" s="81">
        <f t="shared" si="3"/>
        <v>39.992281336757017</v>
      </c>
      <c r="H42" s="85"/>
      <c r="I42" s="85"/>
      <c r="J42" s="60">
        <f t="shared" si="4"/>
        <v>0.70805148914689531</v>
      </c>
      <c r="K42" s="141">
        <f t="shared" si="5"/>
        <v>35.635957867578007</v>
      </c>
      <c r="L42" s="141">
        <f t="shared" si="7"/>
        <v>37.107396818448606</v>
      </c>
      <c r="O42" s="32"/>
      <c r="P42" s="16"/>
      <c r="U42" s="152"/>
      <c r="V42" s="153"/>
      <c r="W42" s="153"/>
      <c r="X42" s="154"/>
      <c r="Z42" s="152"/>
      <c r="AA42" s="153"/>
      <c r="AB42" s="153"/>
      <c r="AC42" s="154"/>
    </row>
    <row r="43" spans="1:29" ht="15" customHeight="1" x14ac:dyDescent="0.2">
      <c r="A43" s="78">
        <v>237.1</v>
      </c>
      <c r="B43" s="104">
        <v>125</v>
      </c>
      <c r="C43" s="79">
        <f t="shared" si="6"/>
        <v>0.81265774861181195</v>
      </c>
      <c r="D43" s="79">
        <f t="shared" si="1"/>
        <v>127287.19999999998</v>
      </c>
      <c r="E43" s="79">
        <f t="shared" si="0"/>
        <v>43.254801761106691</v>
      </c>
      <c r="F43" s="80">
        <f t="shared" si="2"/>
        <v>43.254801761106691</v>
      </c>
      <c r="G43" s="81">
        <f t="shared" si="3"/>
        <v>45.040829243796729</v>
      </c>
      <c r="H43" s="85"/>
      <c r="I43" s="85"/>
      <c r="J43" s="60">
        <f t="shared" si="4"/>
        <v>0.74655477031802098</v>
      </c>
      <c r="K43" s="141">
        <f t="shared" si="5"/>
        <v>38.406446556133893</v>
      </c>
      <c r="L43" s="141">
        <f t="shared" si="7"/>
        <v>39.992281336757017</v>
      </c>
      <c r="O43" s="32"/>
      <c r="P43" s="16"/>
      <c r="U43" s="152"/>
      <c r="V43" s="153"/>
      <c r="W43" s="153"/>
      <c r="X43" s="154"/>
      <c r="Z43" s="152"/>
      <c r="AA43" s="153"/>
      <c r="AB43" s="153"/>
      <c r="AC43" s="154"/>
    </row>
    <row r="44" spans="1:29" ht="15" customHeight="1" x14ac:dyDescent="0.2">
      <c r="A44" s="78">
        <v>248</v>
      </c>
      <c r="B44" s="104">
        <v>133</v>
      </c>
      <c r="C44" s="79">
        <f t="shared" si="6"/>
        <v>0.8497980817768801</v>
      </c>
      <c r="D44" s="79">
        <f t="shared" si="1"/>
        <v>135439.99999999997</v>
      </c>
      <c r="E44" s="79">
        <f t="shared" si="0"/>
        <v>46.02529044966257</v>
      </c>
      <c r="F44" s="80">
        <f t="shared" si="2"/>
        <v>46.02529044966257</v>
      </c>
      <c r="G44" s="81">
        <f t="shared" si="3"/>
        <v>47.925713762105133</v>
      </c>
      <c r="H44" s="85"/>
      <c r="I44" s="85"/>
      <c r="J44" s="60">
        <f t="shared" si="4"/>
        <v>0.81265774861181195</v>
      </c>
      <c r="K44" s="141">
        <f t="shared" si="5"/>
        <v>43.254801761106691</v>
      </c>
      <c r="L44" s="141">
        <f t="shared" si="7"/>
        <v>45.040829243796729</v>
      </c>
      <c r="O44" s="32"/>
      <c r="P44" s="16"/>
      <c r="U44" s="152"/>
      <c r="V44" s="153"/>
      <c r="W44" s="153"/>
      <c r="X44" s="154"/>
      <c r="Z44" s="152"/>
      <c r="AA44" s="153"/>
      <c r="AB44" s="153"/>
      <c r="AC44" s="154"/>
    </row>
    <row r="45" spans="1:29" ht="15" customHeight="1" x14ac:dyDescent="0.2">
      <c r="A45" s="78">
        <v>254.4</v>
      </c>
      <c r="B45" s="104">
        <v>138</v>
      </c>
      <c r="C45" s="79">
        <f t="shared" si="6"/>
        <v>0.87160524987380095</v>
      </c>
      <c r="D45" s="79">
        <f t="shared" si="1"/>
        <v>140535.49999999997</v>
      </c>
      <c r="E45" s="79">
        <f t="shared" si="0"/>
        <v>47.756845880009998</v>
      </c>
      <c r="F45" s="80">
        <f t="shared" si="2"/>
        <v>47.756845880009998</v>
      </c>
      <c r="G45" s="81">
        <f t="shared" si="3"/>
        <v>49.728766586047882</v>
      </c>
      <c r="H45" s="85"/>
      <c r="I45" s="85"/>
      <c r="J45" s="60">
        <f t="shared" si="4"/>
        <v>0.8497980817768801</v>
      </c>
      <c r="K45" s="141">
        <f t="shared" si="5"/>
        <v>46.02529044966257</v>
      </c>
      <c r="L45" s="141">
        <f t="shared" si="7"/>
        <v>47.925713762105133</v>
      </c>
      <c r="N45" s="84"/>
      <c r="O45" s="16"/>
      <c r="P45" s="16"/>
      <c r="U45" s="152"/>
      <c r="V45" s="153"/>
      <c r="W45" s="153"/>
      <c r="X45" s="154"/>
      <c r="Z45" s="152"/>
      <c r="AA45" s="153"/>
      <c r="AB45" s="153"/>
      <c r="AC45" s="154"/>
    </row>
    <row r="46" spans="1:29" ht="15" customHeight="1" x14ac:dyDescent="0.2">
      <c r="A46" s="78">
        <v>263.5</v>
      </c>
      <c r="B46" s="104">
        <v>145</v>
      </c>
      <c r="C46" s="79">
        <f t="shared" si="6"/>
        <v>0.90261231701161004</v>
      </c>
      <c r="D46" s="79">
        <f t="shared" si="1"/>
        <v>147669.19999999998</v>
      </c>
      <c r="E46" s="79">
        <f t="shared" si="0"/>
        <v>50.1810234824964</v>
      </c>
      <c r="F46" s="80">
        <f t="shared" si="2"/>
        <v>50.1810234824964</v>
      </c>
      <c r="G46" s="81">
        <f t="shared" si="3"/>
        <v>52.253040539567742</v>
      </c>
      <c r="H46" s="85"/>
      <c r="I46" s="85"/>
      <c r="J46" s="60">
        <f t="shared" si="4"/>
        <v>0.87160524987380095</v>
      </c>
      <c r="K46" s="141">
        <f t="shared" si="5"/>
        <v>47.756845880009998</v>
      </c>
      <c r="L46" s="141">
        <f t="shared" si="7"/>
        <v>49.728766586047882</v>
      </c>
      <c r="N46" s="32"/>
      <c r="O46" s="16"/>
      <c r="U46" s="152"/>
      <c r="V46" s="153"/>
      <c r="W46" s="153"/>
      <c r="X46" s="154"/>
      <c r="Z46" s="152"/>
      <c r="AA46" s="153"/>
      <c r="AB46" s="153"/>
      <c r="AC46" s="154"/>
    </row>
    <row r="47" spans="1:29" ht="15" customHeight="1" x14ac:dyDescent="0.2">
      <c r="A47" s="78">
        <v>272</v>
      </c>
      <c r="B47" s="104">
        <v>151</v>
      </c>
      <c r="C47" s="79">
        <f t="shared" si="6"/>
        <v>0.93157496214033297</v>
      </c>
      <c r="D47" s="79">
        <f t="shared" si="1"/>
        <v>153783.79999999999</v>
      </c>
      <c r="E47" s="79">
        <f t="shared" si="0"/>
        <v>52.258889998913318</v>
      </c>
      <c r="F47" s="80">
        <f t="shared" si="2"/>
        <v>52.258889998913318</v>
      </c>
      <c r="G47" s="81">
        <f t="shared" si="3"/>
        <v>54.416703928299057</v>
      </c>
      <c r="H47" s="85"/>
      <c r="I47" s="85"/>
      <c r="J47" s="60">
        <f t="shared" si="4"/>
        <v>0.90261231701161004</v>
      </c>
      <c r="K47" s="141">
        <f t="shared" si="5"/>
        <v>50.1810234824964</v>
      </c>
      <c r="L47" s="141">
        <f t="shared" si="7"/>
        <v>52.253040539567742</v>
      </c>
      <c r="N47" s="32"/>
      <c r="O47" s="16"/>
      <c r="U47" s="152"/>
      <c r="V47" s="153"/>
      <c r="W47" s="153"/>
      <c r="X47" s="154"/>
      <c r="Z47" s="152"/>
      <c r="AA47" s="153"/>
      <c r="AB47" s="153"/>
      <c r="AC47" s="154"/>
    </row>
    <row r="48" spans="1:29" ht="15" customHeight="1" x14ac:dyDescent="0.2">
      <c r="A48" s="78">
        <v>280.8</v>
      </c>
      <c r="B48" s="104">
        <v>158</v>
      </c>
      <c r="C48" s="79">
        <f t="shared" si="6"/>
        <v>0.96155981827359904</v>
      </c>
      <c r="D48" s="79">
        <f t="shared" si="1"/>
        <v>160917.5</v>
      </c>
      <c r="E48" s="79">
        <f t="shared" si="0"/>
        <v>54.683067601399721</v>
      </c>
      <c r="F48" s="80">
        <f t="shared" si="2"/>
        <v>54.683067601399721</v>
      </c>
      <c r="G48" s="81">
        <f t="shared" si="3"/>
        <v>56.940977881818917</v>
      </c>
      <c r="H48" s="85"/>
      <c r="I48" s="85"/>
      <c r="J48" s="60">
        <f t="shared" si="4"/>
        <v>0.93157496214033297</v>
      </c>
      <c r="K48" s="141">
        <f t="shared" si="5"/>
        <v>52.258889998913318</v>
      </c>
      <c r="L48" s="141">
        <f t="shared" si="7"/>
        <v>54.416703928299057</v>
      </c>
      <c r="N48" s="32"/>
      <c r="O48" s="16"/>
      <c r="P48" s="16"/>
      <c r="U48" s="152"/>
      <c r="V48" s="153"/>
      <c r="W48" s="153"/>
      <c r="X48" s="154"/>
      <c r="Z48" s="152"/>
      <c r="AA48" s="153"/>
      <c r="AB48" s="153"/>
      <c r="AC48" s="154"/>
    </row>
    <row r="49" spans="1:29" ht="15" customHeight="1" x14ac:dyDescent="0.2">
      <c r="A49" s="78">
        <v>288.8</v>
      </c>
      <c r="B49" s="104">
        <v>164</v>
      </c>
      <c r="C49" s="79">
        <f t="shared" si="6"/>
        <v>0.98881877839474985</v>
      </c>
      <c r="D49" s="79">
        <f t="shared" si="1"/>
        <v>167032.09999999998</v>
      </c>
      <c r="E49" s="79">
        <f t="shared" si="0"/>
        <v>56.760934117816625</v>
      </c>
      <c r="F49" s="80">
        <f t="shared" si="2"/>
        <v>56.760934117816625</v>
      </c>
      <c r="G49" s="81">
        <f t="shared" si="3"/>
        <v>59.104641270550211</v>
      </c>
      <c r="H49" s="85"/>
      <c r="I49" s="85"/>
      <c r="J49" s="60">
        <f t="shared" si="4"/>
        <v>0.96155981827359904</v>
      </c>
      <c r="K49" s="141">
        <f t="shared" si="5"/>
        <v>54.683067601399721</v>
      </c>
      <c r="L49" s="141">
        <f t="shared" si="7"/>
        <v>56.940977881818917</v>
      </c>
      <c r="N49" s="32"/>
      <c r="P49" s="16"/>
      <c r="U49" s="155"/>
      <c r="V49" s="156"/>
      <c r="W49" s="156"/>
      <c r="X49" s="157"/>
      <c r="Z49" s="155"/>
      <c r="AA49" s="156"/>
      <c r="AB49" s="156"/>
      <c r="AC49" s="157"/>
    </row>
    <row r="50" spans="1:29" ht="15" customHeight="1" x14ac:dyDescent="0.2">
      <c r="A50" s="78">
        <v>294.60000000000002</v>
      </c>
      <c r="B50" s="104">
        <v>168</v>
      </c>
      <c r="C50" s="79">
        <f t="shared" si="6"/>
        <v>1.0085815244825844</v>
      </c>
      <c r="D50" s="79">
        <f t="shared" si="1"/>
        <v>171108.5</v>
      </c>
      <c r="E50" s="79">
        <f t="shared" si="0"/>
        <v>58.146178462094575</v>
      </c>
      <c r="F50" s="80">
        <f t="shared" si="2"/>
        <v>58.146178462094575</v>
      </c>
      <c r="G50" s="81">
        <f t="shared" si="3"/>
        <v>60.547083529704423</v>
      </c>
      <c r="H50" s="85"/>
      <c r="I50" s="85"/>
      <c r="J50" s="60">
        <f t="shared" si="4"/>
        <v>0.98881877839474985</v>
      </c>
      <c r="K50" s="141">
        <f t="shared" si="5"/>
        <v>56.760934117816625</v>
      </c>
      <c r="L50" s="141">
        <f t="shared" si="7"/>
        <v>59.104641270550211</v>
      </c>
      <c r="P50" s="16"/>
      <c r="U50" s="134"/>
      <c r="V50" s="134"/>
      <c r="W50" s="134"/>
      <c r="X50" s="134"/>
      <c r="Z50" s="134"/>
      <c r="AA50" s="134"/>
      <c r="AB50" s="134"/>
      <c r="AC50" s="134"/>
    </row>
    <row r="51" spans="1:29" ht="15" customHeight="1" x14ac:dyDescent="0.2">
      <c r="A51" s="78">
        <v>305.39999999999998</v>
      </c>
      <c r="B51" s="104">
        <v>176</v>
      </c>
      <c r="C51" s="79">
        <f t="shared" si="6"/>
        <v>1.0453811206461379</v>
      </c>
      <c r="D51" s="79">
        <f t="shared" si="1"/>
        <v>179261.3</v>
      </c>
      <c r="E51" s="79">
        <f t="shared" si="0"/>
        <v>60.916667150650454</v>
      </c>
      <c r="F51" s="80">
        <f t="shared" si="2"/>
        <v>60.916667150650454</v>
      </c>
      <c r="G51" s="81">
        <f t="shared" si="3"/>
        <v>63.431968048012827</v>
      </c>
      <c r="H51" s="85"/>
      <c r="I51" s="85"/>
      <c r="J51" s="60">
        <f t="shared" si="4"/>
        <v>1.0085815244825844</v>
      </c>
      <c r="K51" s="141">
        <f t="shared" si="5"/>
        <v>58.146178462094575</v>
      </c>
      <c r="L51" s="141">
        <f t="shared" si="7"/>
        <v>60.547083529704423</v>
      </c>
      <c r="O51" s="86"/>
      <c r="P51" s="16"/>
      <c r="U51" s="134"/>
      <c r="V51" s="134"/>
      <c r="W51" s="134"/>
      <c r="X51" s="134"/>
      <c r="Z51" s="134"/>
      <c r="AA51" s="134"/>
      <c r="AB51" s="134"/>
      <c r="AC51" s="134"/>
    </row>
    <row r="52" spans="1:29" ht="15" customHeight="1" x14ac:dyDescent="0.2">
      <c r="A52" s="78">
        <v>313.60000000000002</v>
      </c>
      <c r="B52" s="104">
        <v>182</v>
      </c>
      <c r="C52" s="79">
        <f t="shared" si="6"/>
        <v>1.0733215547703179</v>
      </c>
      <c r="D52" s="79">
        <f t="shared" si="1"/>
        <v>185375.89999999997</v>
      </c>
      <c r="E52" s="79">
        <f t="shared" si="0"/>
        <v>62.994533667067365</v>
      </c>
      <c r="F52" s="80">
        <f t="shared" si="2"/>
        <v>62.994533667067365</v>
      </c>
      <c r="G52" s="81">
        <f t="shared" si="3"/>
        <v>65.595631436744128</v>
      </c>
      <c r="J52" s="60">
        <f t="shared" si="4"/>
        <v>1.0453811206461379</v>
      </c>
      <c r="K52" s="141">
        <f t="shared" si="5"/>
        <v>60.916667150650454</v>
      </c>
      <c r="L52" s="141">
        <f t="shared" si="7"/>
        <v>63.431968048012827</v>
      </c>
      <c r="M52" s="84"/>
      <c r="N52" s="84"/>
      <c r="P52" s="86"/>
      <c r="Q52" s="86"/>
      <c r="R52" s="86"/>
    </row>
    <row r="53" spans="1:29" ht="15" customHeight="1" x14ac:dyDescent="0.2">
      <c r="A53" s="78">
        <v>331.6</v>
      </c>
      <c r="B53" s="104">
        <v>196</v>
      </c>
      <c r="C53" s="79">
        <f t="shared" si="6"/>
        <v>1.1346542150429073</v>
      </c>
      <c r="D53" s="79">
        <f t="shared" si="1"/>
        <v>199643.3</v>
      </c>
      <c r="E53" s="79">
        <f t="shared" si="0"/>
        <v>67.842888872040163</v>
      </c>
      <c r="F53" s="80">
        <f t="shared" si="2"/>
        <v>67.842888872040163</v>
      </c>
      <c r="G53" s="81">
        <f t="shared" si="3"/>
        <v>70.644179343783847</v>
      </c>
      <c r="J53" s="60">
        <f t="shared" si="4"/>
        <v>1.0733215547703179</v>
      </c>
      <c r="K53" s="141">
        <f t="shared" si="5"/>
        <v>62.994533667067365</v>
      </c>
      <c r="L53" s="141">
        <f t="shared" si="7"/>
        <v>65.595631436744128</v>
      </c>
      <c r="N53" s="84"/>
    </row>
    <row r="54" spans="1:29" ht="15" customHeight="1" x14ac:dyDescent="0.2">
      <c r="A54" s="78">
        <v>339.4</v>
      </c>
      <c r="B54" s="104">
        <v>202</v>
      </c>
      <c r="C54" s="79">
        <f t="shared" si="6"/>
        <v>1.1612317011610296</v>
      </c>
      <c r="D54" s="79">
        <f t="shared" si="1"/>
        <v>205757.89999999997</v>
      </c>
      <c r="E54" s="79">
        <f t="shared" si="0"/>
        <v>69.920755388457081</v>
      </c>
      <c r="F54" s="80">
        <f t="shared" si="2"/>
        <v>69.920755388457081</v>
      </c>
      <c r="G54" s="81">
        <f t="shared" si="3"/>
        <v>72.807842732515155</v>
      </c>
      <c r="J54" s="60">
        <f t="shared" si="4"/>
        <v>1.1346542150429073</v>
      </c>
      <c r="K54" s="141">
        <f t="shared" si="5"/>
        <v>67.842888872040163</v>
      </c>
      <c r="L54" s="141">
        <f t="shared" si="7"/>
        <v>70.644179343783847</v>
      </c>
      <c r="U54" s="149"/>
      <c r="V54" s="150"/>
      <c r="W54" s="150"/>
      <c r="X54" s="151"/>
      <c r="Z54" s="149"/>
      <c r="AA54" s="150"/>
      <c r="AB54" s="150"/>
      <c r="AC54" s="151"/>
    </row>
    <row r="55" spans="1:29" ht="15" customHeight="1" x14ac:dyDescent="0.2">
      <c r="A55" s="78">
        <v>344.7</v>
      </c>
      <c r="B55" s="104">
        <v>206</v>
      </c>
      <c r="C55" s="79">
        <f t="shared" si="6"/>
        <v>1.1792907622412918</v>
      </c>
      <c r="D55" s="79">
        <f t="shared" si="1"/>
        <v>209834.3</v>
      </c>
      <c r="E55" s="79">
        <f t="shared" si="0"/>
        <v>71.305999732735032</v>
      </c>
      <c r="F55" s="80">
        <f t="shared" si="2"/>
        <v>71.305999732735032</v>
      </c>
      <c r="G55" s="81">
        <f t="shared" si="3"/>
        <v>74.250284991669361</v>
      </c>
      <c r="J55" s="60">
        <f t="shared" si="4"/>
        <v>1.1612317011610296</v>
      </c>
      <c r="K55" s="141">
        <f t="shared" si="5"/>
        <v>69.920755388457081</v>
      </c>
      <c r="L55" s="141">
        <f t="shared" si="7"/>
        <v>72.807842732515155</v>
      </c>
      <c r="M55" s="84"/>
      <c r="U55" s="152"/>
      <c r="V55" s="153"/>
      <c r="W55" s="153"/>
      <c r="X55" s="154"/>
      <c r="Z55" s="152"/>
      <c r="AA55" s="153"/>
      <c r="AB55" s="153"/>
      <c r="AC55" s="154"/>
    </row>
    <row r="56" spans="1:29" ht="15" customHeight="1" x14ac:dyDescent="0.2">
      <c r="A56" s="78">
        <v>351.4</v>
      </c>
      <c r="B56" s="104">
        <v>212</v>
      </c>
      <c r="C56" s="79">
        <f t="shared" si="6"/>
        <v>1.2021201413427556</v>
      </c>
      <c r="D56" s="79">
        <f t="shared" si="1"/>
        <v>215948.9</v>
      </c>
      <c r="E56" s="79">
        <f t="shared" si="0"/>
        <v>73.383866249151936</v>
      </c>
      <c r="F56" s="80">
        <f t="shared" si="2"/>
        <v>73.383866249151936</v>
      </c>
      <c r="G56" s="81">
        <f t="shared" si="3"/>
        <v>76.413948380400655</v>
      </c>
      <c r="J56" s="60">
        <f t="shared" si="4"/>
        <v>1.1792907622412918</v>
      </c>
      <c r="K56" s="141">
        <f t="shared" si="5"/>
        <v>71.305999732735032</v>
      </c>
      <c r="L56" s="141">
        <f t="shared" si="7"/>
        <v>74.250284991669361</v>
      </c>
      <c r="M56" s="16"/>
      <c r="U56" s="152"/>
      <c r="V56" s="153"/>
      <c r="W56" s="153"/>
      <c r="X56" s="154"/>
      <c r="Z56" s="152"/>
      <c r="AA56" s="153"/>
      <c r="AB56" s="153"/>
      <c r="AC56" s="154"/>
    </row>
    <row r="57" spans="1:29" ht="15" customHeight="1" x14ac:dyDescent="0.2">
      <c r="A57" s="78">
        <v>360.6</v>
      </c>
      <c r="B57" s="104">
        <v>216</v>
      </c>
      <c r="C57" s="79">
        <f t="shared" si="6"/>
        <v>1.2334679454820796</v>
      </c>
      <c r="D57" s="79">
        <f t="shared" si="1"/>
        <v>220025.29999999996</v>
      </c>
      <c r="E57" s="79">
        <f t="shared" si="0"/>
        <v>74.769110593429872</v>
      </c>
      <c r="F57" s="80">
        <f t="shared" si="2"/>
        <v>74.769110593429872</v>
      </c>
      <c r="G57" s="81">
        <f t="shared" si="3"/>
        <v>77.85639063955486</v>
      </c>
      <c r="J57" s="60">
        <f t="shared" si="4"/>
        <v>1.2021201413427556</v>
      </c>
      <c r="K57" s="141">
        <f t="shared" si="5"/>
        <v>73.383866249151936</v>
      </c>
      <c r="L57" s="141">
        <f t="shared" si="7"/>
        <v>76.413948380400655</v>
      </c>
      <c r="M57" s="16"/>
      <c r="U57" s="152"/>
      <c r="V57" s="153"/>
      <c r="W57" s="153"/>
      <c r="X57" s="154"/>
      <c r="Z57" s="152"/>
      <c r="AA57" s="153"/>
      <c r="AB57" s="153"/>
      <c r="AC57" s="154"/>
    </row>
    <row r="58" spans="1:29" ht="15" customHeight="1" x14ac:dyDescent="0.2">
      <c r="A58" s="78">
        <v>380.7</v>
      </c>
      <c r="B58" s="104">
        <v>222</v>
      </c>
      <c r="C58" s="79">
        <f t="shared" si="6"/>
        <v>1.3019560827864711</v>
      </c>
      <c r="D58" s="79">
        <f t="shared" si="1"/>
        <v>226139.9</v>
      </c>
      <c r="E58" s="79">
        <f t="shared" si="0"/>
        <v>76.846977109846804</v>
      </c>
      <c r="F58" s="80">
        <f t="shared" si="2"/>
        <v>76.846977109846804</v>
      </c>
      <c r="G58" s="81">
        <f t="shared" si="3"/>
        <v>80.020054028286182</v>
      </c>
      <c r="J58" s="60">
        <f t="shared" si="4"/>
        <v>1.2334679454820796</v>
      </c>
      <c r="K58" s="141">
        <f t="shared" si="5"/>
        <v>74.769110593429872</v>
      </c>
      <c r="L58" s="141">
        <f t="shared" si="7"/>
        <v>77.85639063955486</v>
      </c>
      <c r="M58" s="84"/>
      <c r="U58" s="152"/>
      <c r="V58" s="153"/>
      <c r="W58" s="153"/>
      <c r="X58" s="154"/>
      <c r="Z58" s="152"/>
      <c r="AA58" s="153"/>
      <c r="AB58" s="153"/>
      <c r="AC58" s="154"/>
    </row>
    <row r="59" spans="1:29" ht="15" customHeight="1" x14ac:dyDescent="0.2">
      <c r="A59" s="16"/>
      <c r="B59" s="16"/>
      <c r="C59" s="16"/>
      <c r="D59" s="16"/>
      <c r="E59" s="16"/>
      <c r="F59" s="16"/>
      <c r="G59" s="16"/>
      <c r="J59" s="60">
        <f t="shared" si="4"/>
        <v>1.3019560827864711</v>
      </c>
      <c r="K59" s="141">
        <f t="shared" si="5"/>
        <v>76.846977109846804</v>
      </c>
      <c r="L59" s="141">
        <f t="shared" si="7"/>
        <v>80.020054028286182</v>
      </c>
      <c r="M59" s="16"/>
      <c r="N59" s="86"/>
      <c r="U59" s="152"/>
      <c r="V59" s="153"/>
      <c r="W59" s="153"/>
      <c r="X59" s="154"/>
      <c r="Z59" s="152"/>
      <c r="AA59" s="153"/>
      <c r="AB59" s="153"/>
      <c r="AC59" s="154"/>
    </row>
    <row r="60" spans="1:29" ht="15" customHeight="1" x14ac:dyDescent="0.2">
      <c r="A60" s="16"/>
      <c r="B60" s="16"/>
      <c r="C60" s="16"/>
      <c r="D60" s="16"/>
      <c r="E60" s="16"/>
      <c r="F60" s="16"/>
      <c r="G60" s="16"/>
      <c r="U60" s="152"/>
      <c r="V60" s="153"/>
      <c r="W60" s="153"/>
      <c r="X60" s="154"/>
      <c r="Z60" s="152"/>
      <c r="AA60" s="153"/>
      <c r="AB60" s="153"/>
      <c r="AC60" s="154"/>
    </row>
    <row r="61" spans="1:29" ht="15" customHeight="1" x14ac:dyDescent="0.2">
      <c r="A61" s="16"/>
      <c r="B61" s="16"/>
      <c r="C61" s="16"/>
      <c r="D61" s="16"/>
      <c r="E61" s="16"/>
      <c r="F61" s="16"/>
      <c r="G61" s="16"/>
      <c r="J61" s="87" t="s">
        <v>17</v>
      </c>
      <c r="K61" s="134"/>
      <c r="U61" s="152"/>
      <c r="V61" s="153"/>
      <c r="W61" s="153"/>
      <c r="X61" s="154"/>
      <c r="Z61" s="152"/>
      <c r="AA61" s="153"/>
      <c r="AB61" s="153"/>
      <c r="AC61" s="154"/>
    </row>
    <row r="62" spans="1:29" ht="15" customHeight="1" x14ac:dyDescent="0.2">
      <c r="A62" s="16"/>
      <c r="B62" s="16"/>
      <c r="C62" s="16"/>
      <c r="D62" s="16"/>
      <c r="E62" s="16"/>
      <c r="F62" s="16"/>
      <c r="G62" s="16"/>
      <c r="J62" s="88" t="s">
        <v>77</v>
      </c>
      <c r="K62" s="134"/>
      <c r="M62" s="16"/>
      <c r="U62" s="152"/>
      <c r="V62" s="153"/>
      <c r="W62" s="153"/>
      <c r="X62" s="154"/>
      <c r="Z62" s="152"/>
      <c r="AA62" s="153"/>
      <c r="AB62" s="153"/>
      <c r="AC62" s="154"/>
    </row>
    <row r="63" spans="1:29" ht="15" customHeight="1" x14ac:dyDescent="0.2">
      <c r="A63" s="16"/>
      <c r="B63" s="16"/>
      <c r="C63" s="16"/>
      <c r="D63" s="16"/>
      <c r="E63" s="16"/>
      <c r="F63" s="16"/>
      <c r="G63" s="16"/>
      <c r="J63" s="88" t="s">
        <v>51</v>
      </c>
      <c r="L63" s="16"/>
      <c r="U63" s="152"/>
      <c r="V63" s="153"/>
      <c r="W63" s="153"/>
      <c r="X63" s="154"/>
      <c r="Z63" s="152"/>
      <c r="AA63" s="153"/>
      <c r="AB63" s="153"/>
      <c r="AC63" s="154"/>
    </row>
    <row r="64" spans="1:29" ht="15" customHeight="1" x14ac:dyDescent="0.2">
      <c r="A64" s="16"/>
      <c r="B64" s="16"/>
      <c r="C64" s="16"/>
      <c r="D64" s="16"/>
      <c r="E64" s="16"/>
      <c r="F64" s="16"/>
      <c r="G64" s="16"/>
      <c r="J64" s="88" t="s">
        <v>94</v>
      </c>
      <c r="K64" s="134"/>
      <c r="L64" s="16"/>
      <c r="U64" s="152"/>
      <c r="V64" s="153"/>
      <c r="W64" s="153"/>
      <c r="X64" s="154"/>
      <c r="Z64" s="152"/>
      <c r="AA64" s="153"/>
      <c r="AB64" s="153"/>
      <c r="AC64" s="154"/>
    </row>
    <row r="65" spans="1:29" ht="15" customHeight="1" x14ac:dyDescent="0.2">
      <c r="A65" s="16"/>
      <c r="B65" s="16"/>
      <c r="C65" s="16"/>
      <c r="D65" s="16"/>
      <c r="E65" s="16"/>
      <c r="F65" s="16"/>
      <c r="G65" s="16"/>
      <c r="J65" s="89"/>
      <c r="K65" s="134"/>
      <c r="U65" s="152"/>
      <c r="V65" s="153"/>
      <c r="W65" s="153"/>
      <c r="X65" s="154"/>
      <c r="Z65" s="152"/>
      <c r="AA65" s="153"/>
      <c r="AB65" s="153"/>
      <c r="AC65" s="154"/>
    </row>
    <row r="66" spans="1:29" ht="15" customHeight="1" x14ac:dyDescent="0.2">
      <c r="A66" s="16"/>
      <c r="B66" s="16"/>
      <c r="C66" s="16"/>
      <c r="D66" s="16"/>
      <c r="E66" s="16"/>
      <c r="F66" s="16"/>
      <c r="G66" s="16"/>
      <c r="J66" s="87" t="s">
        <v>18</v>
      </c>
      <c r="K66" s="134"/>
      <c r="U66" s="152"/>
      <c r="V66" s="153"/>
      <c r="W66" s="153"/>
      <c r="X66" s="154"/>
      <c r="Z66" s="152"/>
      <c r="AA66" s="153"/>
      <c r="AB66" s="153"/>
      <c r="AC66" s="154"/>
    </row>
    <row r="67" spans="1:29" ht="15" customHeight="1" x14ac:dyDescent="0.2">
      <c r="A67" s="91"/>
      <c r="B67" s="92"/>
      <c r="C67" s="32"/>
      <c r="D67" s="93"/>
      <c r="E67" s="93"/>
      <c r="F67" s="32"/>
      <c r="G67" s="32"/>
      <c r="H67" s="32"/>
      <c r="I67" s="32"/>
      <c r="J67" s="88" t="s">
        <v>92</v>
      </c>
      <c r="K67" s="134"/>
      <c r="U67" s="152"/>
      <c r="V67" s="153"/>
      <c r="W67" s="153"/>
      <c r="X67" s="154"/>
      <c r="Z67" s="152"/>
      <c r="AA67" s="153"/>
      <c r="AB67" s="153"/>
      <c r="AC67" s="154"/>
    </row>
    <row r="68" spans="1:29" ht="15" customHeight="1" x14ac:dyDescent="0.2">
      <c r="A68" s="91"/>
      <c r="B68" s="92"/>
      <c r="C68" s="32"/>
      <c r="D68" s="93"/>
      <c r="E68" s="93"/>
      <c r="F68" s="32"/>
      <c r="G68" s="32"/>
      <c r="H68" s="32"/>
      <c r="I68" s="32"/>
      <c r="J68" s="88" t="s">
        <v>29</v>
      </c>
      <c r="K68" s="90" t="str">
        <f>G19</f>
        <v>Matriz (Tipo A)</v>
      </c>
      <c r="U68" s="152"/>
      <c r="V68" s="153"/>
      <c r="W68" s="153"/>
      <c r="X68" s="154"/>
      <c r="Z68" s="152"/>
      <c r="AA68" s="153"/>
      <c r="AB68" s="153"/>
      <c r="AC68" s="154"/>
    </row>
    <row r="69" spans="1:29" ht="15" customHeight="1" x14ac:dyDescent="0.2">
      <c r="A69" s="91"/>
      <c r="B69" s="92"/>
      <c r="C69" s="32"/>
      <c r="D69" s="93"/>
      <c r="E69" s="93"/>
      <c r="F69" s="32"/>
      <c r="G69" s="32"/>
      <c r="H69" s="32"/>
      <c r="I69" s="32"/>
      <c r="J69" s="88" t="str">
        <f>+CONCATENATE("c. Velocidad de ensayo: ",B7,C7)</f>
        <v>c. Velocidad de ensayo: 0,5 MPa/s</v>
      </c>
      <c r="K69" s="134"/>
      <c r="U69" s="152"/>
      <c r="V69" s="153"/>
      <c r="W69" s="153"/>
      <c r="X69" s="154"/>
      <c r="Z69" s="152"/>
      <c r="AA69" s="153"/>
      <c r="AB69" s="153"/>
      <c r="AC69" s="154"/>
    </row>
    <row r="70" spans="1:29" ht="15" customHeight="1" x14ac:dyDescent="0.2">
      <c r="A70" s="91"/>
      <c r="B70" s="92"/>
      <c r="C70" s="32"/>
      <c r="D70" s="93"/>
      <c r="E70" s="93"/>
      <c r="F70" s="32"/>
      <c r="G70" s="32"/>
      <c r="H70" s="32"/>
      <c r="I70" s="32"/>
      <c r="J70" s="16"/>
      <c r="K70" s="16"/>
      <c r="L70" s="16"/>
      <c r="U70" s="152"/>
      <c r="V70" s="153"/>
      <c r="W70" s="153"/>
      <c r="X70" s="154"/>
      <c r="Z70" s="152"/>
      <c r="AA70" s="153"/>
      <c r="AB70" s="153"/>
      <c r="AC70" s="154"/>
    </row>
    <row r="71" spans="1:29" ht="15" customHeight="1" x14ac:dyDescent="0.2">
      <c r="A71" s="91"/>
      <c r="B71" s="92"/>
      <c r="C71" s="32"/>
      <c r="D71" s="93"/>
      <c r="E71" s="93"/>
      <c r="F71" s="32"/>
      <c r="G71" s="32"/>
      <c r="H71" s="32"/>
      <c r="I71" s="32"/>
      <c r="J71" s="16"/>
      <c r="K71" s="16"/>
      <c r="L71" s="16"/>
      <c r="U71" s="152"/>
      <c r="V71" s="153"/>
      <c r="W71" s="153"/>
      <c r="X71" s="154"/>
      <c r="Z71" s="152"/>
      <c r="AA71" s="153"/>
      <c r="AB71" s="153"/>
      <c r="AC71" s="154"/>
    </row>
    <row r="72" spans="1:29" ht="15" customHeight="1" x14ac:dyDescent="0.2">
      <c r="A72" s="91"/>
      <c r="B72" s="92"/>
      <c r="C72" s="32"/>
      <c r="D72" s="93"/>
      <c r="E72" s="93"/>
      <c r="F72" s="32"/>
      <c r="G72" s="32"/>
      <c r="H72" s="32"/>
      <c r="I72" s="32"/>
      <c r="U72" s="152"/>
      <c r="V72" s="153"/>
      <c r="W72" s="153"/>
      <c r="X72" s="154"/>
      <c r="Z72" s="152"/>
      <c r="AA72" s="153"/>
      <c r="AB72" s="153"/>
      <c r="AC72" s="154"/>
    </row>
    <row r="73" spans="1:29" ht="15" customHeight="1" x14ac:dyDescent="0.2">
      <c r="A73" s="91"/>
      <c r="B73" s="92"/>
      <c r="C73" s="32"/>
      <c r="D73" s="93"/>
      <c r="E73" s="93"/>
      <c r="F73" s="32"/>
      <c r="G73" s="32"/>
      <c r="H73" s="32"/>
      <c r="I73" s="32"/>
      <c r="U73" s="152"/>
      <c r="V73" s="153"/>
      <c r="W73" s="153"/>
      <c r="X73" s="154"/>
      <c r="Z73" s="152"/>
      <c r="AA73" s="153"/>
      <c r="AB73" s="153"/>
      <c r="AC73" s="154"/>
    </row>
    <row r="74" spans="1:29" ht="15" customHeight="1" x14ac:dyDescent="0.2">
      <c r="A74" s="91"/>
      <c r="B74" s="92"/>
      <c r="C74" s="32"/>
      <c r="D74" s="93"/>
      <c r="E74" s="93"/>
      <c r="F74" s="32"/>
      <c r="G74" s="32"/>
      <c r="H74" s="32"/>
      <c r="I74" s="32"/>
      <c r="U74" s="155"/>
      <c r="V74" s="156"/>
      <c r="W74" s="156"/>
      <c r="X74" s="157"/>
      <c r="Z74" s="155"/>
      <c r="AA74" s="156"/>
      <c r="AB74" s="156"/>
      <c r="AC74" s="157"/>
    </row>
    <row r="75" spans="1:29" ht="15" customHeight="1" x14ac:dyDescent="0.2">
      <c r="A75" s="91"/>
      <c r="B75" s="92"/>
      <c r="C75" s="32"/>
      <c r="D75" s="93"/>
      <c r="E75" s="93"/>
      <c r="F75" s="32"/>
      <c r="G75" s="32"/>
      <c r="H75" s="32"/>
      <c r="I75" s="32"/>
    </row>
    <row r="76" spans="1:29" ht="15" customHeight="1" x14ac:dyDescent="0.2">
      <c r="A76" s="91"/>
      <c r="B76" s="92"/>
      <c r="C76" s="32"/>
      <c r="D76" s="93"/>
      <c r="E76" s="93"/>
      <c r="F76" s="32"/>
      <c r="G76" s="32"/>
      <c r="H76" s="32"/>
      <c r="I76" s="32"/>
    </row>
    <row r="77" spans="1:29" ht="15" customHeight="1" x14ac:dyDescent="0.2">
      <c r="A77" s="91"/>
      <c r="B77" s="92"/>
      <c r="C77" s="32"/>
      <c r="D77" s="93"/>
      <c r="E77" s="93"/>
      <c r="F77" s="32"/>
      <c r="G77" s="32"/>
      <c r="H77" s="32"/>
      <c r="I77" s="32"/>
    </row>
    <row r="78" spans="1:29" ht="15" customHeight="1" x14ac:dyDescent="0.2">
      <c r="A78" s="91"/>
      <c r="B78" s="92"/>
      <c r="C78" s="32"/>
      <c r="D78" s="93"/>
      <c r="E78" s="93"/>
      <c r="F78" s="32"/>
      <c r="G78" s="32"/>
      <c r="H78" s="32"/>
      <c r="I78" s="32"/>
    </row>
    <row r="79" spans="1:29" ht="15" customHeight="1" x14ac:dyDescent="0.2">
      <c r="A79" s="91"/>
      <c r="B79" s="92"/>
      <c r="C79" s="32"/>
      <c r="D79" s="93"/>
      <c r="E79" s="93"/>
      <c r="F79" s="32"/>
      <c r="G79" s="32"/>
      <c r="H79" s="32"/>
      <c r="I79" s="32"/>
    </row>
    <row r="80" spans="1:29" ht="15" customHeight="1" x14ac:dyDescent="0.2">
      <c r="A80" s="16"/>
      <c r="B80" s="16"/>
      <c r="C80" s="16"/>
      <c r="D80" s="32"/>
      <c r="E80" s="32"/>
      <c r="F80" s="16"/>
      <c r="G80" s="16"/>
    </row>
    <row r="81" spans="1:15" ht="15" customHeight="1" x14ac:dyDescent="0.2">
      <c r="A81" s="16"/>
      <c r="B81" s="16"/>
      <c r="C81" s="16"/>
      <c r="D81" s="32"/>
      <c r="E81" s="32"/>
      <c r="F81" s="16"/>
      <c r="G81" s="16"/>
    </row>
    <row r="82" spans="1:15" ht="15" customHeight="1" x14ac:dyDescent="0.2">
      <c r="A82" s="16"/>
      <c r="B82" s="16"/>
      <c r="C82" s="16"/>
      <c r="D82" s="32"/>
      <c r="E82" s="32"/>
      <c r="F82" s="16"/>
      <c r="G82" s="16"/>
    </row>
    <row r="83" spans="1:15" ht="15" customHeight="1" x14ac:dyDescent="0.2">
      <c r="A83" s="16"/>
      <c r="B83" s="16"/>
      <c r="C83" s="16"/>
      <c r="D83" s="32"/>
      <c r="E83" s="32"/>
      <c r="F83" s="16"/>
      <c r="G83" s="16"/>
    </row>
    <row r="84" spans="1:15" ht="15" customHeight="1" x14ac:dyDescent="0.2">
      <c r="A84" s="16"/>
      <c r="B84" s="16"/>
      <c r="C84" s="16"/>
      <c r="D84" s="32"/>
      <c r="E84" s="32"/>
      <c r="F84" s="16"/>
      <c r="G84" s="16"/>
    </row>
    <row r="85" spans="1:15" ht="15" customHeight="1" x14ac:dyDescent="0.2">
      <c r="A85" s="16"/>
      <c r="B85" s="16"/>
      <c r="C85" s="16"/>
      <c r="D85" s="32"/>
      <c r="E85" s="32"/>
      <c r="F85" s="16"/>
      <c r="G85" s="16"/>
      <c r="O85" s="17"/>
    </row>
    <row r="86" spans="1:15" ht="15" customHeight="1" x14ac:dyDescent="0.2">
      <c r="A86" s="16"/>
      <c r="B86" s="16"/>
      <c r="C86" s="16"/>
      <c r="D86" s="32"/>
      <c r="E86" s="32"/>
      <c r="F86" s="16"/>
      <c r="G86" s="16"/>
    </row>
    <row r="87" spans="1:15" ht="15" customHeight="1" x14ac:dyDescent="0.2">
      <c r="A87" s="16"/>
      <c r="B87" s="16"/>
      <c r="C87" s="16"/>
      <c r="D87" s="32"/>
      <c r="E87" s="32"/>
      <c r="F87" s="16"/>
      <c r="G87" s="16"/>
    </row>
    <row r="88" spans="1:15" ht="15" customHeight="1" x14ac:dyDescent="0.2">
      <c r="A88" s="16"/>
      <c r="B88" s="16"/>
      <c r="C88" s="16"/>
      <c r="D88" s="32"/>
      <c r="E88" s="32"/>
      <c r="F88" s="16"/>
      <c r="G88" s="16"/>
    </row>
    <row r="89" spans="1:15" ht="15" customHeight="1" x14ac:dyDescent="0.2">
      <c r="A89" s="16"/>
      <c r="B89" s="16"/>
      <c r="C89" s="16"/>
      <c r="D89" s="32"/>
      <c r="E89" s="32"/>
      <c r="F89" s="16"/>
      <c r="G89" s="16"/>
    </row>
    <row r="90" spans="1:15" ht="15" customHeight="1" x14ac:dyDescent="0.2">
      <c r="A90" s="16"/>
      <c r="B90" s="16"/>
      <c r="C90" s="16"/>
      <c r="D90" s="32"/>
      <c r="E90" s="32"/>
      <c r="F90" s="16"/>
      <c r="G90" s="16"/>
    </row>
    <row r="91" spans="1:15" ht="15" customHeight="1" x14ac:dyDescent="0.2">
      <c r="A91" s="16"/>
      <c r="B91" s="16"/>
      <c r="C91" s="16"/>
      <c r="D91" s="32"/>
      <c r="E91" s="32"/>
      <c r="F91" s="16"/>
      <c r="G91" s="16"/>
    </row>
    <row r="92" spans="1:15" ht="15" customHeight="1" x14ac:dyDescent="0.2">
      <c r="A92" s="16"/>
      <c r="B92" s="16"/>
      <c r="C92" s="16"/>
      <c r="D92" s="32"/>
      <c r="E92" s="32"/>
      <c r="F92" s="16"/>
      <c r="G92" s="16"/>
    </row>
    <row r="93" spans="1:15" ht="15" customHeight="1" x14ac:dyDescent="0.2">
      <c r="A93" s="16"/>
      <c r="B93" s="16"/>
      <c r="C93" s="16"/>
      <c r="D93" s="32"/>
      <c r="E93" s="32"/>
      <c r="F93" s="16"/>
      <c r="G93" s="16"/>
    </row>
    <row r="94" spans="1:15" ht="15" customHeight="1" x14ac:dyDescent="0.2">
      <c r="A94" s="16"/>
      <c r="B94" s="16"/>
      <c r="C94" s="16"/>
      <c r="D94" s="16"/>
      <c r="E94" s="16"/>
      <c r="F94" s="16"/>
      <c r="G94" s="16"/>
    </row>
    <row r="95" spans="1:15" ht="15" customHeight="1" x14ac:dyDescent="0.2">
      <c r="A95" s="16"/>
      <c r="B95" s="16"/>
      <c r="C95" s="16"/>
      <c r="D95" s="16"/>
      <c r="E95" s="16"/>
      <c r="F95" s="16"/>
      <c r="G95" s="16"/>
    </row>
    <row r="96" spans="1:15" ht="15" customHeight="1" x14ac:dyDescent="0.2">
      <c r="A96" s="16"/>
      <c r="B96" s="16"/>
      <c r="C96" s="16"/>
      <c r="D96" s="16"/>
      <c r="E96" s="16"/>
      <c r="F96" s="16"/>
      <c r="G96" s="16"/>
    </row>
    <row r="97" spans="1:7" ht="15" customHeight="1" x14ac:dyDescent="0.2">
      <c r="A97" s="16"/>
      <c r="B97" s="16"/>
      <c r="C97" s="16"/>
      <c r="D97" s="16"/>
      <c r="E97" s="16"/>
      <c r="F97" s="16"/>
      <c r="G97" s="16"/>
    </row>
    <row r="98" spans="1:7" ht="15" customHeight="1" x14ac:dyDescent="0.2">
      <c r="A98" s="16"/>
      <c r="B98" s="16"/>
      <c r="C98" s="16"/>
      <c r="D98" s="16"/>
      <c r="E98" s="16"/>
      <c r="F98" s="16"/>
      <c r="G98" s="16"/>
    </row>
    <row r="99" spans="1:7" ht="15" customHeight="1" x14ac:dyDescent="0.2">
      <c r="A99" s="16"/>
      <c r="B99" s="16"/>
      <c r="C99" s="16"/>
      <c r="D99" s="16"/>
      <c r="E99" s="16"/>
      <c r="F99" s="16"/>
      <c r="G99" s="16"/>
    </row>
    <row r="100" spans="1:7" ht="15" customHeight="1" x14ac:dyDescent="0.2">
      <c r="A100" s="16"/>
      <c r="B100" s="16"/>
      <c r="C100" s="16"/>
      <c r="D100" s="16"/>
      <c r="E100" s="16"/>
      <c r="F100" s="16"/>
      <c r="G100" s="16"/>
    </row>
    <row r="101" spans="1:7" ht="15" customHeight="1" x14ac:dyDescent="0.2">
      <c r="A101" s="16"/>
      <c r="B101" s="16"/>
      <c r="C101" s="16"/>
      <c r="D101" s="16"/>
      <c r="E101" s="16"/>
      <c r="F101" s="16"/>
      <c r="G101" s="16"/>
    </row>
    <row r="102" spans="1:7" ht="15" customHeight="1" x14ac:dyDescent="0.2">
      <c r="A102" s="16"/>
      <c r="B102" s="16"/>
      <c r="C102" s="16"/>
      <c r="D102" s="16"/>
      <c r="E102" s="16"/>
      <c r="F102" s="16"/>
      <c r="G102" s="16"/>
    </row>
    <row r="103" spans="1:7" ht="15" customHeight="1" x14ac:dyDescent="0.2">
      <c r="A103" s="16"/>
      <c r="B103" s="16"/>
      <c r="C103" s="16"/>
      <c r="D103" s="16"/>
      <c r="E103" s="16"/>
      <c r="F103" s="16"/>
      <c r="G103" s="16"/>
    </row>
    <row r="104" spans="1:7" ht="15" customHeight="1" x14ac:dyDescent="0.2">
      <c r="A104" s="16"/>
      <c r="B104" s="16"/>
      <c r="C104" s="16"/>
      <c r="D104" s="16"/>
      <c r="E104" s="16"/>
      <c r="F104" s="16"/>
      <c r="G104" s="16"/>
    </row>
    <row r="105" spans="1:7" ht="15" customHeight="1" x14ac:dyDescent="0.2">
      <c r="A105" s="16"/>
      <c r="B105" s="16"/>
      <c r="C105" s="16"/>
      <c r="D105" s="16"/>
      <c r="E105" s="16"/>
      <c r="F105" s="16"/>
      <c r="G105" s="16"/>
    </row>
    <row r="106" spans="1:7" ht="15" customHeight="1" x14ac:dyDescent="0.2">
      <c r="A106" s="16"/>
      <c r="B106" s="16"/>
      <c r="C106" s="16"/>
      <c r="D106" s="16"/>
      <c r="E106" s="16"/>
      <c r="F106" s="16"/>
      <c r="G106" s="16"/>
    </row>
    <row r="107" spans="1:7" ht="15" customHeight="1" x14ac:dyDescent="0.2">
      <c r="A107" s="16"/>
      <c r="B107" s="16"/>
      <c r="C107" s="16"/>
      <c r="D107" s="16"/>
      <c r="E107" s="16"/>
      <c r="F107" s="16"/>
      <c r="G107" s="16"/>
    </row>
    <row r="108" spans="1:7" ht="15" customHeight="1" x14ac:dyDescent="0.2">
      <c r="A108" s="16"/>
      <c r="B108" s="16"/>
      <c r="C108" s="16"/>
      <c r="D108" s="16"/>
      <c r="E108" s="16"/>
      <c r="F108" s="16"/>
      <c r="G108" s="16"/>
    </row>
    <row r="109" spans="1:7" ht="15" customHeight="1" x14ac:dyDescent="0.2">
      <c r="A109" s="16"/>
      <c r="B109" s="16"/>
      <c r="C109" s="16"/>
      <c r="D109" s="16"/>
      <c r="E109" s="16"/>
      <c r="F109" s="16"/>
      <c r="G109" s="16"/>
    </row>
    <row r="110" spans="1:7" ht="15" customHeight="1" x14ac:dyDescent="0.2">
      <c r="A110" s="16"/>
      <c r="B110" s="16"/>
      <c r="C110" s="16"/>
      <c r="D110" s="16"/>
      <c r="E110" s="16"/>
      <c r="F110" s="16"/>
      <c r="G110" s="16"/>
    </row>
    <row r="111" spans="1:7" ht="15" customHeight="1" x14ac:dyDescent="0.2">
      <c r="A111" s="16"/>
      <c r="B111" s="16"/>
      <c r="C111" s="16"/>
      <c r="D111" s="16"/>
      <c r="E111" s="16"/>
      <c r="F111" s="16"/>
      <c r="G111" s="16"/>
    </row>
    <row r="112" spans="1:7" ht="15" customHeight="1" x14ac:dyDescent="0.2">
      <c r="A112" s="16"/>
      <c r="B112" s="16"/>
      <c r="C112" s="16"/>
      <c r="D112" s="16"/>
      <c r="E112" s="16"/>
      <c r="F112" s="16"/>
      <c r="G112" s="16"/>
    </row>
    <row r="113" spans="1:7" ht="15" customHeight="1" x14ac:dyDescent="0.2">
      <c r="A113" s="16"/>
      <c r="B113" s="16"/>
      <c r="C113" s="16"/>
      <c r="D113" s="16"/>
      <c r="E113" s="16"/>
      <c r="F113" s="16"/>
      <c r="G113" s="16"/>
    </row>
    <row r="114" spans="1:7" ht="15" customHeight="1" x14ac:dyDescent="0.2">
      <c r="A114" s="16"/>
      <c r="B114" s="16"/>
      <c r="C114" s="16"/>
      <c r="D114" s="16"/>
      <c r="E114" s="16"/>
      <c r="F114" s="16"/>
      <c r="G114" s="16"/>
    </row>
    <row r="115" spans="1:7" ht="15" customHeight="1" x14ac:dyDescent="0.2">
      <c r="A115" s="16"/>
      <c r="B115" s="16"/>
      <c r="C115" s="16"/>
      <c r="D115" s="16"/>
      <c r="E115" s="16"/>
      <c r="F115" s="16"/>
      <c r="G115" s="16"/>
    </row>
    <row r="116" spans="1:7" ht="15" customHeight="1" x14ac:dyDescent="0.2">
      <c r="A116" s="16"/>
      <c r="B116" s="16"/>
      <c r="C116" s="16"/>
      <c r="D116" s="16"/>
      <c r="E116" s="16"/>
      <c r="F116" s="16"/>
      <c r="G116" s="16"/>
    </row>
    <row r="117" spans="1:7" ht="15" customHeight="1" x14ac:dyDescent="0.2">
      <c r="A117" s="16"/>
      <c r="B117" s="16"/>
      <c r="C117" s="16"/>
      <c r="D117" s="16"/>
      <c r="E117" s="16"/>
      <c r="F117" s="16"/>
      <c r="G117" s="16"/>
    </row>
    <row r="118" spans="1:7" ht="15" customHeight="1" x14ac:dyDescent="0.2">
      <c r="A118" s="16"/>
      <c r="B118" s="16"/>
      <c r="C118" s="16"/>
      <c r="D118" s="16"/>
      <c r="E118" s="16"/>
      <c r="F118" s="16"/>
      <c r="G118" s="16"/>
    </row>
    <row r="119" spans="1:7" ht="15" customHeight="1" x14ac:dyDescent="0.2">
      <c r="A119" s="16"/>
      <c r="B119" s="16"/>
      <c r="C119" s="16"/>
      <c r="D119" s="16"/>
      <c r="E119" s="16"/>
      <c r="F119" s="16"/>
      <c r="G119" s="16"/>
    </row>
    <row r="120" spans="1:7" ht="15" customHeight="1" x14ac:dyDescent="0.2">
      <c r="A120" s="16"/>
      <c r="B120" s="16"/>
      <c r="C120" s="16"/>
      <c r="D120" s="16"/>
      <c r="E120" s="16"/>
      <c r="F120" s="16"/>
      <c r="G120" s="16"/>
    </row>
    <row r="121" spans="1:7" ht="15" customHeight="1" x14ac:dyDescent="0.2">
      <c r="A121" s="16"/>
      <c r="B121" s="16"/>
      <c r="C121" s="16"/>
      <c r="D121" s="16"/>
      <c r="E121" s="16"/>
      <c r="F121" s="16"/>
      <c r="G121" s="16"/>
    </row>
    <row r="122" spans="1:7" ht="15" customHeight="1" x14ac:dyDescent="0.2">
      <c r="A122" s="16"/>
      <c r="B122" s="16"/>
      <c r="C122" s="16"/>
      <c r="D122" s="16"/>
      <c r="E122" s="16"/>
      <c r="F122" s="16"/>
      <c r="G122" s="16"/>
    </row>
    <row r="123" spans="1:7" ht="15" customHeight="1" x14ac:dyDescent="0.2">
      <c r="A123" s="16"/>
      <c r="B123" s="16"/>
      <c r="C123" s="16"/>
      <c r="D123" s="16"/>
      <c r="E123" s="16"/>
      <c r="F123" s="16"/>
      <c r="G123" s="16"/>
    </row>
    <row r="124" spans="1:7" ht="15" customHeight="1" x14ac:dyDescent="0.2">
      <c r="A124" s="16"/>
      <c r="B124" s="16"/>
      <c r="C124" s="16"/>
      <c r="D124" s="16"/>
      <c r="E124" s="16"/>
      <c r="F124" s="16"/>
      <c r="G124" s="16"/>
    </row>
    <row r="125" spans="1:7" ht="15" customHeight="1" x14ac:dyDescent="0.2">
      <c r="A125" s="16"/>
      <c r="B125" s="16"/>
      <c r="C125" s="16"/>
      <c r="D125" s="16"/>
      <c r="E125" s="16"/>
      <c r="F125" s="16"/>
      <c r="G125" s="16"/>
    </row>
    <row r="126" spans="1:7" ht="15" customHeight="1" x14ac:dyDescent="0.2">
      <c r="A126" s="16"/>
      <c r="B126" s="16"/>
      <c r="C126" s="16"/>
      <c r="D126" s="16"/>
      <c r="E126" s="16"/>
      <c r="F126" s="16"/>
      <c r="G126" s="16"/>
    </row>
    <row r="127" spans="1:7" ht="15" customHeight="1" x14ac:dyDescent="0.2">
      <c r="A127" s="16"/>
      <c r="B127" s="16"/>
      <c r="C127" s="16"/>
      <c r="D127" s="16"/>
      <c r="E127" s="16"/>
      <c r="F127" s="16"/>
      <c r="G127" s="16"/>
    </row>
    <row r="128" spans="1:7" ht="15" customHeight="1" x14ac:dyDescent="0.2">
      <c r="A128" s="16"/>
      <c r="B128" s="16"/>
      <c r="C128" s="16"/>
      <c r="D128" s="16"/>
      <c r="E128" s="16"/>
      <c r="F128" s="16"/>
      <c r="G128" s="16"/>
    </row>
    <row r="129" spans="1:7" ht="15" customHeight="1" x14ac:dyDescent="0.2">
      <c r="A129" s="16"/>
      <c r="B129" s="16"/>
      <c r="C129" s="16"/>
      <c r="D129" s="16"/>
      <c r="E129" s="16"/>
      <c r="F129" s="16"/>
      <c r="G129" s="16"/>
    </row>
    <row r="130" spans="1:7" x14ac:dyDescent="0.2">
      <c r="A130" s="16"/>
      <c r="B130" s="16"/>
      <c r="C130" s="16"/>
      <c r="D130" s="16"/>
      <c r="E130" s="16"/>
      <c r="F130" s="16"/>
      <c r="G130" s="16"/>
    </row>
    <row r="131" spans="1:7" x14ac:dyDescent="0.2">
      <c r="A131" s="16"/>
      <c r="B131" s="16"/>
      <c r="C131" s="16"/>
      <c r="D131" s="16"/>
      <c r="E131" s="16"/>
      <c r="F131" s="16"/>
      <c r="G131" s="16"/>
    </row>
    <row r="132" spans="1:7" x14ac:dyDescent="0.2">
      <c r="A132" s="16"/>
      <c r="B132" s="16"/>
      <c r="C132" s="16"/>
      <c r="D132" s="16"/>
      <c r="E132" s="16"/>
      <c r="F132" s="16"/>
      <c r="G132" s="16"/>
    </row>
    <row r="133" spans="1:7" x14ac:dyDescent="0.2">
      <c r="A133" s="16"/>
      <c r="B133" s="16"/>
      <c r="C133" s="16"/>
      <c r="D133" s="16"/>
      <c r="E133" s="16"/>
      <c r="F133" s="16"/>
      <c r="G133" s="16"/>
    </row>
    <row r="134" spans="1:7" x14ac:dyDescent="0.2">
      <c r="A134" s="16"/>
      <c r="B134" s="16"/>
      <c r="C134" s="16"/>
      <c r="D134" s="16"/>
      <c r="E134" s="16"/>
      <c r="F134" s="16"/>
      <c r="G134" s="16"/>
    </row>
    <row r="135" spans="1:7" x14ac:dyDescent="0.2">
      <c r="A135" s="16"/>
      <c r="B135" s="16"/>
      <c r="C135" s="16"/>
      <c r="D135" s="16"/>
      <c r="E135" s="16"/>
      <c r="F135" s="16"/>
      <c r="G135" s="16"/>
    </row>
    <row r="136" spans="1:7" x14ac:dyDescent="0.2">
      <c r="A136" s="16"/>
      <c r="B136" s="16"/>
      <c r="C136" s="16"/>
      <c r="D136" s="16"/>
      <c r="E136" s="16"/>
      <c r="F136" s="16"/>
      <c r="G136" s="16"/>
    </row>
    <row r="137" spans="1:7" x14ac:dyDescent="0.2">
      <c r="A137" s="16"/>
      <c r="B137" s="16"/>
      <c r="C137" s="16"/>
      <c r="D137" s="16"/>
      <c r="E137" s="16"/>
      <c r="F137" s="16"/>
      <c r="G137" s="16"/>
    </row>
    <row r="138" spans="1:7" x14ac:dyDescent="0.2">
      <c r="A138" s="16"/>
      <c r="B138" s="16"/>
      <c r="C138" s="16"/>
      <c r="D138" s="16"/>
      <c r="E138" s="16"/>
      <c r="F138" s="16"/>
      <c r="G138" s="16"/>
    </row>
    <row r="139" spans="1:7" x14ac:dyDescent="0.2">
      <c r="A139" s="16"/>
      <c r="B139" s="16"/>
      <c r="C139" s="16"/>
      <c r="D139" s="16"/>
      <c r="E139" s="16"/>
      <c r="F139" s="16"/>
      <c r="G139" s="16"/>
    </row>
    <row r="140" spans="1:7" x14ac:dyDescent="0.2">
      <c r="A140" s="16"/>
      <c r="B140" s="16"/>
      <c r="C140" s="16"/>
      <c r="D140" s="16"/>
      <c r="E140" s="16"/>
      <c r="F140" s="16"/>
      <c r="G140" s="16"/>
    </row>
    <row r="141" spans="1:7" x14ac:dyDescent="0.2">
      <c r="A141" s="16"/>
      <c r="B141" s="16"/>
      <c r="C141" s="16"/>
      <c r="D141" s="16"/>
      <c r="E141" s="16"/>
      <c r="F141" s="16"/>
      <c r="G141" s="16"/>
    </row>
    <row r="142" spans="1:7" x14ac:dyDescent="0.2">
      <c r="A142" s="16"/>
      <c r="B142" s="16"/>
      <c r="C142" s="16"/>
      <c r="D142" s="16"/>
      <c r="E142" s="16"/>
      <c r="F142" s="16"/>
      <c r="G142" s="16"/>
    </row>
    <row r="143" spans="1:7" x14ac:dyDescent="0.2">
      <c r="A143" s="16"/>
      <c r="B143" s="16"/>
      <c r="C143" s="16"/>
      <c r="D143" s="16"/>
      <c r="E143" s="16"/>
      <c r="F143" s="16"/>
      <c r="G143" s="16"/>
    </row>
    <row r="144" spans="1:7" x14ac:dyDescent="0.2">
      <c r="A144" s="16"/>
      <c r="B144" s="16"/>
      <c r="C144" s="16"/>
      <c r="D144" s="16"/>
      <c r="E144" s="16"/>
      <c r="F144" s="16"/>
      <c r="G144" s="16"/>
    </row>
    <row r="145" spans="1:7" x14ac:dyDescent="0.2">
      <c r="A145" s="16"/>
      <c r="B145" s="16"/>
      <c r="C145" s="16"/>
      <c r="D145" s="16"/>
      <c r="E145" s="16"/>
      <c r="F145" s="16"/>
      <c r="G145" s="16"/>
    </row>
    <row r="146" spans="1:7" x14ac:dyDescent="0.2">
      <c r="A146" s="16"/>
      <c r="B146" s="16"/>
      <c r="C146" s="16"/>
      <c r="D146" s="16"/>
      <c r="E146" s="16"/>
      <c r="F146" s="16"/>
      <c r="G146" s="16"/>
    </row>
    <row r="147" spans="1:7" x14ac:dyDescent="0.2">
      <c r="A147" s="16"/>
      <c r="B147" s="16"/>
      <c r="C147" s="16"/>
      <c r="D147" s="16"/>
      <c r="E147" s="16"/>
      <c r="F147" s="16"/>
      <c r="G147" s="16"/>
    </row>
    <row r="148" spans="1:7" x14ac:dyDescent="0.2">
      <c r="A148" s="16"/>
      <c r="B148" s="16"/>
      <c r="C148" s="16"/>
      <c r="D148" s="16"/>
      <c r="E148" s="16"/>
      <c r="F148" s="16"/>
      <c r="G148" s="16"/>
    </row>
    <row r="149" spans="1:7" x14ac:dyDescent="0.2">
      <c r="A149" s="16"/>
      <c r="B149" s="16"/>
      <c r="C149" s="16"/>
      <c r="D149" s="16"/>
      <c r="E149" s="16"/>
      <c r="F149" s="16"/>
      <c r="G149" s="16"/>
    </row>
    <row r="150" spans="1:7" x14ac:dyDescent="0.2">
      <c r="A150" s="16"/>
      <c r="B150" s="16"/>
      <c r="C150" s="16"/>
      <c r="D150" s="16"/>
      <c r="E150" s="16"/>
      <c r="F150" s="16"/>
      <c r="G150" s="16"/>
    </row>
    <row r="151" spans="1:7" x14ac:dyDescent="0.2">
      <c r="A151" s="16"/>
      <c r="B151" s="16"/>
      <c r="C151" s="16"/>
      <c r="D151" s="16"/>
      <c r="E151" s="16"/>
      <c r="F151" s="16"/>
      <c r="G151" s="16"/>
    </row>
    <row r="152" spans="1:7" x14ac:dyDescent="0.2">
      <c r="A152" s="16"/>
      <c r="B152" s="16"/>
      <c r="C152" s="16"/>
      <c r="D152" s="16"/>
      <c r="E152" s="16"/>
      <c r="F152" s="16"/>
      <c r="G152" s="16"/>
    </row>
    <row r="153" spans="1:7" x14ac:dyDescent="0.2">
      <c r="A153" s="16"/>
      <c r="B153" s="16"/>
      <c r="C153" s="16"/>
      <c r="D153" s="16"/>
      <c r="E153" s="16"/>
      <c r="F153" s="16"/>
      <c r="G153" s="16"/>
    </row>
    <row r="154" spans="1:7" x14ac:dyDescent="0.2">
      <c r="A154" s="16"/>
      <c r="B154" s="16"/>
      <c r="C154" s="16"/>
      <c r="D154" s="16"/>
      <c r="E154" s="16"/>
      <c r="F154" s="16"/>
      <c r="G154" s="16"/>
    </row>
    <row r="155" spans="1:7" x14ac:dyDescent="0.2">
      <c r="A155" s="16"/>
      <c r="B155" s="16"/>
      <c r="C155" s="16"/>
      <c r="D155" s="16"/>
      <c r="E155" s="16"/>
      <c r="F155" s="16"/>
      <c r="G155" s="16"/>
    </row>
    <row r="156" spans="1:7" x14ac:dyDescent="0.2">
      <c r="A156" s="16"/>
      <c r="B156" s="16"/>
      <c r="C156" s="16"/>
      <c r="D156" s="16"/>
      <c r="E156" s="16"/>
      <c r="F156" s="16"/>
      <c r="G156" s="16"/>
    </row>
    <row r="157" spans="1:7" x14ac:dyDescent="0.2">
      <c r="A157" s="16"/>
      <c r="B157" s="16"/>
      <c r="C157" s="16"/>
      <c r="D157" s="16"/>
      <c r="E157" s="16"/>
      <c r="F157" s="16"/>
      <c r="G157" s="16"/>
    </row>
    <row r="158" spans="1:7" x14ac:dyDescent="0.2">
      <c r="A158" s="16"/>
      <c r="B158" s="16"/>
      <c r="C158" s="16"/>
      <c r="D158" s="16"/>
      <c r="E158" s="16"/>
      <c r="F158" s="16"/>
      <c r="G158" s="16"/>
    </row>
    <row r="159" spans="1:7" x14ac:dyDescent="0.2">
      <c r="A159" s="16"/>
      <c r="B159" s="16"/>
      <c r="C159" s="16"/>
      <c r="D159" s="16"/>
      <c r="E159" s="16"/>
      <c r="F159" s="16"/>
      <c r="G159" s="16"/>
    </row>
    <row r="160" spans="1:7" x14ac:dyDescent="0.2">
      <c r="A160" s="16"/>
      <c r="B160" s="16"/>
      <c r="C160" s="16"/>
      <c r="D160" s="16"/>
      <c r="E160" s="16"/>
      <c r="F160" s="16"/>
      <c r="G160" s="16"/>
    </row>
    <row r="161" spans="1:7" x14ac:dyDescent="0.2">
      <c r="A161" s="16"/>
      <c r="B161" s="16"/>
      <c r="C161" s="16"/>
      <c r="D161" s="16"/>
      <c r="E161" s="16"/>
      <c r="F161" s="16"/>
      <c r="G161" s="16"/>
    </row>
    <row r="162" spans="1:7" x14ac:dyDescent="0.2">
      <c r="A162" s="16"/>
      <c r="B162" s="16"/>
      <c r="C162" s="16"/>
      <c r="D162" s="16"/>
      <c r="E162" s="16"/>
      <c r="F162" s="16"/>
      <c r="G162" s="16"/>
    </row>
    <row r="163" spans="1:7" x14ac:dyDescent="0.2">
      <c r="A163" s="16"/>
      <c r="B163" s="16"/>
      <c r="C163" s="16"/>
      <c r="D163" s="16"/>
      <c r="E163" s="16"/>
      <c r="F163" s="16"/>
      <c r="G163" s="16"/>
    </row>
    <row r="164" spans="1:7" x14ac:dyDescent="0.2">
      <c r="A164" s="16"/>
      <c r="B164" s="16"/>
      <c r="C164" s="16"/>
      <c r="D164" s="16"/>
      <c r="E164" s="16"/>
      <c r="F164" s="16"/>
      <c r="G164" s="16"/>
    </row>
    <row r="165" spans="1:7" x14ac:dyDescent="0.2">
      <c r="A165" s="16"/>
      <c r="B165" s="16"/>
      <c r="C165" s="16"/>
      <c r="D165" s="16"/>
      <c r="E165" s="16"/>
      <c r="F165" s="16"/>
      <c r="G165" s="16"/>
    </row>
    <row r="166" spans="1:7" x14ac:dyDescent="0.2">
      <c r="A166" s="16"/>
      <c r="B166" s="16"/>
      <c r="C166" s="16"/>
      <c r="D166" s="16"/>
      <c r="E166" s="16"/>
      <c r="F166" s="16"/>
      <c r="G166" s="16"/>
    </row>
    <row r="167" spans="1:7" x14ac:dyDescent="0.2">
      <c r="A167" s="16"/>
      <c r="B167" s="16"/>
      <c r="C167" s="16"/>
      <c r="D167" s="16"/>
      <c r="E167" s="16"/>
      <c r="F167" s="16"/>
      <c r="G167" s="16"/>
    </row>
    <row r="168" spans="1:7" x14ac:dyDescent="0.2">
      <c r="A168" s="16"/>
      <c r="B168" s="16"/>
      <c r="C168" s="16"/>
      <c r="D168" s="16"/>
      <c r="E168" s="16"/>
      <c r="F168" s="16"/>
      <c r="G168" s="16"/>
    </row>
    <row r="169" spans="1:7" x14ac:dyDescent="0.2">
      <c r="A169" s="16"/>
      <c r="B169" s="16"/>
      <c r="C169" s="16"/>
      <c r="D169" s="16"/>
      <c r="E169" s="16"/>
      <c r="F169" s="16"/>
      <c r="G169" s="16"/>
    </row>
    <row r="170" spans="1:7" x14ac:dyDescent="0.2">
      <c r="A170" s="16"/>
      <c r="B170" s="16"/>
      <c r="C170" s="16"/>
      <c r="D170" s="16"/>
      <c r="E170" s="16"/>
      <c r="F170" s="16"/>
      <c r="G170" s="16"/>
    </row>
    <row r="171" spans="1:7" x14ac:dyDescent="0.2">
      <c r="A171" s="16"/>
      <c r="B171" s="16"/>
      <c r="C171" s="16"/>
      <c r="D171" s="16"/>
      <c r="E171" s="16"/>
      <c r="F171" s="16"/>
      <c r="G171" s="16"/>
    </row>
    <row r="172" spans="1:7" x14ac:dyDescent="0.2">
      <c r="A172" s="16"/>
      <c r="B172" s="16"/>
      <c r="C172" s="16"/>
      <c r="D172" s="16"/>
      <c r="E172" s="16"/>
      <c r="F172" s="16"/>
      <c r="G172" s="16"/>
    </row>
    <row r="173" spans="1:7" x14ac:dyDescent="0.2">
      <c r="A173" s="16"/>
      <c r="B173" s="16"/>
      <c r="C173" s="16"/>
      <c r="D173" s="16"/>
      <c r="E173" s="16"/>
      <c r="F173" s="16"/>
      <c r="G173" s="16"/>
    </row>
    <row r="174" spans="1:7" x14ac:dyDescent="0.2">
      <c r="A174" s="16"/>
      <c r="B174" s="16"/>
      <c r="C174" s="16"/>
      <c r="D174" s="16"/>
      <c r="E174" s="16"/>
      <c r="F174" s="16"/>
      <c r="G174" s="16"/>
    </row>
    <row r="175" spans="1:7" x14ac:dyDescent="0.2">
      <c r="A175" s="16"/>
      <c r="B175" s="16"/>
      <c r="C175" s="16"/>
      <c r="D175" s="16"/>
      <c r="E175" s="16"/>
      <c r="F175" s="16"/>
      <c r="G175" s="16"/>
    </row>
    <row r="176" spans="1:7" x14ac:dyDescent="0.2">
      <c r="A176" s="16"/>
      <c r="B176" s="16"/>
      <c r="C176" s="16"/>
      <c r="D176" s="16"/>
      <c r="E176" s="16"/>
      <c r="F176" s="16"/>
      <c r="G176" s="16"/>
    </row>
    <row r="177" spans="1:7" x14ac:dyDescent="0.2">
      <c r="A177" s="16"/>
      <c r="B177" s="16"/>
      <c r="C177" s="16"/>
      <c r="D177" s="16"/>
      <c r="E177" s="16"/>
      <c r="F177" s="16"/>
      <c r="G177" s="16"/>
    </row>
    <row r="178" spans="1:7" x14ac:dyDescent="0.2">
      <c r="A178" s="16"/>
      <c r="B178" s="16"/>
      <c r="C178" s="16"/>
      <c r="D178" s="16"/>
      <c r="E178" s="16"/>
      <c r="F178" s="16"/>
      <c r="G178" s="16"/>
    </row>
    <row r="179" spans="1:7" x14ac:dyDescent="0.2">
      <c r="A179" s="16"/>
      <c r="B179" s="16"/>
      <c r="C179" s="16"/>
      <c r="D179" s="16"/>
      <c r="E179" s="16"/>
      <c r="F179" s="16"/>
      <c r="G179" s="16"/>
    </row>
    <row r="180" spans="1:7" x14ac:dyDescent="0.2">
      <c r="A180" s="16"/>
      <c r="B180" s="16"/>
      <c r="C180" s="16"/>
      <c r="D180" s="16"/>
      <c r="E180" s="16"/>
      <c r="F180" s="16"/>
      <c r="G180" s="16"/>
    </row>
    <row r="181" spans="1:7" x14ac:dyDescent="0.2">
      <c r="A181" s="16"/>
      <c r="B181" s="16"/>
      <c r="C181" s="16"/>
      <c r="D181" s="16"/>
      <c r="E181" s="16"/>
      <c r="F181" s="16"/>
      <c r="G181" s="16"/>
    </row>
    <row r="182" spans="1:7" x14ac:dyDescent="0.2">
      <c r="A182" s="16"/>
      <c r="B182" s="16"/>
      <c r="C182" s="16"/>
      <c r="D182" s="16"/>
      <c r="E182" s="16"/>
      <c r="F182" s="16"/>
      <c r="G182" s="16"/>
    </row>
    <row r="183" spans="1:7" x14ac:dyDescent="0.2">
      <c r="A183" s="16"/>
      <c r="B183" s="16"/>
      <c r="C183" s="16"/>
      <c r="D183" s="16"/>
      <c r="E183" s="16"/>
      <c r="F183" s="16"/>
      <c r="G183" s="16"/>
    </row>
    <row r="184" spans="1:7" x14ac:dyDescent="0.2">
      <c r="A184" s="16"/>
      <c r="B184" s="16"/>
      <c r="C184" s="16"/>
      <c r="D184" s="16"/>
      <c r="E184" s="16"/>
      <c r="F184" s="16"/>
      <c r="G184" s="16"/>
    </row>
    <row r="185" spans="1:7" x14ac:dyDescent="0.2">
      <c r="A185" s="16"/>
      <c r="B185" s="16"/>
      <c r="C185" s="16"/>
      <c r="D185" s="16"/>
      <c r="E185" s="16"/>
      <c r="F185" s="16"/>
      <c r="G185" s="16"/>
    </row>
    <row r="186" spans="1:7" x14ac:dyDescent="0.2">
      <c r="A186" s="16"/>
      <c r="B186" s="16"/>
      <c r="C186" s="16"/>
      <c r="D186" s="16"/>
      <c r="E186" s="16"/>
      <c r="F186" s="16"/>
      <c r="G186" s="16"/>
    </row>
    <row r="187" spans="1:7" x14ac:dyDescent="0.2">
      <c r="A187" s="16"/>
      <c r="B187" s="16"/>
      <c r="C187" s="16"/>
      <c r="D187" s="16"/>
      <c r="E187" s="16"/>
      <c r="F187" s="16"/>
      <c r="G187" s="16"/>
    </row>
    <row r="188" spans="1:7" x14ac:dyDescent="0.2">
      <c r="A188" s="16"/>
      <c r="B188" s="16"/>
      <c r="C188" s="16"/>
      <c r="D188" s="16"/>
      <c r="E188" s="16"/>
      <c r="F188" s="16"/>
      <c r="G188" s="16"/>
    </row>
    <row r="189" spans="1:7" x14ac:dyDescent="0.2">
      <c r="A189" s="16"/>
      <c r="B189" s="16"/>
      <c r="C189" s="16"/>
      <c r="D189" s="16"/>
      <c r="E189" s="16"/>
      <c r="F189" s="16"/>
      <c r="G189" s="16"/>
    </row>
    <row r="190" spans="1:7" x14ac:dyDescent="0.2">
      <c r="A190" s="16"/>
      <c r="B190" s="16"/>
      <c r="C190" s="16"/>
      <c r="D190" s="16"/>
      <c r="E190" s="16"/>
      <c r="F190" s="16"/>
      <c r="G190" s="16"/>
    </row>
    <row r="191" spans="1:7" x14ac:dyDescent="0.2">
      <c r="A191" s="16"/>
      <c r="B191" s="16"/>
      <c r="C191" s="16"/>
      <c r="D191" s="16"/>
      <c r="E191" s="16"/>
      <c r="F191" s="16"/>
      <c r="G191" s="16"/>
    </row>
    <row r="192" spans="1:7" x14ac:dyDescent="0.2">
      <c r="A192" s="16"/>
      <c r="B192" s="16"/>
      <c r="C192" s="16"/>
      <c r="D192" s="16"/>
      <c r="E192" s="16"/>
      <c r="F192" s="16"/>
      <c r="G192" s="16"/>
    </row>
    <row r="193" spans="1:7" x14ac:dyDescent="0.2">
      <c r="A193" s="16"/>
      <c r="B193" s="16"/>
      <c r="C193" s="16"/>
      <c r="D193" s="16"/>
      <c r="E193" s="16"/>
      <c r="F193" s="16"/>
      <c r="G193" s="16"/>
    </row>
    <row r="194" spans="1:7" x14ac:dyDescent="0.2">
      <c r="A194" s="16"/>
      <c r="B194" s="16"/>
      <c r="C194" s="16"/>
      <c r="D194" s="16"/>
      <c r="E194" s="16"/>
      <c r="F194" s="16"/>
      <c r="G194" s="16"/>
    </row>
    <row r="195" spans="1:7" x14ac:dyDescent="0.2">
      <c r="A195" s="16"/>
      <c r="B195" s="16"/>
      <c r="C195" s="16"/>
      <c r="D195" s="16"/>
      <c r="E195" s="16"/>
      <c r="F195" s="16"/>
      <c r="G195" s="16"/>
    </row>
    <row r="196" spans="1:7" x14ac:dyDescent="0.2">
      <c r="A196" s="16"/>
      <c r="B196" s="16"/>
      <c r="C196" s="16"/>
      <c r="D196" s="16"/>
      <c r="E196" s="16"/>
      <c r="F196" s="16"/>
      <c r="G196" s="16"/>
    </row>
    <row r="197" spans="1:7" x14ac:dyDescent="0.2">
      <c r="A197" s="16"/>
      <c r="B197" s="16"/>
      <c r="C197" s="16"/>
      <c r="D197" s="16"/>
      <c r="E197" s="16"/>
      <c r="F197" s="16"/>
      <c r="G197" s="16"/>
    </row>
    <row r="198" spans="1:7" x14ac:dyDescent="0.2">
      <c r="A198" s="16"/>
      <c r="B198" s="16"/>
      <c r="C198" s="16"/>
      <c r="D198" s="16"/>
      <c r="E198" s="16"/>
      <c r="F198" s="16"/>
      <c r="G198" s="16"/>
    </row>
    <row r="199" spans="1:7" x14ac:dyDescent="0.2">
      <c r="A199" s="16"/>
      <c r="B199" s="16"/>
      <c r="C199" s="16"/>
      <c r="D199" s="16"/>
      <c r="E199" s="16"/>
      <c r="F199" s="16"/>
      <c r="G199" s="16"/>
    </row>
    <row r="200" spans="1:7" x14ac:dyDescent="0.2">
      <c r="A200" s="16"/>
      <c r="B200" s="16"/>
      <c r="C200" s="16"/>
      <c r="D200" s="16"/>
      <c r="E200" s="16"/>
      <c r="F200" s="16"/>
      <c r="G200" s="16"/>
    </row>
    <row r="201" spans="1:7" x14ac:dyDescent="0.2">
      <c r="A201" s="16"/>
      <c r="B201" s="16"/>
      <c r="C201" s="16"/>
      <c r="D201" s="16"/>
      <c r="E201" s="16"/>
      <c r="F201" s="16"/>
      <c r="G201" s="16"/>
    </row>
  </sheetData>
  <sheetProtection formatCells="0" formatColumns="0" formatRows="0"/>
  <mergeCells count="11">
    <mergeCell ref="N18:Q18"/>
    <mergeCell ref="J1:S1"/>
    <mergeCell ref="T1:AD1"/>
    <mergeCell ref="T3:AD3"/>
    <mergeCell ref="L14:R14"/>
    <mergeCell ref="N17:Q17"/>
    <mergeCell ref="U25:X25"/>
    <mergeCell ref="U29:X49"/>
    <mergeCell ref="Z29:AC49"/>
    <mergeCell ref="U54:X74"/>
    <mergeCell ref="Z54:AC74"/>
  </mergeCells>
  <conditionalFormatting sqref="B2">
    <cfRule type="cellIs" dxfId="11" priority="6" operator="greaterThan">
      <formula>0</formula>
    </cfRule>
  </conditionalFormatting>
  <conditionalFormatting sqref="B3:B7">
    <cfRule type="cellIs" dxfId="10" priority="5" operator="greaterThan">
      <formula>0</formula>
    </cfRule>
  </conditionalFormatting>
  <conditionalFormatting sqref="C8:C21">
    <cfRule type="cellIs" dxfId="9" priority="4" operator="greaterThan">
      <formula>0</formula>
    </cfRule>
  </conditionalFormatting>
  <conditionalFormatting sqref="G19">
    <cfRule type="cellIs" dxfId="8" priority="3" operator="greaterThan">
      <formula>0</formula>
    </cfRule>
  </conditionalFormatting>
  <conditionalFormatting sqref="B26:B58">
    <cfRule type="cellIs" dxfId="7" priority="2" operator="greaterThan">
      <formula>0</formula>
    </cfRule>
  </conditionalFormatting>
  <conditionalFormatting sqref="G20:G21">
    <cfRule type="cellIs" dxfId="6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'Ingreso Datos'!$M$18:$M$24</xm:f>
          </x14:formula1>
          <xm:sqref>G19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:AN201"/>
  <sheetViews>
    <sheetView topLeftCell="N1" zoomScaleNormal="100" workbookViewId="0">
      <selection activeCell="J14" sqref="J14"/>
    </sheetView>
  </sheetViews>
  <sheetFormatPr baseColWidth="10" defaultColWidth="9.625" defaultRowHeight="12" x14ac:dyDescent="0.2"/>
  <cols>
    <col min="1" max="1" width="15.625" style="2" customWidth="1"/>
    <col min="2" max="2" width="14.5" style="2" customWidth="1"/>
    <col min="3" max="3" width="9.625" style="2" customWidth="1"/>
    <col min="4" max="5" width="10.5" style="2" customWidth="1"/>
    <col min="6" max="6" width="24.375" style="2" customWidth="1"/>
    <col min="7" max="7" width="11.625" style="2" customWidth="1"/>
    <col min="8" max="8" width="6.25" style="2" customWidth="1"/>
    <col min="9" max="9" width="9.625" style="2"/>
    <col min="10" max="10" width="17.125" style="2" customWidth="1"/>
    <col min="11" max="12" width="12.375" style="2" customWidth="1"/>
    <col min="13" max="13" width="12.125" style="17" customWidth="1"/>
    <col min="14" max="14" width="7.125" style="17" customWidth="1"/>
    <col min="15" max="15" width="5.625" style="2" customWidth="1"/>
    <col min="16" max="16" width="14.625" style="2" customWidth="1"/>
    <col min="17" max="17" width="4.125" style="2" customWidth="1"/>
    <col min="18" max="18" width="8.875" style="2" customWidth="1"/>
    <col min="19" max="23" width="9.625" style="2"/>
    <col min="24" max="24" width="9.625" style="2" customWidth="1"/>
    <col min="25" max="25" width="4.75" style="2" customWidth="1"/>
    <col min="26" max="28" width="9.625" style="2"/>
    <col min="29" max="29" width="9.625" style="2" customWidth="1"/>
    <col min="30" max="30" width="9.125" style="21" customWidth="1"/>
    <col min="31" max="31" width="43.625" style="21" hidden="1" customWidth="1"/>
    <col min="32" max="32" width="0" style="21" hidden="1" customWidth="1"/>
    <col min="33" max="33" width="9.625" style="21"/>
    <col min="34" max="38" width="0" style="21" hidden="1" customWidth="1"/>
    <col min="39" max="40" width="9.625" style="21"/>
    <col min="41" max="16384" width="9.625" style="2"/>
  </cols>
  <sheetData>
    <row r="1" spans="1:39" ht="15" customHeight="1" x14ac:dyDescent="0.2">
      <c r="A1" s="1" t="s">
        <v>69</v>
      </c>
      <c r="B1" s="103" t="str">
        <f>+'Ingreso Datos'!C2</f>
        <v>C1BH-L12-L10-3+830-C</v>
      </c>
      <c r="D1" s="105" t="s">
        <v>75</v>
      </c>
      <c r="E1" s="106"/>
      <c r="F1" s="106"/>
      <c r="G1" s="107"/>
      <c r="J1" s="162" t="s">
        <v>31</v>
      </c>
      <c r="K1" s="162"/>
      <c r="L1" s="162"/>
      <c r="M1" s="162"/>
      <c r="N1" s="162"/>
      <c r="O1" s="162"/>
      <c r="P1" s="162"/>
      <c r="Q1" s="162"/>
      <c r="R1" s="162"/>
      <c r="S1" s="162"/>
      <c r="T1" s="163" t="str">
        <f>J1</f>
        <v>INFORME ENSAYO COMPRESIÓN UNIAXIAL SIMPLE EN MUESTRAS DE ROCA</v>
      </c>
      <c r="U1" s="163"/>
      <c r="V1" s="163"/>
      <c r="W1" s="163"/>
      <c r="X1" s="163"/>
      <c r="Y1" s="163"/>
      <c r="Z1" s="163"/>
      <c r="AA1" s="163"/>
      <c r="AB1" s="163"/>
      <c r="AC1" s="163"/>
      <c r="AD1" s="163"/>
    </row>
    <row r="2" spans="1:39" ht="15" customHeight="1" x14ac:dyDescent="0.2">
      <c r="A2" s="1" t="s">
        <v>68</v>
      </c>
      <c r="B2" s="104" t="s">
        <v>105</v>
      </c>
      <c r="D2" s="108" t="s">
        <v>76</v>
      </c>
      <c r="E2" s="109"/>
      <c r="F2" s="109"/>
      <c r="G2" s="110"/>
      <c r="M2" s="2"/>
      <c r="N2" s="2"/>
      <c r="AE2" s="95" t="str">
        <f>+CONCATENATE(A1,"  ",":","  ",B1)</f>
        <v>PROYECTO  :  C1BH-L12-L10-3+830-C</v>
      </c>
      <c r="AF2" s="94"/>
      <c r="AG2" s="94"/>
      <c r="AH2" s="94"/>
      <c r="AI2" s="94"/>
      <c r="AJ2" s="94"/>
      <c r="AK2" s="94"/>
      <c r="AL2" s="94"/>
      <c r="AM2" s="94"/>
    </row>
    <row r="3" spans="1:39" ht="15" customHeight="1" x14ac:dyDescent="0.2">
      <c r="A3" s="4" t="s">
        <v>23</v>
      </c>
      <c r="B3" s="143">
        <v>45426</v>
      </c>
      <c r="C3" s="5"/>
      <c r="D3" s="111" t="s">
        <v>58</v>
      </c>
      <c r="E3" s="112"/>
      <c r="F3" s="112"/>
      <c r="G3" s="113"/>
      <c r="J3" s="6" t="s">
        <v>1</v>
      </c>
      <c r="K3" s="7"/>
      <c r="L3" s="142" t="str">
        <f>B1</f>
        <v>C1BH-L12-L10-3+830-C</v>
      </c>
      <c r="M3" s="9"/>
      <c r="N3" s="10"/>
      <c r="O3" s="10"/>
      <c r="P3" s="10"/>
      <c r="Q3" s="10"/>
      <c r="R3" s="11"/>
      <c r="T3" s="164" t="s">
        <v>43</v>
      </c>
      <c r="U3" s="164"/>
      <c r="V3" s="164"/>
      <c r="W3" s="164"/>
      <c r="X3" s="164"/>
      <c r="Y3" s="164"/>
      <c r="Z3" s="164"/>
      <c r="AA3" s="164"/>
      <c r="AB3" s="164"/>
      <c r="AC3" s="164"/>
      <c r="AD3" s="164"/>
      <c r="AE3" s="95" t="str">
        <f>+CONCATENATE(A2,"  ",":","  ",B2)</f>
        <v xml:space="preserve">MUESTRA  :  C1BH-L12-L10-3+830-C (13,49-13,90) 	</v>
      </c>
      <c r="AF3" s="94"/>
      <c r="AG3" s="94"/>
      <c r="AH3" s="94"/>
      <c r="AI3" s="94"/>
      <c r="AJ3" s="94"/>
      <c r="AK3" s="94"/>
      <c r="AL3" s="94"/>
      <c r="AM3" s="94"/>
    </row>
    <row r="4" spans="1:39" ht="15" customHeight="1" x14ac:dyDescent="0.2">
      <c r="A4" s="12" t="s">
        <v>26</v>
      </c>
      <c r="B4" s="104" t="s">
        <v>100</v>
      </c>
      <c r="J4" s="13" t="s">
        <v>93</v>
      </c>
      <c r="K4" s="9"/>
      <c r="L4" s="14" t="str">
        <f>+'Ingreso Datos'!C3</f>
        <v>1.965.912-A</v>
      </c>
      <c r="M4" s="9"/>
      <c r="N4" s="10"/>
      <c r="O4" s="10"/>
      <c r="P4" s="10"/>
      <c r="Q4" s="10"/>
      <c r="R4" s="11"/>
      <c r="U4" s="134"/>
      <c r="V4" s="16"/>
      <c r="W4" s="17"/>
      <c r="X4" s="17"/>
      <c r="AE4" s="2" t="s">
        <v>70</v>
      </c>
    </row>
    <row r="5" spans="1:39" ht="15" customHeight="1" x14ac:dyDescent="0.2">
      <c r="A5" s="12" t="s">
        <v>27</v>
      </c>
      <c r="B5" s="104" t="s">
        <v>101</v>
      </c>
      <c r="J5" s="6" t="s">
        <v>13</v>
      </c>
      <c r="K5" s="7"/>
      <c r="L5" s="14" t="str">
        <f>+'Ingreso Datos'!C4</f>
        <v>-</v>
      </c>
      <c r="M5" s="9"/>
      <c r="N5" s="10"/>
      <c r="O5" s="10"/>
      <c r="P5" s="10"/>
      <c r="Q5" s="10"/>
      <c r="R5" s="11"/>
      <c r="U5" s="130"/>
      <c r="V5" s="131"/>
      <c r="W5" s="131"/>
      <c r="X5" s="132"/>
      <c r="Z5" s="130"/>
      <c r="AA5" s="131"/>
      <c r="AB5" s="131"/>
      <c r="AC5" s="132"/>
    </row>
    <row r="6" spans="1:39" ht="15" customHeight="1" x14ac:dyDescent="0.2">
      <c r="A6" s="12" t="s">
        <v>28</v>
      </c>
      <c r="B6" s="104" t="s">
        <v>102</v>
      </c>
      <c r="E6" s="18" t="s">
        <v>66</v>
      </c>
      <c r="F6" s="11">
        <f>+ROUND(AVERAGE(C8:C16),1)*10</f>
        <v>61</v>
      </c>
      <c r="G6" s="19" t="str">
        <f>+CONCATENATE("D",F6)</f>
        <v>D61</v>
      </c>
      <c r="J6" s="20" t="s">
        <v>14</v>
      </c>
      <c r="K6" s="9"/>
      <c r="L6" s="168">
        <f>B3</f>
        <v>45426</v>
      </c>
      <c r="M6" s="9"/>
      <c r="N6" s="10"/>
      <c r="O6" s="10"/>
      <c r="P6" s="10"/>
      <c r="Q6" s="10"/>
      <c r="R6" s="11"/>
      <c r="U6" s="133"/>
      <c r="V6" s="134"/>
      <c r="W6" s="134"/>
      <c r="X6" s="135"/>
      <c r="Z6" s="133"/>
      <c r="AA6" s="134"/>
      <c r="AB6" s="134"/>
      <c r="AC6" s="135"/>
    </row>
    <row r="7" spans="1:39" ht="15" customHeight="1" x14ac:dyDescent="0.2">
      <c r="A7" s="2" t="s">
        <v>67</v>
      </c>
      <c r="B7" s="104">
        <v>0.5</v>
      </c>
      <c r="C7" s="2" t="s">
        <v>80</v>
      </c>
      <c r="E7" s="22" t="s">
        <v>61</v>
      </c>
      <c r="F7" s="23"/>
      <c r="G7" s="24">
        <f>+AVERAGE(C8:C16)</f>
        <v>6.1233333333333331</v>
      </c>
      <c r="H7" s="2" t="s">
        <v>45</v>
      </c>
      <c r="J7" s="25" t="s">
        <v>15</v>
      </c>
      <c r="K7" s="26"/>
      <c r="L7" s="168">
        <f>B3</f>
        <v>45426</v>
      </c>
      <c r="M7" s="9"/>
      <c r="N7" s="10"/>
      <c r="O7" s="10"/>
      <c r="P7" s="10"/>
      <c r="Q7" s="10"/>
      <c r="R7" s="11"/>
      <c r="U7" s="133"/>
      <c r="V7" s="134"/>
      <c r="W7" s="134"/>
      <c r="X7" s="135"/>
      <c r="Z7" s="133"/>
      <c r="AA7" s="134"/>
      <c r="AB7" s="134"/>
      <c r="AC7" s="135"/>
    </row>
    <row r="8" spans="1:39" ht="15" customHeight="1" x14ac:dyDescent="0.2">
      <c r="A8" s="27" t="s">
        <v>32</v>
      </c>
      <c r="B8" s="11"/>
      <c r="C8" s="104">
        <v>6.13</v>
      </c>
      <c r="D8" s="2" t="s">
        <v>45</v>
      </c>
      <c r="E8" s="2" t="s">
        <v>65</v>
      </c>
      <c r="G8" s="2">
        <f>+G7*10</f>
        <v>61.233333333333334</v>
      </c>
      <c r="H8" s="2" t="s">
        <v>48</v>
      </c>
      <c r="J8" s="28"/>
      <c r="K8" s="28"/>
      <c r="L8" s="29"/>
      <c r="M8" s="30"/>
      <c r="U8" s="133"/>
      <c r="V8" s="134"/>
      <c r="W8" s="134"/>
      <c r="X8" s="135"/>
      <c r="Z8" s="133"/>
      <c r="AA8" s="134"/>
      <c r="AB8" s="134"/>
      <c r="AC8" s="135"/>
    </row>
    <row r="9" spans="1:39" ht="15" customHeight="1" x14ac:dyDescent="0.2">
      <c r="A9" s="27" t="s">
        <v>33</v>
      </c>
      <c r="B9" s="10"/>
      <c r="C9" s="104">
        <v>6.12</v>
      </c>
      <c r="D9" s="2" t="s">
        <v>45</v>
      </c>
      <c r="E9" s="22" t="s">
        <v>35</v>
      </c>
      <c r="F9" s="23"/>
      <c r="G9" s="31">
        <f>((G7/2)^2)*PI()</f>
        <v>29.448669942866264</v>
      </c>
      <c r="H9" s="32" t="s">
        <v>52</v>
      </c>
      <c r="J9" s="33" t="s">
        <v>55</v>
      </c>
      <c r="K9" s="28"/>
      <c r="L9" s="29"/>
      <c r="M9" s="30"/>
      <c r="U9" s="133"/>
      <c r="V9" s="134"/>
      <c r="W9" s="134"/>
      <c r="X9" s="135"/>
      <c r="Z9" s="133"/>
      <c r="AA9" s="134"/>
      <c r="AB9" s="134"/>
      <c r="AC9" s="135"/>
    </row>
    <row r="10" spans="1:39" ht="15" customHeight="1" x14ac:dyDescent="0.2">
      <c r="A10" s="27" t="s">
        <v>34</v>
      </c>
      <c r="B10" s="10"/>
      <c r="C10" s="104">
        <v>6.12</v>
      </c>
      <c r="D10" s="2" t="s">
        <v>45</v>
      </c>
      <c r="E10" s="34"/>
      <c r="F10" s="35"/>
      <c r="G10" s="36">
        <f>+G9*100</f>
        <v>2944.8669942866263</v>
      </c>
      <c r="H10" s="32" t="s">
        <v>62</v>
      </c>
      <c r="J10" s="13" t="s">
        <v>2</v>
      </c>
      <c r="K10" s="37"/>
      <c r="L10" s="38" t="str">
        <f>B2</f>
        <v xml:space="preserve">C1BH-L12-L10-3+830-C (13,49-13,90) 	</v>
      </c>
      <c r="M10" s="9"/>
      <c r="N10" s="10"/>
      <c r="O10" s="10"/>
      <c r="P10" s="10"/>
      <c r="Q10" s="10"/>
      <c r="R10" s="11"/>
      <c r="T10" s="134"/>
      <c r="U10" s="133"/>
      <c r="V10" s="134"/>
      <c r="W10" s="134"/>
      <c r="X10" s="135"/>
      <c r="Z10" s="133"/>
      <c r="AA10" s="134"/>
      <c r="AB10" s="134"/>
      <c r="AC10" s="135"/>
    </row>
    <row r="11" spans="1:39" ht="15" customHeight="1" x14ac:dyDescent="0.2">
      <c r="A11" s="27" t="s">
        <v>36</v>
      </c>
      <c r="B11" s="10"/>
      <c r="C11" s="104">
        <v>6.13</v>
      </c>
      <c r="D11" s="2" t="s">
        <v>45</v>
      </c>
      <c r="E11" s="39" t="s">
        <v>4</v>
      </c>
      <c r="F11" s="23"/>
      <c r="G11" s="40">
        <f>AVERAGE(C17:C19)</f>
        <v>13.36</v>
      </c>
      <c r="H11" s="41" t="s">
        <v>45</v>
      </c>
      <c r="J11" s="20" t="s">
        <v>26</v>
      </c>
      <c r="K11" s="42"/>
      <c r="L11" s="43" t="str">
        <f>B4</f>
        <v>Toba de lapilli lítica</v>
      </c>
      <c r="M11" s="44"/>
      <c r="N11" s="45"/>
      <c r="O11" s="10"/>
      <c r="P11" s="10"/>
      <c r="Q11" s="10"/>
      <c r="R11" s="11"/>
      <c r="T11" s="134"/>
      <c r="U11" s="133"/>
      <c r="V11" s="134"/>
      <c r="W11" s="134"/>
      <c r="X11" s="135"/>
      <c r="Z11" s="133"/>
      <c r="AA11" s="134"/>
      <c r="AB11" s="134"/>
      <c r="AC11" s="135"/>
    </row>
    <row r="12" spans="1:39" ht="15" customHeight="1" x14ac:dyDescent="0.2">
      <c r="A12" s="27" t="s">
        <v>37</v>
      </c>
      <c r="B12" s="10"/>
      <c r="C12" s="104">
        <v>6.12</v>
      </c>
      <c r="D12" s="2" t="s">
        <v>45</v>
      </c>
      <c r="E12" s="46"/>
      <c r="F12" s="47"/>
      <c r="G12" s="48">
        <f>+G11*10</f>
        <v>133.6</v>
      </c>
      <c r="H12" s="16" t="s">
        <v>48</v>
      </c>
      <c r="J12" s="20" t="s">
        <v>27</v>
      </c>
      <c r="K12" s="42"/>
      <c r="L12" s="142" t="str">
        <f>B5</f>
        <v>No presenta</v>
      </c>
      <c r="M12" s="44"/>
      <c r="N12" s="45"/>
      <c r="O12" s="10"/>
      <c r="P12" s="10"/>
      <c r="Q12" s="10"/>
      <c r="R12" s="11"/>
      <c r="T12" s="134"/>
      <c r="U12" s="133"/>
      <c r="V12" s="134"/>
      <c r="W12" s="134"/>
      <c r="X12" s="135"/>
      <c r="Z12" s="133"/>
      <c r="AA12" s="134"/>
      <c r="AB12" s="134"/>
      <c r="AC12" s="135"/>
    </row>
    <row r="13" spans="1:39" ht="15" customHeight="1" x14ac:dyDescent="0.2">
      <c r="A13" s="27" t="s">
        <v>38</v>
      </c>
      <c r="B13" s="10"/>
      <c r="C13" s="104">
        <v>6.12</v>
      </c>
      <c r="D13" s="2" t="s">
        <v>45</v>
      </c>
      <c r="E13" s="49" t="s">
        <v>6</v>
      </c>
      <c r="F13" s="47"/>
      <c r="G13" s="50">
        <f>(((G7)/2)^2)*PI()*G11</f>
        <v>393.43423043669327</v>
      </c>
      <c r="H13" s="32" t="s">
        <v>53</v>
      </c>
      <c r="J13" s="20" t="s">
        <v>28</v>
      </c>
      <c r="K13" s="42"/>
      <c r="L13" s="142" t="str">
        <f>B6</f>
        <v>Oxidación y zeolitización</v>
      </c>
      <c r="M13" s="44"/>
      <c r="N13" s="45"/>
      <c r="O13" s="10"/>
      <c r="P13" s="10"/>
      <c r="Q13" s="10"/>
      <c r="R13" s="11"/>
      <c r="T13" s="134"/>
      <c r="U13" s="133"/>
      <c r="V13" s="134"/>
      <c r="W13" s="134"/>
      <c r="X13" s="135"/>
      <c r="Z13" s="133"/>
      <c r="AA13" s="134"/>
      <c r="AB13" s="134"/>
      <c r="AC13" s="135"/>
    </row>
    <row r="14" spans="1:39" ht="30" customHeight="1" x14ac:dyDescent="0.2">
      <c r="A14" s="27" t="s">
        <v>39</v>
      </c>
      <c r="B14" s="10"/>
      <c r="C14" s="104">
        <v>6.13</v>
      </c>
      <c r="D14" s="2" t="s">
        <v>45</v>
      </c>
      <c r="E14" s="27" t="s">
        <v>10</v>
      </c>
      <c r="F14" s="11"/>
      <c r="G14" s="51">
        <f>(C20/G13)</f>
        <v>2.4948007165277342</v>
      </c>
      <c r="H14" s="32" t="s">
        <v>54</v>
      </c>
      <c r="J14" s="20" t="s">
        <v>18</v>
      </c>
      <c r="K14" s="42"/>
      <c r="L14" s="165" t="s">
        <v>108</v>
      </c>
      <c r="M14" s="166"/>
      <c r="N14" s="166"/>
      <c r="O14" s="166"/>
      <c r="P14" s="166"/>
      <c r="Q14" s="166"/>
      <c r="R14" s="167"/>
      <c r="T14" s="134"/>
      <c r="U14" s="133"/>
      <c r="V14" s="134"/>
      <c r="W14" s="134"/>
      <c r="X14" s="135"/>
      <c r="Z14" s="133"/>
      <c r="AA14" s="134"/>
      <c r="AB14" s="134"/>
      <c r="AC14" s="135"/>
    </row>
    <row r="15" spans="1:39" ht="15" customHeight="1" x14ac:dyDescent="0.2">
      <c r="A15" s="27" t="s">
        <v>40</v>
      </c>
      <c r="B15" s="10"/>
      <c r="C15" s="104">
        <v>6.12</v>
      </c>
      <c r="D15" s="2" t="s">
        <v>45</v>
      </c>
      <c r="E15" s="52" t="s">
        <v>7</v>
      </c>
      <c r="F15" s="11"/>
      <c r="G15" s="51">
        <f>(G14/(C21+100))*100</f>
        <v>2.453098049683121</v>
      </c>
      <c r="H15" s="32" t="s">
        <v>54</v>
      </c>
      <c r="J15" s="28"/>
      <c r="K15" s="28"/>
      <c r="L15" s="28"/>
      <c r="M15" s="30"/>
      <c r="T15" s="134"/>
      <c r="U15" s="133"/>
      <c r="V15" s="134"/>
      <c r="W15" s="134"/>
      <c r="X15" s="135"/>
      <c r="Z15" s="133"/>
      <c r="AA15" s="134"/>
      <c r="AB15" s="134"/>
      <c r="AC15" s="135"/>
    </row>
    <row r="16" spans="1:39" ht="15" customHeight="1" x14ac:dyDescent="0.2">
      <c r="A16" s="27" t="s">
        <v>41</v>
      </c>
      <c r="B16" s="10"/>
      <c r="C16" s="104">
        <v>6.12</v>
      </c>
      <c r="D16" s="2" t="s">
        <v>45</v>
      </c>
      <c r="E16" s="18" t="s">
        <v>60</v>
      </c>
      <c r="F16" s="11"/>
      <c r="G16" s="56">
        <f>G11/G7</f>
        <v>2.1818181818181817</v>
      </c>
      <c r="H16" s="57"/>
      <c r="J16" s="53" t="s">
        <v>24</v>
      </c>
      <c r="K16" s="54"/>
      <c r="L16" s="55"/>
      <c r="M16" s="16"/>
      <c r="N16" s="118" t="s">
        <v>83</v>
      </c>
      <c r="O16" s="119"/>
      <c r="T16" s="134"/>
      <c r="U16" s="133"/>
      <c r="V16" s="134"/>
      <c r="W16" s="134"/>
      <c r="X16" s="135"/>
      <c r="Z16" s="133"/>
      <c r="AA16" s="134"/>
      <c r="AB16" s="134"/>
      <c r="AC16" s="135"/>
    </row>
    <row r="17" spans="1:29" ht="15" customHeight="1" x14ac:dyDescent="0.2">
      <c r="A17" s="27" t="s">
        <v>20</v>
      </c>
      <c r="B17" s="10"/>
      <c r="C17" s="104">
        <v>13.36</v>
      </c>
      <c r="D17" s="2" t="s">
        <v>45</v>
      </c>
      <c r="H17" s="57"/>
      <c r="I17" s="32"/>
      <c r="J17" s="58" t="s">
        <v>61</v>
      </c>
      <c r="K17" s="59" t="s">
        <v>12</v>
      </c>
      <c r="L17" s="60">
        <f>+G7</f>
        <v>6.1233333333333331</v>
      </c>
      <c r="M17" s="139"/>
      <c r="N17" s="159" t="s">
        <v>82</v>
      </c>
      <c r="O17" s="160"/>
      <c r="P17" s="160"/>
      <c r="Q17" s="161"/>
      <c r="R17" s="140">
        <f>MAX(L27:L501)</f>
        <v>95.463915864998313</v>
      </c>
      <c r="T17" s="134"/>
      <c r="U17" s="133"/>
      <c r="V17" s="134"/>
      <c r="W17" s="134"/>
      <c r="X17" s="135"/>
      <c r="Z17" s="133"/>
      <c r="AA17" s="134"/>
      <c r="AB17" s="134"/>
      <c r="AC17" s="135"/>
    </row>
    <row r="18" spans="1:29" ht="15" customHeight="1" x14ac:dyDescent="0.2">
      <c r="A18" s="27" t="s">
        <v>21</v>
      </c>
      <c r="B18" s="10"/>
      <c r="C18" s="104">
        <v>13.36</v>
      </c>
      <c r="D18" s="2" t="s">
        <v>45</v>
      </c>
      <c r="I18" s="32"/>
      <c r="J18" s="62" t="s">
        <v>4</v>
      </c>
      <c r="K18" s="63" t="s">
        <v>12</v>
      </c>
      <c r="L18" s="60">
        <f>G11</f>
        <v>13.36</v>
      </c>
      <c r="M18" s="64"/>
      <c r="N18" s="159" t="str">
        <f>+CONCATENATE("Resistencia Máx. ",K25," [MPa]")</f>
        <v>Resistencia Máx. D61 [MPa]</v>
      </c>
      <c r="O18" s="160"/>
      <c r="P18" s="160"/>
      <c r="Q18" s="161"/>
      <c r="R18" s="140">
        <f>MAX(K27:K501)</f>
        <v>91.671780261640023</v>
      </c>
      <c r="T18" s="16"/>
      <c r="U18" s="133"/>
      <c r="V18" s="134"/>
      <c r="W18" s="134"/>
      <c r="X18" s="135"/>
      <c r="Z18" s="133"/>
      <c r="AA18" s="134"/>
      <c r="AB18" s="134"/>
      <c r="AC18" s="135"/>
    </row>
    <row r="19" spans="1:29" ht="15" customHeight="1" x14ac:dyDescent="0.2">
      <c r="A19" s="27" t="s">
        <v>22</v>
      </c>
      <c r="B19" s="10"/>
      <c r="C19" s="104">
        <v>13.36</v>
      </c>
      <c r="D19" s="2" t="s">
        <v>45</v>
      </c>
      <c r="E19" s="18" t="s">
        <v>30</v>
      </c>
      <c r="F19" s="11"/>
      <c r="G19" s="104" t="s">
        <v>85</v>
      </c>
      <c r="I19" s="32"/>
      <c r="J19" s="65" t="s">
        <v>10</v>
      </c>
      <c r="K19" s="66" t="s">
        <v>16</v>
      </c>
      <c r="L19" s="60">
        <f>G14</f>
        <v>2.4948007165277342</v>
      </c>
      <c r="M19" s="64"/>
      <c r="N19" s="2"/>
      <c r="T19" s="16"/>
      <c r="U19" s="133"/>
      <c r="V19" s="134"/>
      <c r="W19" s="134"/>
      <c r="X19" s="135"/>
      <c r="Z19" s="133"/>
      <c r="AA19" s="134"/>
      <c r="AB19" s="134"/>
      <c r="AC19" s="135"/>
    </row>
    <row r="20" spans="1:29" ht="15" customHeight="1" x14ac:dyDescent="0.2">
      <c r="A20" s="52" t="s">
        <v>5</v>
      </c>
      <c r="B20" s="10"/>
      <c r="C20" s="104">
        <v>981.54</v>
      </c>
      <c r="D20" s="16" t="s">
        <v>46</v>
      </c>
      <c r="E20" s="114" t="s">
        <v>78</v>
      </c>
      <c r="F20" s="115"/>
      <c r="G20" s="116"/>
      <c r="I20" s="57"/>
      <c r="J20" s="62" t="s">
        <v>7</v>
      </c>
      <c r="K20" s="66" t="s">
        <v>16</v>
      </c>
      <c r="L20" s="60">
        <f>G15</f>
        <v>2.453098049683121</v>
      </c>
      <c r="M20" s="64"/>
      <c r="N20" s="2"/>
      <c r="T20" s="16"/>
      <c r="U20" s="133"/>
      <c r="V20" s="134"/>
      <c r="W20" s="134"/>
      <c r="X20" s="135"/>
      <c r="Z20" s="133"/>
      <c r="AA20" s="134"/>
      <c r="AB20" s="134"/>
      <c r="AC20" s="135"/>
    </row>
    <row r="21" spans="1:29" ht="15" customHeight="1" x14ac:dyDescent="0.2">
      <c r="A21" s="18" t="s">
        <v>25</v>
      </c>
      <c r="B21" s="11"/>
      <c r="C21" s="104">
        <v>1.7</v>
      </c>
      <c r="D21" s="2" t="s">
        <v>47</v>
      </c>
      <c r="E21" s="117" t="s">
        <v>79</v>
      </c>
      <c r="F21" s="115"/>
      <c r="G21" s="116"/>
      <c r="I21" s="57"/>
      <c r="J21" s="65" t="s">
        <v>3</v>
      </c>
      <c r="K21" s="66" t="s">
        <v>0</v>
      </c>
      <c r="L21" s="60">
        <f>C21</f>
        <v>1.7</v>
      </c>
      <c r="M21" s="64"/>
      <c r="N21" s="2"/>
      <c r="T21" s="16"/>
      <c r="U21" s="133"/>
      <c r="V21" s="134"/>
      <c r="W21" s="134"/>
      <c r="X21" s="135"/>
      <c r="Z21" s="133"/>
      <c r="AA21" s="134"/>
      <c r="AB21" s="134"/>
      <c r="AC21" s="135"/>
    </row>
    <row r="22" spans="1:29" ht="15" customHeight="1" x14ac:dyDescent="0.2">
      <c r="H22" s="57"/>
      <c r="I22" s="57"/>
      <c r="N22" s="67"/>
      <c r="U22" s="133"/>
      <c r="V22" s="134"/>
      <c r="W22" s="134"/>
      <c r="X22" s="135"/>
      <c r="Z22" s="133"/>
      <c r="AA22" s="134"/>
      <c r="AB22" s="134"/>
      <c r="AC22" s="135"/>
    </row>
    <row r="23" spans="1:29" ht="15" customHeight="1" x14ac:dyDescent="0.2">
      <c r="A23" s="69" t="s">
        <v>59</v>
      </c>
      <c r="B23" s="69" t="s">
        <v>9</v>
      </c>
      <c r="C23" s="70" t="s">
        <v>8</v>
      </c>
      <c r="D23" s="69" t="s">
        <v>9</v>
      </c>
      <c r="E23" s="69" t="s">
        <v>42</v>
      </c>
      <c r="F23" s="69" t="s">
        <v>42</v>
      </c>
      <c r="G23" s="69" t="s">
        <v>42</v>
      </c>
      <c r="H23" s="57"/>
      <c r="I23" s="57"/>
      <c r="J23" s="3" t="s">
        <v>56</v>
      </c>
      <c r="M23" s="134"/>
      <c r="N23" s="134"/>
      <c r="O23" s="68"/>
      <c r="U23" s="133"/>
      <c r="V23" s="134"/>
      <c r="W23" s="134"/>
      <c r="X23" s="135"/>
      <c r="Z23" s="133"/>
      <c r="AA23" s="134"/>
      <c r="AB23" s="134"/>
      <c r="AC23" s="135"/>
    </row>
    <row r="24" spans="1:29" ht="15" customHeight="1" x14ac:dyDescent="0.2">
      <c r="E24" s="71" t="str">
        <f>G6</f>
        <v>D61</v>
      </c>
      <c r="F24" s="71" t="str">
        <f>G6</f>
        <v>D61</v>
      </c>
      <c r="G24" s="17" t="s">
        <v>64</v>
      </c>
      <c r="H24" s="57"/>
      <c r="I24" s="57"/>
      <c r="J24" s="70" t="s">
        <v>11</v>
      </c>
      <c r="K24" s="69" t="s">
        <v>44</v>
      </c>
      <c r="L24" s="69" t="s">
        <v>44</v>
      </c>
      <c r="M24" s="134"/>
      <c r="N24" s="134"/>
      <c r="O24" s="68"/>
      <c r="U24" s="136"/>
      <c r="V24" s="137"/>
      <c r="W24" s="137"/>
      <c r="X24" s="138"/>
      <c r="Z24" s="136"/>
      <c r="AA24" s="137"/>
      <c r="AB24" s="137"/>
      <c r="AC24" s="138"/>
    </row>
    <row r="25" spans="1:29" ht="15" customHeight="1" x14ac:dyDescent="0.2">
      <c r="A25" s="75" t="s">
        <v>50</v>
      </c>
      <c r="B25" s="75" t="s">
        <v>57</v>
      </c>
      <c r="C25" s="75" t="s">
        <v>0</v>
      </c>
      <c r="D25" s="75" t="s">
        <v>49</v>
      </c>
      <c r="E25" s="76" t="s">
        <v>19</v>
      </c>
      <c r="F25" s="75" t="s">
        <v>19</v>
      </c>
      <c r="G25" s="75" t="s">
        <v>19</v>
      </c>
      <c r="H25" s="57"/>
      <c r="I25" s="57"/>
      <c r="J25" s="72"/>
      <c r="K25" s="73" t="str">
        <f>+G6</f>
        <v>D61</v>
      </c>
      <c r="L25" s="74" t="s">
        <v>63</v>
      </c>
      <c r="M25" s="134"/>
      <c r="N25" s="134"/>
      <c r="O25" s="68"/>
      <c r="U25" s="158"/>
      <c r="V25" s="158"/>
      <c r="W25" s="158"/>
      <c r="X25" s="158"/>
      <c r="Z25" s="134"/>
      <c r="AA25" s="134"/>
      <c r="AB25" s="134"/>
      <c r="AC25" s="134"/>
    </row>
    <row r="26" spans="1:29" ht="15" customHeight="1" x14ac:dyDescent="0.2">
      <c r="A26" s="78">
        <v>0</v>
      </c>
      <c r="B26" s="104">
        <v>0</v>
      </c>
      <c r="C26" s="79">
        <v>0</v>
      </c>
      <c r="D26" s="79">
        <f>+IF(AND(B26&gt;0,B26&lt;=300),1.0191*B26-0.1003,IF(AND(B26=0),0,IF(AND(B26&gt;300,B26&lt;=3000),1.0117*B26-0.7581,"Error")))*1000</f>
        <v>0</v>
      </c>
      <c r="E26" s="79">
        <f t="shared" ref="E26:E58" si="0">D26/G$10</f>
        <v>0</v>
      </c>
      <c r="F26" s="80">
        <f>IF((G$11/G$7)&gt;2.5,(E26/(0.88+(0.222*(G$11/G$7)))),E26*1)</f>
        <v>0</v>
      </c>
      <c r="G26" s="81">
        <f>F26*((AVERAGE(G$8)/50)^0.2)</f>
        <v>0</v>
      </c>
      <c r="H26" s="16"/>
      <c r="J26" s="77" t="s">
        <v>0</v>
      </c>
      <c r="K26" s="77" t="s">
        <v>81</v>
      </c>
      <c r="L26" s="77" t="s">
        <v>81</v>
      </c>
      <c r="M26" s="134"/>
      <c r="N26" s="134"/>
      <c r="O26" s="5"/>
      <c r="U26" s="134"/>
      <c r="V26" s="134"/>
      <c r="W26" s="134"/>
      <c r="X26" s="134"/>
      <c r="Z26" s="134"/>
      <c r="AA26" s="134"/>
      <c r="AB26" s="134"/>
      <c r="AC26" s="134"/>
    </row>
    <row r="27" spans="1:29" ht="15" customHeight="1" x14ac:dyDescent="0.2">
      <c r="A27" s="78">
        <v>0.5</v>
      </c>
      <c r="B27" s="104">
        <v>12</v>
      </c>
      <c r="C27" s="79">
        <f>((A27*0.0045+0.0063)/$G$12)*100</f>
        <v>6.3997005988023952E-3</v>
      </c>
      <c r="D27" s="79">
        <f t="shared" ref="D27:D58" si="1">+IF(AND(B27&gt;0,B27&lt;=300),1.0191*B27-0.1003,IF(AND(B27=0),0,IF(AND(B27&gt;300,B27&lt;=3000),1.0117*B27-0.7581,"Error")))*1000</f>
        <v>12128.899999999998</v>
      </c>
      <c r="E27" s="79">
        <f t="shared" si="0"/>
        <v>4.1186579983175573</v>
      </c>
      <c r="F27" s="80">
        <f t="shared" ref="F27:F58" si="2">IF((G$11/G$7)&gt;2.5,(E27/(0.88+(0.222*(G$11/G$7)))),E27*1)</f>
        <v>4.1186579983175573</v>
      </c>
      <c r="G27" s="81">
        <f t="shared" ref="G27:G58" si="3">F27*((AVERAGE(G$8)/50)^0.2)</f>
        <v>4.2890322355026509</v>
      </c>
      <c r="H27" s="16"/>
      <c r="J27" s="60">
        <f t="shared" ref="J27:J59" si="4">C26</f>
        <v>0</v>
      </c>
      <c r="K27" s="141">
        <f t="shared" ref="K27:K59" si="5">F26</f>
        <v>0</v>
      </c>
      <c r="L27" s="141">
        <f>+G26</f>
        <v>0</v>
      </c>
      <c r="M27" s="82"/>
      <c r="N27" s="82"/>
      <c r="W27" s="17"/>
      <c r="X27" s="17"/>
    </row>
    <row r="28" spans="1:29" ht="15" customHeight="1" x14ac:dyDescent="0.2">
      <c r="A28" s="78">
        <v>20.5</v>
      </c>
      <c r="B28" s="104">
        <v>21</v>
      </c>
      <c r="C28" s="79">
        <f t="shared" ref="C28:C58" si="6">((A28*0.0045+0.0063)/$G$12)*100</f>
        <v>7.3764970059880239E-2</v>
      </c>
      <c r="D28" s="79">
        <f t="shared" si="1"/>
        <v>21300.799999999999</v>
      </c>
      <c r="E28" s="79">
        <f>D28/G$10</f>
        <v>7.2331959444436542</v>
      </c>
      <c r="F28" s="80">
        <f t="shared" si="2"/>
        <v>7.2331959444436542</v>
      </c>
      <c r="G28" s="81">
        <f>F28*((AVERAGE(G$8)/50)^0.2)</f>
        <v>7.5324075424807582</v>
      </c>
      <c r="H28" s="16"/>
      <c r="J28" s="60">
        <f t="shared" si="4"/>
        <v>6.3997005988023952E-3</v>
      </c>
      <c r="K28" s="141">
        <f t="shared" si="5"/>
        <v>4.1186579983175573</v>
      </c>
      <c r="L28" s="141">
        <f t="shared" ref="L28:L59" si="7">+G27</f>
        <v>4.2890322355026509</v>
      </c>
      <c r="M28" s="82"/>
      <c r="N28" s="82"/>
      <c r="W28" s="17"/>
      <c r="X28" s="17"/>
    </row>
    <row r="29" spans="1:29" ht="15" customHeight="1" x14ac:dyDescent="0.2">
      <c r="A29" s="78">
        <v>43.2</v>
      </c>
      <c r="B29" s="104">
        <v>30</v>
      </c>
      <c r="C29" s="79">
        <f t="shared" si="6"/>
        <v>0.15022455089820358</v>
      </c>
      <c r="D29" s="79">
        <f t="shared" si="1"/>
        <v>30472.699999999997</v>
      </c>
      <c r="E29" s="79">
        <f t="shared" si="0"/>
        <v>10.347733890569749</v>
      </c>
      <c r="F29" s="80">
        <f t="shared" si="2"/>
        <v>10.347733890569749</v>
      </c>
      <c r="G29" s="81">
        <f t="shared" si="3"/>
        <v>10.775782849458865</v>
      </c>
      <c r="H29" s="16"/>
      <c r="J29" s="60">
        <f t="shared" si="4"/>
        <v>7.3764970059880239E-2</v>
      </c>
      <c r="K29" s="141">
        <f t="shared" si="5"/>
        <v>7.2331959444436542</v>
      </c>
      <c r="L29" s="141">
        <f t="shared" si="7"/>
        <v>7.5324075424807582</v>
      </c>
      <c r="M29" s="82"/>
      <c r="N29" s="82"/>
      <c r="U29" s="149"/>
      <c r="V29" s="150"/>
      <c r="W29" s="150"/>
      <c r="X29" s="151"/>
      <c r="Z29" s="149"/>
      <c r="AA29" s="150"/>
      <c r="AB29" s="150"/>
      <c r="AC29" s="151"/>
    </row>
    <row r="30" spans="1:29" ht="15" customHeight="1" x14ac:dyDescent="0.2">
      <c r="A30" s="78">
        <v>69.3</v>
      </c>
      <c r="B30" s="104">
        <v>41</v>
      </c>
      <c r="C30" s="79">
        <f t="shared" si="6"/>
        <v>0.23813622754491015</v>
      </c>
      <c r="D30" s="79">
        <f t="shared" si="1"/>
        <v>41682.800000000003</v>
      </c>
      <c r="E30" s="79">
        <f t="shared" si="0"/>
        <v>14.154391380279424</v>
      </c>
      <c r="F30" s="80">
        <f t="shared" si="2"/>
        <v>14.154391380279424</v>
      </c>
      <c r="G30" s="81">
        <f t="shared" si="3"/>
        <v>14.73990822465433</v>
      </c>
      <c r="J30" s="60">
        <f t="shared" si="4"/>
        <v>0.15022455089820358</v>
      </c>
      <c r="K30" s="141">
        <f t="shared" si="5"/>
        <v>10.347733890569749</v>
      </c>
      <c r="L30" s="141">
        <f t="shared" si="7"/>
        <v>10.775782849458865</v>
      </c>
      <c r="M30" s="82"/>
      <c r="N30" s="82"/>
      <c r="U30" s="152"/>
      <c r="V30" s="153"/>
      <c r="W30" s="153"/>
      <c r="X30" s="154"/>
      <c r="Z30" s="152"/>
      <c r="AA30" s="153"/>
      <c r="AB30" s="153"/>
      <c r="AC30" s="154"/>
    </row>
    <row r="31" spans="1:29" ht="15" customHeight="1" x14ac:dyDescent="0.2">
      <c r="A31" s="78">
        <v>80.3</v>
      </c>
      <c r="B31" s="104">
        <v>46</v>
      </c>
      <c r="C31" s="79">
        <f t="shared" si="6"/>
        <v>0.2751871257485029</v>
      </c>
      <c r="D31" s="79">
        <f t="shared" si="1"/>
        <v>46778.299999999996</v>
      </c>
      <c r="E31" s="79">
        <f t="shared" si="0"/>
        <v>15.884690239238365</v>
      </c>
      <c r="F31" s="80">
        <f t="shared" si="2"/>
        <v>15.884690239238365</v>
      </c>
      <c r="G31" s="81">
        <f t="shared" si="3"/>
        <v>16.541783395197722</v>
      </c>
      <c r="J31" s="60">
        <f t="shared" si="4"/>
        <v>0.23813622754491015</v>
      </c>
      <c r="K31" s="141">
        <f t="shared" si="5"/>
        <v>14.154391380279424</v>
      </c>
      <c r="L31" s="141">
        <f t="shared" si="7"/>
        <v>14.73990822465433</v>
      </c>
      <c r="M31" s="82"/>
      <c r="N31" s="82"/>
      <c r="U31" s="152"/>
      <c r="V31" s="153"/>
      <c r="W31" s="153"/>
      <c r="X31" s="154"/>
      <c r="Z31" s="152"/>
      <c r="AA31" s="153"/>
      <c r="AB31" s="153"/>
      <c r="AC31" s="154"/>
    </row>
    <row r="32" spans="1:29" ht="15" customHeight="1" x14ac:dyDescent="0.2">
      <c r="A32" s="78">
        <v>96.3</v>
      </c>
      <c r="B32" s="104">
        <v>54</v>
      </c>
      <c r="C32" s="79">
        <f t="shared" si="6"/>
        <v>0.32907934131736527</v>
      </c>
      <c r="D32" s="79">
        <f t="shared" si="1"/>
        <v>54931.099999999991</v>
      </c>
      <c r="E32" s="79">
        <f t="shared" si="0"/>
        <v>18.653168413572672</v>
      </c>
      <c r="F32" s="80">
        <f t="shared" si="2"/>
        <v>18.653168413572672</v>
      </c>
      <c r="G32" s="81">
        <f t="shared" si="3"/>
        <v>19.42478366806715</v>
      </c>
      <c r="H32" s="83"/>
      <c r="I32" s="83"/>
      <c r="J32" s="60">
        <f t="shared" si="4"/>
        <v>0.2751871257485029</v>
      </c>
      <c r="K32" s="141">
        <f t="shared" si="5"/>
        <v>15.884690239238365</v>
      </c>
      <c r="L32" s="141">
        <f t="shared" si="7"/>
        <v>16.541783395197722</v>
      </c>
      <c r="N32" s="82"/>
      <c r="U32" s="152"/>
      <c r="V32" s="153"/>
      <c r="W32" s="153"/>
      <c r="X32" s="154"/>
      <c r="Z32" s="152"/>
      <c r="AA32" s="153"/>
      <c r="AB32" s="153"/>
      <c r="AC32" s="154"/>
    </row>
    <row r="33" spans="1:29" ht="15" customHeight="1" x14ac:dyDescent="0.2">
      <c r="A33" s="78">
        <v>104.6</v>
      </c>
      <c r="B33" s="104">
        <v>59</v>
      </c>
      <c r="C33" s="79">
        <f t="shared" si="6"/>
        <v>0.35703592814371254</v>
      </c>
      <c r="D33" s="79">
        <f t="shared" si="1"/>
        <v>60026.599999999991</v>
      </c>
      <c r="E33" s="79">
        <f t="shared" si="0"/>
        <v>20.383467272531615</v>
      </c>
      <c r="F33" s="80">
        <f t="shared" si="2"/>
        <v>20.383467272531615</v>
      </c>
      <c r="G33" s="81">
        <f t="shared" si="3"/>
        <v>21.226658838610543</v>
      </c>
      <c r="H33" s="84"/>
      <c r="I33" s="84"/>
      <c r="J33" s="60">
        <f t="shared" si="4"/>
        <v>0.32907934131736527</v>
      </c>
      <c r="K33" s="141">
        <f t="shared" si="5"/>
        <v>18.653168413572672</v>
      </c>
      <c r="L33" s="141">
        <f t="shared" si="7"/>
        <v>19.42478366806715</v>
      </c>
      <c r="M33" s="82"/>
      <c r="N33" s="82"/>
      <c r="U33" s="152"/>
      <c r="V33" s="153"/>
      <c r="W33" s="153"/>
      <c r="X33" s="154"/>
      <c r="Z33" s="152"/>
      <c r="AA33" s="153"/>
      <c r="AB33" s="153"/>
      <c r="AC33" s="154"/>
    </row>
    <row r="34" spans="1:29" ht="15" customHeight="1" x14ac:dyDescent="0.2">
      <c r="A34" s="78">
        <v>124.2</v>
      </c>
      <c r="B34" s="104">
        <v>70</v>
      </c>
      <c r="C34" s="79">
        <f t="shared" si="6"/>
        <v>0.42305389221556883</v>
      </c>
      <c r="D34" s="79">
        <f t="shared" si="1"/>
        <v>71236.699999999983</v>
      </c>
      <c r="E34" s="79">
        <f t="shared" si="0"/>
        <v>24.190124762241286</v>
      </c>
      <c r="F34" s="80">
        <f t="shared" si="2"/>
        <v>24.190124762241286</v>
      </c>
      <c r="G34" s="81">
        <f t="shared" si="3"/>
        <v>25.190784213806005</v>
      </c>
      <c r="H34" s="84"/>
      <c r="I34" s="84"/>
      <c r="J34" s="60">
        <f t="shared" si="4"/>
        <v>0.35703592814371254</v>
      </c>
      <c r="K34" s="141">
        <f t="shared" si="5"/>
        <v>20.383467272531615</v>
      </c>
      <c r="L34" s="141">
        <f t="shared" si="7"/>
        <v>21.226658838610543</v>
      </c>
      <c r="M34" s="82"/>
      <c r="N34" s="82"/>
      <c r="O34" s="68"/>
      <c r="U34" s="152"/>
      <c r="V34" s="153"/>
      <c r="W34" s="153"/>
      <c r="X34" s="154"/>
      <c r="Z34" s="152"/>
      <c r="AA34" s="153"/>
      <c r="AB34" s="153"/>
      <c r="AC34" s="154"/>
    </row>
    <row r="35" spans="1:29" ht="15" customHeight="1" x14ac:dyDescent="0.2">
      <c r="A35" s="78">
        <v>131.9</v>
      </c>
      <c r="B35" s="104">
        <v>75</v>
      </c>
      <c r="C35" s="79">
        <f t="shared" si="6"/>
        <v>0.44898952095808387</v>
      </c>
      <c r="D35" s="79">
        <f t="shared" si="1"/>
        <v>76332.199999999983</v>
      </c>
      <c r="E35" s="79">
        <f t="shared" si="0"/>
        <v>25.920423621200229</v>
      </c>
      <c r="F35" s="80">
        <f t="shared" si="2"/>
        <v>25.920423621200229</v>
      </c>
      <c r="G35" s="81">
        <f t="shared" si="3"/>
        <v>26.992659384349398</v>
      </c>
      <c r="H35" s="83"/>
      <c r="I35" s="83"/>
      <c r="J35" s="60">
        <f t="shared" si="4"/>
        <v>0.42305389221556883</v>
      </c>
      <c r="K35" s="141">
        <f t="shared" si="5"/>
        <v>24.190124762241286</v>
      </c>
      <c r="L35" s="141">
        <f t="shared" si="7"/>
        <v>25.190784213806005</v>
      </c>
      <c r="M35" s="82"/>
      <c r="O35" s="68"/>
      <c r="U35" s="152"/>
      <c r="V35" s="153"/>
      <c r="W35" s="153"/>
      <c r="X35" s="154"/>
      <c r="Z35" s="152"/>
      <c r="AA35" s="153"/>
      <c r="AB35" s="153"/>
      <c r="AC35" s="154"/>
    </row>
    <row r="36" spans="1:29" ht="15" customHeight="1" x14ac:dyDescent="0.2">
      <c r="A36" s="78">
        <v>143.4</v>
      </c>
      <c r="B36" s="104">
        <v>83</v>
      </c>
      <c r="C36" s="79">
        <f t="shared" si="6"/>
        <v>0.4877245508982036</v>
      </c>
      <c r="D36" s="79">
        <f t="shared" si="1"/>
        <v>84484.999999999985</v>
      </c>
      <c r="E36" s="79">
        <f t="shared" si="0"/>
        <v>28.688901795534537</v>
      </c>
      <c r="F36" s="80">
        <f t="shared" si="2"/>
        <v>28.688901795534537</v>
      </c>
      <c r="G36" s="81">
        <f t="shared" si="3"/>
        <v>29.875659657218829</v>
      </c>
      <c r="H36" s="134"/>
      <c r="I36" s="134"/>
      <c r="J36" s="60">
        <f t="shared" si="4"/>
        <v>0.44898952095808387</v>
      </c>
      <c r="K36" s="141">
        <f t="shared" si="5"/>
        <v>25.920423621200229</v>
      </c>
      <c r="L36" s="141">
        <f t="shared" si="7"/>
        <v>26.992659384349398</v>
      </c>
      <c r="O36" s="68"/>
      <c r="U36" s="152"/>
      <c r="V36" s="153"/>
      <c r="W36" s="153"/>
      <c r="X36" s="154"/>
      <c r="Z36" s="152"/>
      <c r="AA36" s="153"/>
      <c r="AB36" s="153"/>
      <c r="AC36" s="154"/>
    </row>
    <row r="37" spans="1:29" ht="15" customHeight="1" x14ac:dyDescent="0.2">
      <c r="A37" s="78">
        <v>150.5</v>
      </c>
      <c r="B37" s="104">
        <v>88</v>
      </c>
      <c r="C37" s="79">
        <f t="shared" si="6"/>
        <v>0.51163922155688613</v>
      </c>
      <c r="D37" s="79">
        <f t="shared" si="1"/>
        <v>89580.499999999985</v>
      </c>
      <c r="E37" s="79">
        <f t="shared" si="0"/>
        <v>30.41920065449348</v>
      </c>
      <c r="F37" s="80">
        <f t="shared" si="2"/>
        <v>30.41920065449348</v>
      </c>
      <c r="G37" s="81">
        <f t="shared" si="3"/>
        <v>31.677534827762223</v>
      </c>
      <c r="H37" s="85"/>
      <c r="I37" s="85"/>
      <c r="J37" s="60">
        <f t="shared" si="4"/>
        <v>0.4877245508982036</v>
      </c>
      <c r="K37" s="141">
        <f t="shared" si="5"/>
        <v>28.688901795534537</v>
      </c>
      <c r="L37" s="141">
        <f t="shared" si="7"/>
        <v>29.875659657218829</v>
      </c>
      <c r="O37" s="68"/>
      <c r="U37" s="152"/>
      <c r="V37" s="153"/>
      <c r="W37" s="153"/>
      <c r="X37" s="154"/>
      <c r="Z37" s="152"/>
      <c r="AA37" s="153"/>
      <c r="AB37" s="153"/>
      <c r="AC37" s="154"/>
    </row>
    <row r="38" spans="1:29" ht="15" customHeight="1" x14ac:dyDescent="0.2">
      <c r="A38" s="78">
        <v>164.9</v>
      </c>
      <c r="B38" s="104">
        <v>98</v>
      </c>
      <c r="C38" s="79">
        <f t="shared" si="6"/>
        <v>0.56014221556886223</v>
      </c>
      <c r="D38" s="79">
        <f t="shared" si="1"/>
        <v>99771.499999999985</v>
      </c>
      <c r="E38" s="79">
        <f t="shared" si="0"/>
        <v>33.879798372411365</v>
      </c>
      <c r="F38" s="80">
        <f t="shared" si="2"/>
        <v>33.879798372411365</v>
      </c>
      <c r="G38" s="81">
        <f t="shared" si="3"/>
        <v>35.28128516884901</v>
      </c>
      <c r="H38" s="85"/>
      <c r="I38" s="85"/>
      <c r="J38" s="60">
        <f t="shared" si="4"/>
        <v>0.51163922155688613</v>
      </c>
      <c r="K38" s="141">
        <f t="shared" si="5"/>
        <v>30.41920065449348</v>
      </c>
      <c r="L38" s="141">
        <f t="shared" si="7"/>
        <v>31.677534827762223</v>
      </c>
      <c r="O38" s="68"/>
      <c r="U38" s="152"/>
      <c r="V38" s="153"/>
      <c r="W38" s="153"/>
      <c r="X38" s="154"/>
      <c r="Z38" s="152"/>
      <c r="AA38" s="153"/>
      <c r="AB38" s="153"/>
      <c r="AC38" s="154"/>
    </row>
    <row r="39" spans="1:29" ht="15" customHeight="1" x14ac:dyDescent="0.2">
      <c r="A39" s="78">
        <v>173.6</v>
      </c>
      <c r="B39" s="104">
        <v>105</v>
      </c>
      <c r="C39" s="79">
        <f t="shared" si="6"/>
        <v>0.58944610778443107</v>
      </c>
      <c r="D39" s="79">
        <f t="shared" si="1"/>
        <v>106905.19999999998</v>
      </c>
      <c r="E39" s="79">
        <f t="shared" si="0"/>
        <v>36.302216774953884</v>
      </c>
      <c r="F39" s="80">
        <f t="shared" si="2"/>
        <v>36.302216774953884</v>
      </c>
      <c r="G39" s="81">
        <f t="shared" si="3"/>
        <v>37.803910407609756</v>
      </c>
      <c r="H39" s="85"/>
      <c r="I39" s="85"/>
      <c r="J39" s="60">
        <f t="shared" si="4"/>
        <v>0.56014221556886223</v>
      </c>
      <c r="K39" s="141">
        <f t="shared" si="5"/>
        <v>33.879798372411365</v>
      </c>
      <c r="L39" s="141">
        <f t="shared" si="7"/>
        <v>35.28128516884901</v>
      </c>
      <c r="O39" s="68"/>
      <c r="U39" s="152"/>
      <c r="V39" s="153"/>
      <c r="W39" s="153"/>
      <c r="X39" s="154"/>
      <c r="Z39" s="152"/>
      <c r="AA39" s="153"/>
      <c r="AB39" s="153"/>
      <c r="AC39" s="154"/>
    </row>
    <row r="40" spans="1:29" ht="15" customHeight="1" x14ac:dyDescent="0.2">
      <c r="A40" s="78">
        <v>181.9</v>
      </c>
      <c r="B40" s="104">
        <v>112</v>
      </c>
      <c r="C40" s="79">
        <f t="shared" si="6"/>
        <v>0.61740269461077846</v>
      </c>
      <c r="D40" s="79">
        <f t="shared" si="1"/>
        <v>114038.89999999998</v>
      </c>
      <c r="E40" s="79">
        <f t="shared" si="0"/>
        <v>38.724635177496403</v>
      </c>
      <c r="F40" s="80">
        <f t="shared" si="2"/>
        <v>38.724635177496403</v>
      </c>
      <c r="G40" s="81">
        <f t="shared" si="3"/>
        <v>40.326535646370509</v>
      </c>
      <c r="H40" s="85"/>
      <c r="I40" s="85"/>
      <c r="J40" s="60">
        <f t="shared" si="4"/>
        <v>0.58944610778443107</v>
      </c>
      <c r="K40" s="141">
        <f t="shared" si="5"/>
        <v>36.302216774953884</v>
      </c>
      <c r="L40" s="141">
        <f t="shared" si="7"/>
        <v>37.803910407609756</v>
      </c>
      <c r="O40" s="68"/>
      <c r="U40" s="152"/>
      <c r="V40" s="153"/>
      <c r="W40" s="153"/>
      <c r="X40" s="154"/>
      <c r="Z40" s="152"/>
      <c r="AA40" s="153"/>
      <c r="AB40" s="153"/>
      <c r="AC40" s="154"/>
    </row>
    <row r="41" spans="1:29" ht="15" customHeight="1" x14ac:dyDescent="0.2">
      <c r="A41" s="78">
        <v>188.9</v>
      </c>
      <c r="B41" s="104">
        <v>117</v>
      </c>
      <c r="C41" s="79">
        <f t="shared" si="6"/>
        <v>0.64098053892215567</v>
      </c>
      <c r="D41" s="79">
        <f t="shared" si="1"/>
        <v>119134.39999999998</v>
      </c>
      <c r="E41" s="79">
        <f t="shared" si="0"/>
        <v>40.454934036455342</v>
      </c>
      <c r="F41" s="80">
        <f t="shared" si="2"/>
        <v>40.454934036455342</v>
      </c>
      <c r="G41" s="81">
        <f t="shared" si="3"/>
        <v>42.128410816913899</v>
      </c>
      <c r="H41" s="85"/>
      <c r="I41" s="85"/>
      <c r="J41" s="60">
        <f t="shared" si="4"/>
        <v>0.61740269461077846</v>
      </c>
      <c r="K41" s="141">
        <f t="shared" si="5"/>
        <v>38.724635177496403</v>
      </c>
      <c r="L41" s="141">
        <f t="shared" si="7"/>
        <v>40.326535646370509</v>
      </c>
      <c r="O41" s="32"/>
      <c r="P41" s="16"/>
      <c r="U41" s="152"/>
      <c r="V41" s="153"/>
      <c r="W41" s="153"/>
      <c r="X41" s="154"/>
      <c r="Z41" s="152"/>
      <c r="AA41" s="153"/>
      <c r="AB41" s="153"/>
      <c r="AC41" s="154"/>
    </row>
    <row r="42" spans="1:29" ht="15" customHeight="1" x14ac:dyDescent="0.2">
      <c r="A42" s="78">
        <v>198.6</v>
      </c>
      <c r="B42" s="104">
        <v>125</v>
      </c>
      <c r="C42" s="79">
        <f t="shared" si="6"/>
        <v>0.67365269461077837</v>
      </c>
      <c r="D42" s="79">
        <f t="shared" si="1"/>
        <v>127287.19999999998</v>
      </c>
      <c r="E42" s="79">
        <f t="shared" si="0"/>
        <v>43.223412210789654</v>
      </c>
      <c r="F42" s="80">
        <f t="shared" si="2"/>
        <v>43.223412210789654</v>
      </c>
      <c r="G42" s="81">
        <f t="shared" si="3"/>
        <v>45.01141108978333</v>
      </c>
      <c r="H42" s="85"/>
      <c r="I42" s="85"/>
      <c r="J42" s="60">
        <f t="shared" si="4"/>
        <v>0.64098053892215567</v>
      </c>
      <c r="K42" s="141">
        <f t="shared" si="5"/>
        <v>40.454934036455342</v>
      </c>
      <c r="L42" s="141">
        <f t="shared" si="7"/>
        <v>42.128410816913899</v>
      </c>
      <c r="O42" s="32"/>
      <c r="P42" s="16"/>
      <c r="U42" s="152"/>
      <c r="V42" s="153"/>
      <c r="W42" s="153"/>
      <c r="X42" s="154"/>
      <c r="Z42" s="152"/>
      <c r="AA42" s="153"/>
      <c r="AB42" s="153"/>
      <c r="AC42" s="154"/>
    </row>
    <row r="43" spans="1:29" ht="15" customHeight="1" x14ac:dyDescent="0.2">
      <c r="A43" s="78">
        <v>206.6</v>
      </c>
      <c r="B43" s="104">
        <v>132</v>
      </c>
      <c r="C43" s="79">
        <f t="shared" si="6"/>
        <v>0.70059880239520944</v>
      </c>
      <c r="D43" s="79">
        <f t="shared" si="1"/>
        <v>134420.9</v>
      </c>
      <c r="E43" s="79">
        <f t="shared" si="0"/>
        <v>45.645830613332173</v>
      </c>
      <c r="F43" s="80">
        <f t="shared" si="2"/>
        <v>45.645830613332173</v>
      </c>
      <c r="G43" s="81">
        <f t="shared" si="3"/>
        <v>47.534036328544083</v>
      </c>
      <c r="H43" s="85"/>
      <c r="I43" s="85"/>
      <c r="J43" s="60">
        <f t="shared" si="4"/>
        <v>0.67365269461077837</v>
      </c>
      <c r="K43" s="141">
        <f t="shared" si="5"/>
        <v>43.223412210789654</v>
      </c>
      <c r="L43" s="141">
        <f t="shared" si="7"/>
        <v>45.01141108978333</v>
      </c>
      <c r="O43" s="32"/>
      <c r="P43" s="16"/>
      <c r="U43" s="152"/>
      <c r="V43" s="153"/>
      <c r="W43" s="153"/>
      <c r="X43" s="154"/>
      <c r="Z43" s="152"/>
      <c r="AA43" s="153"/>
      <c r="AB43" s="153"/>
      <c r="AC43" s="154"/>
    </row>
    <row r="44" spans="1:29" ht="15" customHeight="1" x14ac:dyDescent="0.2">
      <c r="A44" s="78">
        <v>215.7</v>
      </c>
      <c r="B44" s="104">
        <v>141</v>
      </c>
      <c r="C44" s="79">
        <f t="shared" si="6"/>
        <v>0.73124999999999996</v>
      </c>
      <c r="D44" s="79">
        <f t="shared" si="1"/>
        <v>143592.79999999999</v>
      </c>
      <c r="E44" s="79">
        <f t="shared" si="0"/>
        <v>48.760368559458271</v>
      </c>
      <c r="F44" s="80">
        <f t="shared" si="2"/>
        <v>48.760368559458271</v>
      </c>
      <c r="G44" s="81">
        <f t="shared" si="3"/>
        <v>50.777411635522192</v>
      </c>
      <c r="H44" s="85"/>
      <c r="I44" s="85"/>
      <c r="J44" s="60">
        <f t="shared" si="4"/>
        <v>0.70059880239520944</v>
      </c>
      <c r="K44" s="141">
        <f t="shared" si="5"/>
        <v>45.645830613332173</v>
      </c>
      <c r="L44" s="141">
        <f t="shared" si="7"/>
        <v>47.534036328544083</v>
      </c>
      <c r="O44" s="32"/>
      <c r="P44" s="16"/>
      <c r="U44" s="152"/>
      <c r="V44" s="153"/>
      <c r="W44" s="153"/>
      <c r="X44" s="154"/>
      <c r="Z44" s="152"/>
      <c r="AA44" s="153"/>
      <c r="AB44" s="153"/>
      <c r="AC44" s="154"/>
    </row>
    <row r="45" spans="1:29" ht="15" customHeight="1" x14ac:dyDescent="0.2">
      <c r="A45" s="78">
        <v>221</v>
      </c>
      <c r="B45" s="104">
        <v>147</v>
      </c>
      <c r="C45" s="79">
        <f t="shared" si="6"/>
        <v>0.74910179640718566</v>
      </c>
      <c r="D45" s="79">
        <f t="shared" si="1"/>
        <v>149707.39999999997</v>
      </c>
      <c r="E45" s="79">
        <f t="shared" si="0"/>
        <v>50.83672719020899</v>
      </c>
      <c r="F45" s="80">
        <f t="shared" si="2"/>
        <v>50.83672719020899</v>
      </c>
      <c r="G45" s="81">
        <f t="shared" si="3"/>
        <v>52.939661840174246</v>
      </c>
      <c r="H45" s="85"/>
      <c r="I45" s="85"/>
      <c r="J45" s="60">
        <f t="shared" si="4"/>
        <v>0.73124999999999996</v>
      </c>
      <c r="K45" s="141">
        <f t="shared" si="5"/>
        <v>48.760368559458271</v>
      </c>
      <c r="L45" s="141">
        <f t="shared" si="7"/>
        <v>50.777411635522192</v>
      </c>
      <c r="N45" s="84"/>
      <c r="O45" s="16"/>
      <c r="P45" s="16"/>
      <c r="U45" s="152"/>
      <c r="V45" s="153"/>
      <c r="W45" s="153"/>
      <c r="X45" s="154"/>
      <c r="Z45" s="152"/>
      <c r="AA45" s="153"/>
      <c r="AB45" s="153"/>
      <c r="AC45" s="154"/>
    </row>
    <row r="46" spans="1:29" ht="15" customHeight="1" x14ac:dyDescent="0.2">
      <c r="A46" s="78">
        <v>229.1</v>
      </c>
      <c r="B46" s="104">
        <v>155</v>
      </c>
      <c r="C46" s="79">
        <f t="shared" si="6"/>
        <v>0.77638473053892199</v>
      </c>
      <c r="D46" s="79">
        <f t="shared" si="1"/>
        <v>157860.19999999998</v>
      </c>
      <c r="E46" s="79">
        <f t="shared" si="0"/>
        <v>53.605205364543309</v>
      </c>
      <c r="F46" s="80">
        <f t="shared" si="2"/>
        <v>53.605205364543309</v>
      </c>
      <c r="G46" s="81">
        <f t="shared" si="3"/>
        <v>55.822662113043691</v>
      </c>
      <c r="H46" s="85"/>
      <c r="I46" s="85"/>
      <c r="J46" s="60">
        <f t="shared" si="4"/>
        <v>0.74910179640718566</v>
      </c>
      <c r="K46" s="141">
        <f t="shared" si="5"/>
        <v>50.83672719020899</v>
      </c>
      <c r="L46" s="141">
        <f t="shared" si="7"/>
        <v>52.939661840174246</v>
      </c>
      <c r="N46" s="32"/>
      <c r="O46" s="16"/>
      <c r="U46" s="152"/>
      <c r="V46" s="153"/>
      <c r="W46" s="153"/>
      <c r="X46" s="154"/>
      <c r="Z46" s="152"/>
      <c r="AA46" s="153"/>
      <c r="AB46" s="153"/>
      <c r="AC46" s="154"/>
    </row>
    <row r="47" spans="1:29" ht="15" customHeight="1" x14ac:dyDescent="0.2">
      <c r="A47" s="78">
        <v>235.5</v>
      </c>
      <c r="B47" s="104">
        <v>161</v>
      </c>
      <c r="C47" s="79">
        <f t="shared" si="6"/>
        <v>0.79794161676646702</v>
      </c>
      <c r="D47" s="79">
        <f t="shared" si="1"/>
        <v>163974.79999999999</v>
      </c>
      <c r="E47" s="79">
        <f t="shared" si="0"/>
        <v>55.681563995294042</v>
      </c>
      <c r="F47" s="80">
        <f t="shared" si="2"/>
        <v>55.681563995294042</v>
      </c>
      <c r="G47" s="81">
        <f t="shared" si="3"/>
        <v>57.984912317695759</v>
      </c>
      <c r="H47" s="85"/>
      <c r="I47" s="85"/>
      <c r="J47" s="60">
        <f t="shared" si="4"/>
        <v>0.77638473053892199</v>
      </c>
      <c r="K47" s="141">
        <f t="shared" si="5"/>
        <v>53.605205364543309</v>
      </c>
      <c r="L47" s="141">
        <f t="shared" si="7"/>
        <v>55.822662113043691</v>
      </c>
      <c r="N47" s="32"/>
      <c r="O47" s="16"/>
      <c r="U47" s="152"/>
      <c r="V47" s="153"/>
      <c r="W47" s="153"/>
      <c r="X47" s="154"/>
      <c r="Z47" s="152"/>
      <c r="AA47" s="153"/>
      <c r="AB47" s="153"/>
      <c r="AC47" s="154"/>
    </row>
    <row r="48" spans="1:29" ht="15" customHeight="1" x14ac:dyDescent="0.2">
      <c r="A48" s="78">
        <v>240.6</v>
      </c>
      <c r="B48" s="104">
        <v>167</v>
      </c>
      <c r="C48" s="79">
        <f t="shared" si="6"/>
        <v>0.815119760479042</v>
      </c>
      <c r="D48" s="79">
        <f t="shared" si="1"/>
        <v>170089.4</v>
      </c>
      <c r="E48" s="79">
        <f t="shared" si="0"/>
        <v>57.757922626044774</v>
      </c>
      <c r="F48" s="80">
        <f t="shared" si="2"/>
        <v>57.757922626044774</v>
      </c>
      <c r="G48" s="81">
        <f t="shared" si="3"/>
        <v>60.147162522347834</v>
      </c>
      <c r="H48" s="85"/>
      <c r="I48" s="85"/>
      <c r="J48" s="60">
        <f t="shared" si="4"/>
        <v>0.79794161676646702</v>
      </c>
      <c r="K48" s="141">
        <f t="shared" si="5"/>
        <v>55.681563995294042</v>
      </c>
      <c r="L48" s="141">
        <f t="shared" si="7"/>
        <v>57.984912317695759</v>
      </c>
      <c r="N48" s="32"/>
      <c r="O48" s="16"/>
      <c r="P48" s="16"/>
      <c r="U48" s="152"/>
      <c r="V48" s="153"/>
      <c r="W48" s="153"/>
      <c r="X48" s="154"/>
      <c r="Z48" s="152"/>
      <c r="AA48" s="153"/>
      <c r="AB48" s="153"/>
      <c r="AC48" s="154"/>
    </row>
    <row r="49" spans="1:29" ht="15" customHeight="1" x14ac:dyDescent="0.2">
      <c r="A49" s="78">
        <v>251.2</v>
      </c>
      <c r="B49" s="104">
        <v>179</v>
      </c>
      <c r="C49" s="79">
        <f t="shared" si="6"/>
        <v>0.85082335329341308</v>
      </c>
      <c r="D49" s="79">
        <f t="shared" si="1"/>
        <v>182318.59999999998</v>
      </c>
      <c r="E49" s="79">
        <f t="shared" si="0"/>
        <v>61.910639887546225</v>
      </c>
      <c r="F49" s="80">
        <f t="shared" si="2"/>
        <v>61.910639887546225</v>
      </c>
      <c r="G49" s="81">
        <f t="shared" si="3"/>
        <v>64.471662931651963</v>
      </c>
      <c r="H49" s="85"/>
      <c r="I49" s="85"/>
      <c r="J49" s="60">
        <f t="shared" si="4"/>
        <v>0.815119760479042</v>
      </c>
      <c r="K49" s="141">
        <f t="shared" si="5"/>
        <v>57.757922626044774</v>
      </c>
      <c r="L49" s="141">
        <f t="shared" si="7"/>
        <v>60.147162522347834</v>
      </c>
      <c r="N49" s="32"/>
      <c r="P49" s="16"/>
      <c r="U49" s="155"/>
      <c r="V49" s="156"/>
      <c r="W49" s="156"/>
      <c r="X49" s="157"/>
      <c r="Z49" s="155"/>
      <c r="AA49" s="156"/>
      <c r="AB49" s="156"/>
      <c r="AC49" s="157"/>
    </row>
    <row r="50" spans="1:29" ht="15" customHeight="1" x14ac:dyDescent="0.2">
      <c r="A50" s="78">
        <v>259.3</v>
      </c>
      <c r="B50" s="104">
        <v>188</v>
      </c>
      <c r="C50" s="79">
        <f t="shared" si="6"/>
        <v>0.87810628742514973</v>
      </c>
      <c r="D50" s="79">
        <f t="shared" si="1"/>
        <v>191490.49999999997</v>
      </c>
      <c r="E50" s="79">
        <f t="shared" si="0"/>
        <v>65.025177833672316</v>
      </c>
      <c r="F50" s="80">
        <f t="shared" si="2"/>
        <v>65.025177833672316</v>
      </c>
      <c r="G50" s="81">
        <f t="shared" si="3"/>
        <v>67.715038238630072</v>
      </c>
      <c r="H50" s="85"/>
      <c r="I50" s="85"/>
      <c r="J50" s="60">
        <f t="shared" si="4"/>
        <v>0.85082335329341308</v>
      </c>
      <c r="K50" s="141">
        <f t="shared" si="5"/>
        <v>61.910639887546225</v>
      </c>
      <c r="L50" s="141">
        <f t="shared" si="7"/>
        <v>64.471662931651963</v>
      </c>
      <c r="P50" s="16"/>
      <c r="U50" s="134"/>
      <c r="V50" s="134"/>
      <c r="W50" s="134"/>
      <c r="X50" s="134"/>
      <c r="Z50" s="134"/>
      <c r="AA50" s="134"/>
      <c r="AB50" s="134"/>
      <c r="AC50" s="134"/>
    </row>
    <row r="51" spans="1:29" ht="15" customHeight="1" x14ac:dyDescent="0.2">
      <c r="A51" s="78">
        <v>263</v>
      </c>
      <c r="B51" s="104">
        <v>194</v>
      </c>
      <c r="C51" s="79">
        <f t="shared" si="6"/>
        <v>0.89056886227544907</v>
      </c>
      <c r="D51" s="79">
        <f t="shared" si="1"/>
        <v>197605.09999999998</v>
      </c>
      <c r="E51" s="79">
        <f t="shared" si="0"/>
        <v>67.101536464423049</v>
      </c>
      <c r="F51" s="80">
        <f t="shared" si="2"/>
        <v>67.101536464423049</v>
      </c>
      <c r="G51" s="81">
        <f t="shared" si="3"/>
        <v>69.87728844328214</v>
      </c>
      <c r="H51" s="85"/>
      <c r="I51" s="85"/>
      <c r="J51" s="60">
        <f t="shared" si="4"/>
        <v>0.87810628742514973</v>
      </c>
      <c r="K51" s="141">
        <f t="shared" si="5"/>
        <v>65.025177833672316</v>
      </c>
      <c r="L51" s="141">
        <f t="shared" si="7"/>
        <v>67.715038238630072</v>
      </c>
      <c r="O51" s="86"/>
      <c r="P51" s="16"/>
      <c r="U51" s="134"/>
      <c r="V51" s="134"/>
      <c r="W51" s="134"/>
      <c r="X51" s="134"/>
      <c r="Z51" s="134"/>
      <c r="AA51" s="134"/>
      <c r="AB51" s="134"/>
      <c r="AC51" s="134"/>
    </row>
    <row r="52" spans="1:29" ht="15" customHeight="1" x14ac:dyDescent="0.2">
      <c r="A52" s="78">
        <v>281</v>
      </c>
      <c r="B52" s="104">
        <v>214</v>
      </c>
      <c r="C52" s="79">
        <f t="shared" si="6"/>
        <v>0.95119760479041915</v>
      </c>
      <c r="D52" s="79">
        <f t="shared" si="1"/>
        <v>217987.09999999998</v>
      </c>
      <c r="E52" s="79">
        <f t="shared" si="0"/>
        <v>74.022731900258819</v>
      </c>
      <c r="F52" s="80">
        <f t="shared" si="2"/>
        <v>74.022731900258819</v>
      </c>
      <c r="G52" s="81">
        <f t="shared" si="3"/>
        <v>77.084789125455714</v>
      </c>
      <c r="J52" s="60">
        <f t="shared" si="4"/>
        <v>0.89056886227544907</v>
      </c>
      <c r="K52" s="141">
        <f t="shared" si="5"/>
        <v>67.101536464423049</v>
      </c>
      <c r="L52" s="141">
        <f t="shared" si="7"/>
        <v>69.87728844328214</v>
      </c>
      <c r="M52" s="84"/>
      <c r="N52" s="84"/>
      <c r="P52" s="86"/>
      <c r="Q52" s="86"/>
      <c r="R52" s="86"/>
    </row>
    <row r="53" spans="1:29" ht="15" customHeight="1" x14ac:dyDescent="0.2">
      <c r="A53" s="78">
        <v>289.10000000000002</v>
      </c>
      <c r="B53" s="104">
        <v>224</v>
      </c>
      <c r="C53" s="79">
        <f t="shared" si="6"/>
        <v>0.9784805389221557</v>
      </c>
      <c r="D53" s="79">
        <f t="shared" si="1"/>
        <v>228178.09999999998</v>
      </c>
      <c r="E53" s="79">
        <f t="shared" si="0"/>
        <v>77.483329618176711</v>
      </c>
      <c r="F53" s="80">
        <f t="shared" si="2"/>
        <v>77.483329618176711</v>
      </c>
      <c r="G53" s="81">
        <f t="shared" si="3"/>
        <v>80.688539466542508</v>
      </c>
      <c r="J53" s="60">
        <f t="shared" si="4"/>
        <v>0.95119760479041915</v>
      </c>
      <c r="K53" s="141">
        <f t="shared" si="5"/>
        <v>74.022731900258819</v>
      </c>
      <c r="L53" s="141">
        <f t="shared" si="7"/>
        <v>77.084789125455714</v>
      </c>
      <c r="N53" s="84"/>
    </row>
    <row r="54" spans="1:29" ht="15" customHeight="1" x14ac:dyDescent="0.2">
      <c r="A54" s="78">
        <v>300.39999999999998</v>
      </c>
      <c r="B54" s="104">
        <v>234</v>
      </c>
      <c r="C54" s="79">
        <f t="shared" si="6"/>
        <v>1.0165419161676645</v>
      </c>
      <c r="D54" s="79">
        <f t="shared" si="1"/>
        <v>238369.09999999998</v>
      </c>
      <c r="E54" s="79">
        <f t="shared" si="0"/>
        <v>80.943927336094589</v>
      </c>
      <c r="F54" s="80">
        <f t="shared" si="2"/>
        <v>80.943927336094589</v>
      </c>
      <c r="G54" s="81">
        <f t="shared" si="3"/>
        <v>84.292289807629288</v>
      </c>
      <c r="J54" s="60">
        <f t="shared" si="4"/>
        <v>0.9784805389221557</v>
      </c>
      <c r="K54" s="141">
        <f t="shared" si="5"/>
        <v>77.483329618176711</v>
      </c>
      <c r="L54" s="141">
        <f t="shared" si="7"/>
        <v>80.688539466542508</v>
      </c>
      <c r="U54" s="149"/>
      <c r="V54" s="150"/>
      <c r="W54" s="150"/>
      <c r="X54" s="151"/>
      <c r="Z54" s="149"/>
      <c r="AA54" s="150"/>
      <c r="AB54" s="150"/>
      <c r="AC54" s="151"/>
    </row>
    <row r="55" spans="1:29" ht="15" customHeight="1" x14ac:dyDescent="0.2">
      <c r="A55" s="78">
        <v>308</v>
      </c>
      <c r="B55" s="104">
        <v>242</v>
      </c>
      <c r="C55" s="79">
        <f t="shared" si="6"/>
        <v>1.0421407185628742</v>
      </c>
      <c r="D55" s="79">
        <f t="shared" si="1"/>
        <v>246521.89999999997</v>
      </c>
      <c r="E55" s="79">
        <f t="shared" si="0"/>
        <v>83.712405510428894</v>
      </c>
      <c r="F55" s="80">
        <f t="shared" si="2"/>
        <v>83.712405510428894</v>
      </c>
      <c r="G55" s="81">
        <f t="shared" si="3"/>
        <v>87.175290080498712</v>
      </c>
      <c r="J55" s="60">
        <f t="shared" si="4"/>
        <v>1.0165419161676645</v>
      </c>
      <c r="K55" s="141">
        <f t="shared" si="5"/>
        <v>80.943927336094589</v>
      </c>
      <c r="L55" s="141">
        <f t="shared" si="7"/>
        <v>84.292289807629288</v>
      </c>
      <c r="M55" s="84"/>
      <c r="U55" s="152"/>
      <c r="V55" s="153"/>
      <c r="W55" s="153"/>
      <c r="X55" s="154"/>
      <c r="Z55" s="152"/>
      <c r="AA55" s="153"/>
      <c r="AB55" s="153"/>
      <c r="AC55" s="154"/>
    </row>
    <row r="56" spans="1:29" ht="15" customHeight="1" x14ac:dyDescent="0.2">
      <c r="A56" s="78">
        <v>311.89999999999998</v>
      </c>
      <c r="B56" s="104">
        <v>247</v>
      </c>
      <c r="C56" s="79">
        <f t="shared" si="6"/>
        <v>1.0552769461077842</v>
      </c>
      <c r="D56" s="79">
        <f t="shared" si="1"/>
        <v>251617.39999999997</v>
      </c>
      <c r="E56" s="79">
        <f t="shared" si="0"/>
        <v>85.44270436938784</v>
      </c>
      <c r="F56" s="80">
        <f t="shared" si="2"/>
        <v>85.44270436938784</v>
      </c>
      <c r="G56" s="81">
        <f t="shared" si="3"/>
        <v>88.977165251042109</v>
      </c>
      <c r="J56" s="60">
        <f t="shared" si="4"/>
        <v>1.0421407185628742</v>
      </c>
      <c r="K56" s="141">
        <f t="shared" si="5"/>
        <v>83.712405510428894</v>
      </c>
      <c r="L56" s="141">
        <f t="shared" si="7"/>
        <v>87.175290080498712</v>
      </c>
      <c r="M56" s="16"/>
      <c r="U56" s="152"/>
      <c r="V56" s="153"/>
      <c r="W56" s="153"/>
      <c r="X56" s="154"/>
      <c r="Z56" s="152"/>
      <c r="AA56" s="153"/>
      <c r="AB56" s="153"/>
      <c r="AC56" s="154"/>
    </row>
    <row r="57" spans="1:29" ht="15" customHeight="1" x14ac:dyDescent="0.2">
      <c r="A57" s="78">
        <v>318.60000000000002</v>
      </c>
      <c r="B57" s="104">
        <v>254</v>
      </c>
      <c r="C57" s="79">
        <f t="shared" si="6"/>
        <v>1.0778443113772456</v>
      </c>
      <c r="D57" s="79">
        <f t="shared" si="1"/>
        <v>258751.09999999995</v>
      </c>
      <c r="E57" s="79">
        <f t="shared" si="0"/>
        <v>87.865122771930359</v>
      </c>
      <c r="F57" s="80">
        <f t="shared" si="2"/>
        <v>87.865122771930359</v>
      </c>
      <c r="G57" s="81">
        <f t="shared" si="3"/>
        <v>91.499790489802862</v>
      </c>
      <c r="J57" s="60">
        <f t="shared" si="4"/>
        <v>1.0552769461077842</v>
      </c>
      <c r="K57" s="141">
        <f t="shared" si="5"/>
        <v>85.44270436938784</v>
      </c>
      <c r="L57" s="141">
        <f t="shared" si="7"/>
        <v>88.977165251042109</v>
      </c>
      <c r="M57" s="16"/>
      <c r="U57" s="152"/>
      <c r="V57" s="153"/>
      <c r="W57" s="153"/>
      <c r="X57" s="154"/>
      <c r="Z57" s="152"/>
      <c r="AA57" s="153"/>
      <c r="AB57" s="153"/>
      <c r="AC57" s="154"/>
    </row>
    <row r="58" spans="1:29" ht="15" customHeight="1" x14ac:dyDescent="0.2">
      <c r="A58" s="78">
        <v>335.3</v>
      </c>
      <c r="B58" s="104">
        <v>265</v>
      </c>
      <c r="C58" s="79">
        <f t="shared" si="6"/>
        <v>1.1340943113772455</v>
      </c>
      <c r="D58" s="79">
        <f t="shared" si="1"/>
        <v>269961.19999999995</v>
      </c>
      <c r="E58" s="79">
        <f t="shared" si="0"/>
        <v>91.671780261640023</v>
      </c>
      <c r="F58" s="80">
        <f t="shared" si="2"/>
        <v>91.671780261640023</v>
      </c>
      <c r="G58" s="81">
        <f t="shared" si="3"/>
        <v>95.463915864998313</v>
      </c>
      <c r="J58" s="60">
        <f t="shared" si="4"/>
        <v>1.0778443113772456</v>
      </c>
      <c r="K58" s="141">
        <f t="shared" si="5"/>
        <v>87.865122771930359</v>
      </c>
      <c r="L58" s="141">
        <f t="shared" si="7"/>
        <v>91.499790489802862</v>
      </c>
      <c r="M58" s="84"/>
      <c r="U58" s="152"/>
      <c r="V58" s="153"/>
      <c r="W58" s="153"/>
      <c r="X58" s="154"/>
      <c r="Z58" s="152"/>
      <c r="AA58" s="153"/>
      <c r="AB58" s="153"/>
      <c r="AC58" s="154"/>
    </row>
    <row r="59" spans="1:29" ht="15" customHeight="1" x14ac:dyDescent="0.2">
      <c r="A59" s="16"/>
      <c r="B59" s="16"/>
      <c r="C59" s="16"/>
      <c r="D59" s="16"/>
      <c r="E59" s="16"/>
      <c r="F59" s="16"/>
      <c r="G59" s="16"/>
      <c r="J59" s="60">
        <f t="shared" si="4"/>
        <v>1.1340943113772455</v>
      </c>
      <c r="K59" s="141">
        <f t="shared" si="5"/>
        <v>91.671780261640023</v>
      </c>
      <c r="L59" s="141">
        <f t="shared" si="7"/>
        <v>95.463915864998313</v>
      </c>
      <c r="M59" s="16"/>
      <c r="N59" s="86"/>
      <c r="U59" s="152"/>
      <c r="V59" s="153"/>
      <c r="W59" s="153"/>
      <c r="X59" s="154"/>
      <c r="Z59" s="152"/>
      <c r="AA59" s="153"/>
      <c r="AB59" s="153"/>
      <c r="AC59" s="154"/>
    </row>
    <row r="60" spans="1:29" ht="15" customHeight="1" x14ac:dyDescent="0.2">
      <c r="A60" s="16"/>
      <c r="B60" s="16"/>
      <c r="C60" s="16"/>
      <c r="D60" s="16"/>
      <c r="E60" s="16"/>
      <c r="F60" s="16"/>
      <c r="G60" s="16"/>
      <c r="U60" s="152"/>
      <c r="V60" s="153"/>
      <c r="W60" s="153"/>
      <c r="X60" s="154"/>
      <c r="Z60" s="152"/>
      <c r="AA60" s="153"/>
      <c r="AB60" s="153"/>
      <c r="AC60" s="154"/>
    </row>
    <row r="61" spans="1:29" ht="15" customHeight="1" x14ac:dyDescent="0.2">
      <c r="A61" s="16"/>
      <c r="B61" s="16"/>
      <c r="C61" s="16"/>
      <c r="D61" s="16"/>
      <c r="E61" s="16"/>
      <c r="F61" s="16"/>
      <c r="G61" s="16"/>
      <c r="J61" s="87" t="s">
        <v>17</v>
      </c>
      <c r="K61" s="134"/>
      <c r="U61" s="152"/>
      <c r="V61" s="153"/>
      <c r="W61" s="153"/>
      <c r="X61" s="154"/>
      <c r="Z61" s="152"/>
      <c r="AA61" s="153"/>
      <c r="AB61" s="153"/>
      <c r="AC61" s="154"/>
    </row>
    <row r="62" spans="1:29" ht="15" customHeight="1" x14ac:dyDescent="0.2">
      <c r="A62" s="16"/>
      <c r="B62" s="16"/>
      <c r="C62" s="16"/>
      <c r="D62" s="16"/>
      <c r="E62" s="16"/>
      <c r="F62" s="16"/>
      <c r="G62" s="16"/>
      <c r="J62" s="88" t="s">
        <v>77</v>
      </c>
      <c r="K62" s="134"/>
      <c r="M62" s="16"/>
      <c r="U62" s="152"/>
      <c r="V62" s="153"/>
      <c r="W62" s="153"/>
      <c r="X62" s="154"/>
      <c r="Z62" s="152"/>
      <c r="AA62" s="153"/>
      <c r="AB62" s="153"/>
      <c r="AC62" s="154"/>
    </row>
    <row r="63" spans="1:29" ht="15" customHeight="1" x14ac:dyDescent="0.2">
      <c r="A63" s="16"/>
      <c r="B63" s="16"/>
      <c r="C63" s="16"/>
      <c r="D63" s="16"/>
      <c r="E63" s="16"/>
      <c r="F63" s="16"/>
      <c r="G63" s="16"/>
      <c r="J63" s="88" t="s">
        <v>51</v>
      </c>
      <c r="L63" s="16"/>
      <c r="U63" s="152"/>
      <c r="V63" s="153"/>
      <c r="W63" s="153"/>
      <c r="X63" s="154"/>
      <c r="Z63" s="152"/>
      <c r="AA63" s="153"/>
      <c r="AB63" s="153"/>
      <c r="AC63" s="154"/>
    </row>
    <row r="64" spans="1:29" ht="15" customHeight="1" x14ac:dyDescent="0.2">
      <c r="A64" s="16"/>
      <c r="B64" s="16"/>
      <c r="C64" s="16"/>
      <c r="D64" s="16"/>
      <c r="E64" s="16"/>
      <c r="F64" s="16"/>
      <c r="G64" s="16"/>
      <c r="J64" s="88" t="s">
        <v>94</v>
      </c>
      <c r="K64" s="134"/>
      <c r="L64" s="16"/>
      <c r="U64" s="152"/>
      <c r="V64" s="153"/>
      <c r="W64" s="153"/>
      <c r="X64" s="154"/>
      <c r="Z64" s="152"/>
      <c r="AA64" s="153"/>
      <c r="AB64" s="153"/>
      <c r="AC64" s="154"/>
    </row>
    <row r="65" spans="1:29" ht="15" customHeight="1" x14ac:dyDescent="0.2">
      <c r="A65" s="16"/>
      <c r="B65" s="16"/>
      <c r="C65" s="16"/>
      <c r="D65" s="16"/>
      <c r="E65" s="16"/>
      <c r="F65" s="16"/>
      <c r="G65" s="16"/>
      <c r="J65" s="89"/>
      <c r="K65" s="134"/>
      <c r="U65" s="152"/>
      <c r="V65" s="153"/>
      <c r="W65" s="153"/>
      <c r="X65" s="154"/>
      <c r="Z65" s="152"/>
      <c r="AA65" s="153"/>
      <c r="AB65" s="153"/>
      <c r="AC65" s="154"/>
    </row>
    <row r="66" spans="1:29" ht="15" customHeight="1" x14ac:dyDescent="0.2">
      <c r="A66" s="16"/>
      <c r="B66" s="16"/>
      <c r="C66" s="16"/>
      <c r="D66" s="16"/>
      <c r="E66" s="16"/>
      <c r="F66" s="16"/>
      <c r="G66" s="16"/>
      <c r="J66" s="87" t="s">
        <v>18</v>
      </c>
      <c r="K66" s="134"/>
      <c r="U66" s="152"/>
      <c r="V66" s="153"/>
      <c r="W66" s="153"/>
      <c r="X66" s="154"/>
      <c r="Z66" s="152"/>
      <c r="AA66" s="153"/>
      <c r="AB66" s="153"/>
      <c r="AC66" s="154"/>
    </row>
    <row r="67" spans="1:29" ht="15" customHeight="1" x14ac:dyDescent="0.2">
      <c r="A67" s="91"/>
      <c r="B67" s="92"/>
      <c r="C67" s="32"/>
      <c r="D67" s="93"/>
      <c r="E67" s="93"/>
      <c r="F67" s="32"/>
      <c r="G67" s="32"/>
      <c r="H67" s="32"/>
      <c r="I67" s="32"/>
      <c r="J67" s="88" t="s">
        <v>92</v>
      </c>
      <c r="K67" s="134"/>
      <c r="U67" s="152"/>
      <c r="V67" s="153"/>
      <c r="W67" s="153"/>
      <c r="X67" s="154"/>
      <c r="Z67" s="152"/>
      <c r="AA67" s="153"/>
      <c r="AB67" s="153"/>
      <c r="AC67" s="154"/>
    </row>
    <row r="68" spans="1:29" ht="15" customHeight="1" x14ac:dyDescent="0.2">
      <c r="A68" s="91"/>
      <c r="B68" s="92"/>
      <c r="C68" s="32"/>
      <c r="D68" s="93"/>
      <c r="E68" s="93"/>
      <c r="F68" s="32"/>
      <c r="G68" s="32"/>
      <c r="H68" s="32"/>
      <c r="I68" s="32"/>
      <c r="J68" s="88" t="s">
        <v>29</v>
      </c>
      <c r="K68" s="90" t="str">
        <f>G19</f>
        <v>Matriz (Tipo A)</v>
      </c>
      <c r="U68" s="152"/>
      <c r="V68" s="153"/>
      <c r="W68" s="153"/>
      <c r="X68" s="154"/>
      <c r="Z68" s="152"/>
      <c r="AA68" s="153"/>
      <c r="AB68" s="153"/>
      <c r="AC68" s="154"/>
    </row>
    <row r="69" spans="1:29" ht="15" customHeight="1" x14ac:dyDescent="0.2">
      <c r="A69" s="91"/>
      <c r="B69" s="92"/>
      <c r="C69" s="32"/>
      <c r="D69" s="93"/>
      <c r="E69" s="93"/>
      <c r="F69" s="32"/>
      <c r="G69" s="32"/>
      <c r="H69" s="32"/>
      <c r="I69" s="32"/>
      <c r="J69" s="88" t="str">
        <f>+CONCATENATE("c. Velocidad de ensayo: ",B7,C7)</f>
        <v>c. Velocidad de ensayo: 0,5 MPa/s</v>
      </c>
      <c r="K69" s="134"/>
      <c r="U69" s="152"/>
      <c r="V69" s="153"/>
      <c r="W69" s="153"/>
      <c r="X69" s="154"/>
      <c r="Z69" s="152"/>
      <c r="AA69" s="153"/>
      <c r="AB69" s="153"/>
      <c r="AC69" s="154"/>
    </row>
    <row r="70" spans="1:29" ht="15" customHeight="1" x14ac:dyDescent="0.2">
      <c r="A70" s="91"/>
      <c r="B70" s="92"/>
      <c r="C70" s="32"/>
      <c r="D70" s="93"/>
      <c r="E70" s="93"/>
      <c r="F70" s="32"/>
      <c r="G70" s="32"/>
      <c r="H70" s="32"/>
      <c r="I70" s="32"/>
      <c r="J70" s="16"/>
      <c r="K70" s="16"/>
      <c r="L70" s="16"/>
      <c r="U70" s="152"/>
      <c r="V70" s="153"/>
      <c r="W70" s="153"/>
      <c r="X70" s="154"/>
      <c r="Z70" s="152"/>
      <c r="AA70" s="153"/>
      <c r="AB70" s="153"/>
      <c r="AC70" s="154"/>
    </row>
    <row r="71" spans="1:29" ht="15" customHeight="1" x14ac:dyDescent="0.2">
      <c r="A71" s="91"/>
      <c r="B71" s="92"/>
      <c r="C71" s="32"/>
      <c r="D71" s="93"/>
      <c r="E71" s="93"/>
      <c r="F71" s="32"/>
      <c r="G71" s="32"/>
      <c r="H71" s="32"/>
      <c r="I71" s="32"/>
      <c r="J71" s="16"/>
      <c r="K71" s="16"/>
      <c r="L71" s="16"/>
      <c r="U71" s="152"/>
      <c r="V71" s="153"/>
      <c r="W71" s="153"/>
      <c r="X71" s="154"/>
      <c r="Z71" s="152"/>
      <c r="AA71" s="153"/>
      <c r="AB71" s="153"/>
      <c r="AC71" s="154"/>
    </row>
    <row r="72" spans="1:29" ht="15" customHeight="1" x14ac:dyDescent="0.2">
      <c r="A72" s="91"/>
      <c r="B72" s="92"/>
      <c r="C72" s="32"/>
      <c r="D72" s="93"/>
      <c r="E72" s="93"/>
      <c r="F72" s="32"/>
      <c r="G72" s="32"/>
      <c r="H72" s="32"/>
      <c r="I72" s="32"/>
      <c r="U72" s="152"/>
      <c r="V72" s="153"/>
      <c r="W72" s="153"/>
      <c r="X72" s="154"/>
      <c r="Z72" s="152"/>
      <c r="AA72" s="153"/>
      <c r="AB72" s="153"/>
      <c r="AC72" s="154"/>
    </row>
    <row r="73" spans="1:29" ht="15" customHeight="1" x14ac:dyDescent="0.2">
      <c r="A73" s="91"/>
      <c r="B73" s="92"/>
      <c r="C73" s="32"/>
      <c r="D73" s="93"/>
      <c r="E73" s="93"/>
      <c r="F73" s="32"/>
      <c r="G73" s="32"/>
      <c r="H73" s="32"/>
      <c r="I73" s="32"/>
      <c r="U73" s="152"/>
      <c r="V73" s="153"/>
      <c r="W73" s="153"/>
      <c r="X73" s="154"/>
      <c r="Z73" s="152"/>
      <c r="AA73" s="153"/>
      <c r="AB73" s="153"/>
      <c r="AC73" s="154"/>
    </row>
    <row r="74" spans="1:29" ht="15" customHeight="1" x14ac:dyDescent="0.2">
      <c r="A74" s="91"/>
      <c r="B74" s="92"/>
      <c r="C74" s="32"/>
      <c r="D74" s="93"/>
      <c r="E74" s="93"/>
      <c r="F74" s="32"/>
      <c r="G74" s="32"/>
      <c r="H74" s="32"/>
      <c r="I74" s="32"/>
      <c r="U74" s="155"/>
      <c r="V74" s="156"/>
      <c r="W74" s="156"/>
      <c r="X74" s="157"/>
      <c r="Z74" s="155"/>
      <c r="AA74" s="156"/>
      <c r="AB74" s="156"/>
      <c r="AC74" s="157"/>
    </row>
    <row r="75" spans="1:29" ht="15" customHeight="1" x14ac:dyDescent="0.2">
      <c r="A75" s="91"/>
      <c r="B75" s="92"/>
      <c r="C75" s="32"/>
      <c r="D75" s="93"/>
      <c r="E75" s="93"/>
      <c r="F75" s="32"/>
      <c r="G75" s="32"/>
      <c r="H75" s="32"/>
      <c r="I75" s="32"/>
    </row>
    <row r="76" spans="1:29" ht="15" customHeight="1" x14ac:dyDescent="0.2">
      <c r="A76" s="91"/>
      <c r="B76" s="92"/>
      <c r="C76" s="32"/>
      <c r="D76" s="93"/>
      <c r="E76" s="93"/>
      <c r="F76" s="32"/>
      <c r="G76" s="32"/>
      <c r="H76" s="32"/>
      <c r="I76" s="32"/>
    </row>
    <row r="77" spans="1:29" ht="15" customHeight="1" x14ac:dyDescent="0.2">
      <c r="A77" s="91"/>
      <c r="B77" s="92"/>
      <c r="C77" s="32"/>
      <c r="D77" s="93"/>
      <c r="E77" s="93"/>
      <c r="F77" s="32"/>
      <c r="G77" s="32"/>
      <c r="H77" s="32"/>
      <c r="I77" s="32"/>
    </row>
    <row r="78" spans="1:29" ht="15" customHeight="1" x14ac:dyDescent="0.2">
      <c r="A78" s="91"/>
      <c r="B78" s="92"/>
      <c r="C78" s="32"/>
      <c r="D78" s="93"/>
      <c r="E78" s="93"/>
      <c r="F78" s="32"/>
      <c r="G78" s="32"/>
      <c r="H78" s="32"/>
      <c r="I78" s="32"/>
    </row>
    <row r="79" spans="1:29" ht="15" customHeight="1" x14ac:dyDescent="0.2">
      <c r="A79" s="91"/>
      <c r="B79" s="92"/>
      <c r="C79" s="32"/>
      <c r="D79" s="93"/>
      <c r="E79" s="93"/>
      <c r="F79" s="32"/>
      <c r="G79" s="32"/>
      <c r="H79" s="32"/>
      <c r="I79" s="32"/>
    </row>
    <row r="80" spans="1:29" ht="15" customHeight="1" x14ac:dyDescent="0.2">
      <c r="A80" s="16"/>
      <c r="B80" s="16"/>
      <c r="C80" s="16"/>
      <c r="D80" s="32"/>
      <c r="E80" s="32"/>
      <c r="F80" s="16"/>
      <c r="G80" s="16"/>
    </row>
    <row r="81" spans="1:15" ht="15" customHeight="1" x14ac:dyDescent="0.2">
      <c r="A81" s="16"/>
      <c r="B81" s="16"/>
      <c r="C81" s="16"/>
      <c r="D81" s="32"/>
      <c r="E81" s="32"/>
      <c r="F81" s="16"/>
      <c r="G81" s="16"/>
    </row>
    <row r="82" spans="1:15" ht="15" customHeight="1" x14ac:dyDescent="0.2">
      <c r="A82" s="16"/>
      <c r="B82" s="16"/>
      <c r="C82" s="16"/>
      <c r="D82" s="32"/>
      <c r="E82" s="32"/>
      <c r="F82" s="16"/>
      <c r="G82" s="16"/>
    </row>
    <row r="83" spans="1:15" ht="15" customHeight="1" x14ac:dyDescent="0.2">
      <c r="A83" s="16"/>
      <c r="B83" s="16"/>
      <c r="C83" s="16"/>
      <c r="D83" s="32"/>
      <c r="E83" s="32"/>
      <c r="F83" s="16"/>
      <c r="G83" s="16"/>
    </row>
    <row r="84" spans="1:15" ht="15" customHeight="1" x14ac:dyDescent="0.2">
      <c r="A84" s="16"/>
      <c r="B84" s="16"/>
      <c r="C84" s="16"/>
      <c r="D84" s="32"/>
      <c r="E84" s="32"/>
      <c r="F84" s="16"/>
      <c r="G84" s="16"/>
    </row>
    <row r="85" spans="1:15" ht="15" customHeight="1" x14ac:dyDescent="0.2">
      <c r="A85" s="16"/>
      <c r="B85" s="16"/>
      <c r="C85" s="16"/>
      <c r="D85" s="32"/>
      <c r="E85" s="32"/>
      <c r="F85" s="16"/>
      <c r="G85" s="16"/>
      <c r="O85" s="17"/>
    </row>
    <row r="86" spans="1:15" ht="15" customHeight="1" x14ac:dyDescent="0.2">
      <c r="A86" s="16"/>
      <c r="B86" s="16"/>
      <c r="C86" s="16"/>
      <c r="D86" s="32"/>
      <c r="E86" s="32"/>
      <c r="F86" s="16"/>
      <c r="G86" s="16"/>
    </row>
    <row r="87" spans="1:15" ht="15" customHeight="1" x14ac:dyDescent="0.2">
      <c r="A87" s="16"/>
      <c r="B87" s="16"/>
      <c r="C87" s="16"/>
      <c r="D87" s="32"/>
      <c r="E87" s="32"/>
      <c r="F87" s="16"/>
      <c r="G87" s="16"/>
    </row>
    <row r="88" spans="1:15" ht="15" customHeight="1" x14ac:dyDescent="0.2">
      <c r="A88" s="16"/>
      <c r="B88" s="16"/>
      <c r="C88" s="16"/>
      <c r="D88" s="32"/>
      <c r="E88" s="32"/>
      <c r="F88" s="16"/>
      <c r="G88" s="16"/>
    </row>
    <row r="89" spans="1:15" ht="15" customHeight="1" x14ac:dyDescent="0.2">
      <c r="A89" s="16"/>
      <c r="B89" s="16"/>
      <c r="C89" s="16"/>
      <c r="D89" s="32"/>
      <c r="E89" s="32"/>
      <c r="F89" s="16"/>
      <c r="G89" s="16"/>
    </row>
    <row r="90" spans="1:15" ht="15" customHeight="1" x14ac:dyDescent="0.2">
      <c r="A90" s="16"/>
      <c r="B90" s="16"/>
      <c r="C90" s="16"/>
      <c r="D90" s="32"/>
      <c r="E90" s="32"/>
      <c r="F90" s="16"/>
      <c r="G90" s="16"/>
    </row>
    <row r="91" spans="1:15" ht="15" customHeight="1" x14ac:dyDescent="0.2">
      <c r="A91" s="16"/>
      <c r="B91" s="16"/>
      <c r="C91" s="16"/>
      <c r="D91" s="32"/>
      <c r="E91" s="32"/>
      <c r="F91" s="16"/>
      <c r="G91" s="16"/>
    </row>
    <row r="92" spans="1:15" ht="15" customHeight="1" x14ac:dyDescent="0.2">
      <c r="A92" s="16"/>
      <c r="B92" s="16"/>
      <c r="C92" s="16"/>
      <c r="D92" s="32"/>
      <c r="E92" s="32"/>
      <c r="F92" s="16"/>
      <c r="G92" s="16"/>
    </row>
    <row r="93" spans="1:15" ht="15" customHeight="1" x14ac:dyDescent="0.2">
      <c r="A93" s="16"/>
      <c r="B93" s="16"/>
      <c r="C93" s="16"/>
      <c r="D93" s="32"/>
      <c r="E93" s="32"/>
      <c r="F93" s="16"/>
      <c r="G93" s="16"/>
    </row>
    <row r="94" spans="1:15" ht="15" customHeight="1" x14ac:dyDescent="0.2">
      <c r="A94" s="16"/>
      <c r="B94" s="16"/>
      <c r="C94" s="16"/>
      <c r="D94" s="16"/>
      <c r="E94" s="16"/>
      <c r="F94" s="16"/>
      <c r="G94" s="16"/>
    </row>
    <row r="95" spans="1:15" ht="15" customHeight="1" x14ac:dyDescent="0.2">
      <c r="A95" s="16"/>
      <c r="B95" s="16"/>
      <c r="C95" s="16"/>
      <c r="D95" s="16"/>
      <c r="E95" s="16"/>
      <c r="F95" s="16"/>
      <c r="G95" s="16"/>
    </row>
    <row r="96" spans="1:15" ht="15" customHeight="1" x14ac:dyDescent="0.2">
      <c r="A96" s="16"/>
      <c r="B96" s="16"/>
      <c r="C96" s="16"/>
      <c r="D96" s="16"/>
      <c r="E96" s="16"/>
      <c r="F96" s="16"/>
      <c r="G96" s="16"/>
    </row>
    <row r="97" spans="1:7" ht="15" customHeight="1" x14ac:dyDescent="0.2">
      <c r="A97" s="16"/>
      <c r="B97" s="16"/>
      <c r="C97" s="16"/>
      <c r="D97" s="16"/>
      <c r="E97" s="16"/>
      <c r="F97" s="16"/>
      <c r="G97" s="16"/>
    </row>
    <row r="98" spans="1:7" ht="15" customHeight="1" x14ac:dyDescent="0.2">
      <c r="A98" s="16"/>
      <c r="B98" s="16"/>
      <c r="C98" s="16"/>
      <c r="D98" s="16"/>
      <c r="E98" s="16"/>
      <c r="F98" s="16"/>
      <c r="G98" s="16"/>
    </row>
    <row r="99" spans="1:7" ht="15" customHeight="1" x14ac:dyDescent="0.2">
      <c r="A99" s="16"/>
      <c r="B99" s="16"/>
      <c r="C99" s="16"/>
      <c r="D99" s="16"/>
      <c r="E99" s="16"/>
      <c r="F99" s="16"/>
      <c r="G99" s="16"/>
    </row>
    <row r="100" spans="1:7" ht="15" customHeight="1" x14ac:dyDescent="0.2">
      <c r="A100" s="16"/>
      <c r="B100" s="16"/>
      <c r="C100" s="16"/>
      <c r="D100" s="16"/>
      <c r="E100" s="16"/>
      <c r="F100" s="16"/>
      <c r="G100" s="16"/>
    </row>
    <row r="101" spans="1:7" ht="15" customHeight="1" x14ac:dyDescent="0.2">
      <c r="A101" s="16"/>
      <c r="B101" s="16"/>
      <c r="C101" s="16"/>
      <c r="D101" s="16"/>
      <c r="E101" s="16"/>
      <c r="F101" s="16"/>
      <c r="G101" s="16"/>
    </row>
    <row r="102" spans="1:7" ht="15" customHeight="1" x14ac:dyDescent="0.2">
      <c r="A102" s="16"/>
      <c r="B102" s="16"/>
      <c r="C102" s="16"/>
      <c r="D102" s="16"/>
      <c r="E102" s="16"/>
      <c r="F102" s="16"/>
      <c r="G102" s="16"/>
    </row>
    <row r="103" spans="1:7" ht="15" customHeight="1" x14ac:dyDescent="0.2">
      <c r="A103" s="16"/>
      <c r="B103" s="16"/>
      <c r="C103" s="16"/>
      <c r="D103" s="16"/>
      <c r="E103" s="16"/>
      <c r="F103" s="16"/>
      <c r="G103" s="16"/>
    </row>
    <row r="104" spans="1:7" ht="15" customHeight="1" x14ac:dyDescent="0.2">
      <c r="A104" s="16"/>
      <c r="B104" s="16"/>
      <c r="C104" s="16"/>
      <c r="D104" s="16"/>
      <c r="E104" s="16"/>
      <c r="F104" s="16"/>
      <c r="G104" s="16"/>
    </row>
    <row r="105" spans="1:7" ht="15" customHeight="1" x14ac:dyDescent="0.2">
      <c r="A105" s="16"/>
      <c r="B105" s="16"/>
      <c r="C105" s="16"/>
      <c r="D105" s="16"/>
      <c r="E105" s="16"/>
      <c r="F105" s="16"/>
      <c r="G105" s="16"/>
    </row>
    <row r="106" spans="1:7" ht="15" customHeight="1" x14ac:dyDescent="0.2">
      <c r="A106" s="16"/>
      <c r="B106" s="16"/>
      <c r="C106" s="16"/>
      <c r="D106" s="16"/>
      <c r="E106" s="16"/>
      <c r="F106" s="16"/>
      <c r="G106" s="16"/>
    </row>
    <row r="107" spans="1:7" ht="15" customHeight="1" x14ac:dyDescent="0.2">
      <c r="A107" s="16"/>
      <c r="B107" s="16"/>
      <c r="C107" s="16"/>
      <c r="D107" s="16"/>
      <c r="E107" s="16"/>
      <c r="F107" s="16"/>
      <c r="G107" s="16"/>
    </row>
    <row r="108" spans="1:7" ht="15" customHeight="1" x14ac:dyDescent="0.2">
      <c r="A108" s="16"/>
      <c r="B108" s="16"/>
      <c r="C108" s="16"/>
      <c r="D108" s="16"/>
      <c r="E108" s="16"/>
      <c r="F108" s="16"/>
      <c r="G108" s="16"/>
    </row>
    <row r="109" spans="1:7" ht="15" customHeight="1" x14ac:dyDescent="0.2">
      <c r="A109" s="16"/>
      <c r="B109" s="16"/>
      <c r="C109" s="16"/>
      <c r="D109" s="16"/>
      <c r="E109" s="16"/>
      <c r="F109" s="16"/>
      <c r="G109" s="16"/>
    </row>
    <row r="110" spans="1:7" ht="15" customHeight="1" x14ac:dyDescent="0.2">
      <c r="A110" s="16"/>
      <c r="B110" s="16"/>
      <c r="C110" s="16"/>
      <c r="D110" s="16"/>
      <c r="E110" s="16"/>
      <c r="F110" s="16"/>
      <c r="G110" s="16"/>
    </row>
    <row r="111" spans="1:7" ht="15" customHeight="1" x14ac:dyDescent="0.2">
      <c r="A111" s="16"/>
      <c r="B111" s="16"/>
      <c r="C111" s="16"/>
      <c r="D111" s="16"/>
      <c r="E111" s="16"/>
      <c r="F111" s="16"/>
      <c r="G111" s="16"/>
    </row>
    <row r="112" spans="1:7" ht="15" customHeight="1" x14ac:dyDescent="0.2">
      <c r="A112" s="16"/>
      <c r="B112" s="16"/>
      <c r="C112" s="16"/>
      <c r="D112" s="16"/>
      <c r="E112" s="16"/>
      <c r="F112" s="16"/>
      <c r="G112" s="16"/>
    </row>
    <row r="113" spans="1:7" ht="15" customHeight="1" x14ac:dyDescent="0.2">
      <c r="A113" s="16"/>
      <c r="B113" s="16"/>
      <c r="C113" s="16"/>
      <c r="D113" s="16"/>
      <c r="E113" s="16"/>
      <c r="F113" s="16"/>
      <c r="G113" s="16"/>
    </row>
    <row r="114" spans="1:7" ht="15" customHeight="1" x14ac:dyDescent="0.2">
      <c r="A114" s="16"/>
      <c r="B114" s="16"/>
      <c r="C114" s="16"/>
      <c r="D114" s="16"/>
      <c r="E114" s="16"/>
      <c r="F114" s="16"/>
      <c r="G114" s="16"/>
    </row>
    <row r="115" spans="1:7" ht="15" customHeight="1" x14ac:dyDescent="0.2">
      <c r="A115" s="16"/>
      <c r="B115" s="16"/>
      <c r="C115" s="16"/>
      <c r="D115" s="16"/>
      <c r="E115" s="16"/>
      <c r="F115" s="16"/>
      <c r="G115" s="16"/>
    </row>
    <row r="116" spans="1:7" ht="15" customHeight="1" x14ac:dyDescent="0.2">
      <c r="A116" s="16"/>
      <c r="B116" s="16"/>
      <c r="C116" s="16"/>
      <c r="D116" s="16"/>
      <c r="E116" s="16"/>
      <c r="F116" s="16"/>
      <c r="G116" s="16"/>
    </row>
    <row r="117" spans="1:7" ht="15" customHeight="1" x14ac:dyDescent="0.2">
      <c r="A117" s="16"/>
      <c r="B117" s="16"/>
      <c r="C117" s="16"/>
      <c r="D117" s="16"/>
      <c r="E117" s="16"/>
      <c r="F117" s="16"/>
      <c r="G117" s="16"/>
    </row>
    <row r="118" spans="1:7" ht="15" customHeight="1" x14ac:dyDescent="0.2">
      <c r="A118" s="16"/>
      <c r="B118" s="16"/>
      <c r="C118" s="16"/>
      <c r="D118" s="16"/>
      <c r="E118" s="16"/>
      <c r="F118" s="16"/>
      <c r="G118" s="16"/>
    </row>
    <row r="119" spans="1:7" ht="15" customHeight="1" x14ac:dyDescent="0.2">
      <c r="A119" s="16"/>
      <c r="B119" s="16"/>
      <c r="C119" s="16"/>
      <c r="D119" s="16"/>
      <c r="E119" s="16"/>
      <c r="F119" s="16"/>
      <c r="G119" s="16"/>
    </row>
    <row r="120" spans="1:7" ht="15" customHeight="1" x14ac:dyDescent="0.2">
      <c r="A120" s="16"/>
      <c r="B120" s="16"/>
      <c r="C120" s="16"/>
      <c r="D120" s="16"/>
      <c r="E120" s="16"/>
      <c r="F120" s="16"/>
      <c r="G120" s="16"/>
    </row>
    <row r="121" spans="1:7" ht="15" customHeight="1" x14ac:dyDescent="0.2">
      <c r="A121" s="16"/>
      <c r="B121" s="16"/>
      <c r="C121" s="16"/>
      <c r="D121" s="16"/>
      <c r="E121" s="16"/>
      <c r="F121" s="16"/>
      <c r="G121" s="16"/>
    </row>
    <row r="122" spans="1:7" ht="15" customHeight="1" x14ac:dyDescent="0.2">
      <c r="A122" s="16"/>
      <c r="B122" s="16"/>
      <c r="C122" s="16"/>
      <c r="D122" s="16"/>
      <c r="E122" s="16"/>
      <c r="F122" s="16"/>
      <c r="G122" s="16"/>
    </row>
    <row r="123" spans="1:7" ht="15" customHeight="1" x14ac:dyDescent="0.2">
      <c r="A123" s="16"/>
      <c r="B123" s="16"/>
      <c r="C123" s="16"/>
      <c r="D123" s="16"/>
      <c r="E123" s="16"/>
      <c r="F123" s="16"/>
      <c r="G123" s="16"/>
    </row>
    <row r="124" spans="1:7" ht="15" customHeight="1" x14ac:dyDescent="0.2">
      <c r="A124" s="16"/>
      <c r="B124" s="16"/>
      <c r="C124" s="16"/>
      <c r="D124" s="16"/>
      <c r="E124" s="16"/>
      <c r="F124" s="16"/>
      <c r="G124" s="16"/>
    </row>
    <row r="125" spans="1:7" ht="15" customHeight="1" x14ac:dyDescent="0.2">
      <c r="A125" s="16"/>
      <c r="B125" s="16"/>
      <c r="C125" s="16"/>
      <c r="D125" s="16"/>
      <c r="E125" s="16"/>
      <c r="F125" s="16"/>
      <c r="G125" s="16"/>
    </row>
    <row r="126" spans="1:7" ht="15" customHeight="1" x14ac:dyDescent="0.2">
      <c r="A126" s="16"/>
      <c r="B126" s="16"/>
      <c r="C126" s="16"/>
      <c r="D126" s="16"/>
      <c r="E126" s="16"/>
      <c r="F126" s="16"/>
      <c r="G126" s="16"/>
    </row>
    <row r="127" spans="1:7" ht="15" customHeight="1" x14ac:dyDescent="0.2">
      <c r="A127" s="16"/>
      <c r="B127" s="16"/>
      <c r="C127" s="16"/>
      <c r="D127" s="16"/>
      <c r="E127" s="16"/>
      <c r="F127" s="16"/>
      <c r="G127" s="16"/>
    </row>
    <row r="128" spans="1:7" ht="15" customHeight="1" x14ac:dyDescent="0.2">
      <c r="A128" s="16"/>
      <c r="B128" s="16"/>
      <c r="C128" s="16"/>
      <c r="D128" s="16"/>
      <c r="E128" s="16"/>
      <c r="F128" s="16"/>
      <c r="G128" s="16"/>
    </row>
    <row r="129" spans="1:7" ht="15" customHeight="1" x14ac:dyDescent="0.2">
      <c r="A129" s="16"/>
      <c r="B129" s="16"/>
      <c r="C129" s="16"/>
      <c r="D129" s="16"/>
      <c r="E129" s="16"/>
      <c r="F129" s="16"/>
      <c r="G129" s="16"/>
    </row>
    <row r="130" spans="1:7" x14ac:dyDescent="0.2">
      <c r="A130" s="16"/>
      <c r="B130" s="16"/>
      <c r="C130" s="16"/>
      <c r="D130" s="16"/>
      <c r="E130" s="16"/>
      <c r="F130" s="16"/>
      <c r="G130" s="16"/>
    </row>
    <row r="131" spans="1:7" x14ac:dyDescent="0.2">
      <c r="A131" s="16"/>
      <c r="B131" s="16"/>
      <c r="C131" s="16"/>
      <c r="D131" s="16"/>
      <c r="E131" s="16"/>
      <c r="F131" s="16"/>
      <c r="G131" s="16"/>
    </row>
    <row r="132" spans="1:7" x14ac:dyDescent="0.2">
      <c r="A132" s="16"/>
      <c r="B132" s="16"/>
      <c r="C132" s="16"/>
      <c r="D132" s="16"/>
      <c r="E132" s="16"/>
      <c r="F132" s="16"/>
      <c r="G132" s="16"/>
    </row>
    <row r="133" spans="1:7" x14ac:dyDescent="0.2">
      <c r="A133" s="16"/>
      <c r="B133" s="16"/>
      <c r="C133" s="16"/>
      <c r="D133" s="16"/>
      <c r="E133" s="16"/>
      <c r="F133" s="16"/>
      <c r="G133" s="16"/>
    </row>
    <row r="134" spans="1:7" x14ac:dyDescent="0.2">
      <c r="A134" s="16"/>
      <c r="B134" s="16"/>
      <c r="C134" s="16"/>
      <c r="D134" s="16"/>
      <c r="E134" s="16"/>
      <c r="F134" s="16"/>
      <c r="G134" s="16"/>
    </row>
    <row r="135" spans="1:7" x14ac:dyDescent="0.2">
      <c r="A135" s="16"/>
      <c r="B135" s="16"/>
      <c r="C135" s="16"/>
      <c r="D135" s="16"/>
      <c r="E135" s="16"/>
      <c r="F135" s="16"/>
      <c r="G135" s="16"/>
    </row>
    <row r="136" spans="1:7" x14ac:dyDescent="0.2">
      <c r="A136" s="16"/>
      <c r="B136" s="16"/>
      <c r="C136" s="16"/>
      <c r="D136" s="16"/>
      <c r="E136" s="16"/>
      <c r="F136" s="16"/>
      <c r="G136" s="16"/>
    </row>
    <row r="137" spans="1:7" x14ac:dyDescent="0.2">
      <c r="A137" s="16"/>
      <c r="B137" s="16"/>
      <c r="C137" s="16"/>
      <c r="D137" s="16"/>
      <c r="E137" s="16"/>
      <c r="F137" s="16"/>
      <c r="G137" s="16"/>
    </row>
    <row r="138" spans="1:7" x14ac:dyDescent="0.2">
      <c r="A138" s="16"/>
      <c r="B138" s="16"/>
      <c r="C138" s="16"/>
      <c r="D138" s="16"/>
      <c r="E138" s="16"/>
      <c r="F138" s="16"/>
      <c r="G138" s="16"/>
    </row>
    <row r="139" spans="1:7" x14ac:dyDescent="0.2">
      <c r="A139" s="16"/>
      <c r="B139" s="16"/>
      <c r="C139" s="16"/>
      <c r="D139" s="16"/>
      <c r="E139" s="16"/>
      <c r="F139" s="16"/>
      <c r="G139" s="16"/>
    </row>
    <row r="140" spans="1:7" x14ac:dyDescent="0.2">
      <c r="A140" s="16"/>
      <c r="B140" s="16"/>
      <c r="C140" s="16"/>
      <c r="D140" s="16"/>
      <c r="E140" s="16"/>
      <c r="F140" s="16"/>
      <c r="G140" s="16"/>
    </row>
    <row r="141" spans="1:7" x14ac:dyDescent="0.2">
      <c r="A141" s="16"/>
      <c r="B141" s="16"/>
      <c r="C141" s="16"/>
      <c r="D141" s="16"/>
      <c r="E141" s="16"/>
      <c r="F141" s="16"/>
      <c r="G141" s="16"/>
    </row>
    <row r="142" spans="1:7" x14ac:dyDescent="0.2">
      <c r="A142" s="16"/>
      <c r="B142" s="16"/>
      <c r="C142" s="16"/>
      <c r="D142" s="16"/>
      <c r="E142" s="16"/>
      <c r="F142" s="16"/>
      <c r="G142" s="16"/>
    </row>
    <row r="143" spans="1:7" x14ac:dyDescent="0.2">
      <c r="A143" s="16"/>
      <c r="B143" s="16"/>
      <c r="C143" s="16"/>
      <c r="D143" s="16"/>
      <c r="E143" s="16"/>
      <c r="F143" s="16"/>
      <c r="G143" s="16"/>
    </row>
    <row r="144" spans="1:7" x14ac:dyDescent="0.2">
      <c r="A144" s="16"/>
      <c r="B144" s="16"/>
      <c r="C144" s="16"/>
      <c r="D144" s="16"/>
      <c r="E144" s="16"/>
      <c r="F144" s="16"/>
      <c r="G144" s="16"/>
    </row>
    <row r="145" spans="1:7" x14ac:dyDescent="0.2">
      <c r="A145" s="16"/>
      <c r="B145" s="16"/>
      <c r="C145" s="16"/>
      <c r="D145" s="16"/>
      <c r="E145" s="16"/>
      <c r="F145" s="16"/>
      <c r="G145" s="16"/>
    </row>
    <row r="146" spans="1:7" x14ac:dyDescent="0.2">
      <c r="A146" s="16"/>
      <c r="B146" s="16"/>
      <c r="C146" s="16"/>
      <c r="D146" s="16"/>
      <c r="E146" s="16"/>
      <c r="F146" s="16"/>
      <c r="G146" s="16"/>
    </row>
    <row r="147" spans="1:7" x14ac:dyDescent="0.2">
      <c r="A147" s="16"/>
      <c r="B147" s="16"/>
      <c r="C147" s="16"/>
      <c r="D147" s="16"/>
      <c r="E147" s="16"/>
      <c r="F147" s="16"/>
      <c r="G147" s="16"/>
    </row>
    <row r="148" spans="1:7" x14ac:dyDescent="0.2">
      <c r="A148" s="16"/>
      <c r="B148" s="16"/>
      <c r="C148" s="16"/>
      <c r="D148" s="16"/>
      <c r="E148" s="16"/>
      <c r="F148" s="16"/>
      <c r="G148" s="16"/>
    </row>
    <row r="149" spans="1:7" x14ac:dyDescent="0.2">
      <c r="A149" s="16"/>
      <c r="B149" s="16"/>
      <c r="C149" s="16"/>
      <c r="D149" s="16"/>
      <c r="E149" s="16"/>
      <c r="F149" s="16"/>
      <c r="G149" s="16"/>
    </row>
    <row r="150" spans="1:7" x14ac:dyDescent="0.2">
      <c r="A150" s="16"/>
      <c r="B150" s="16"/>
      <c r="C150" s="16"/>
      <c r="D150" s="16"/>
      <c r="E150" s="16"/>
      <c r="F150" s="16"/>
      <c r="G150" s="16"/>
    </row>
    <row r="151" spans="1:7" x14ac:dyDescent="0.2">
      <c r="A151" s="16"/>
      <c r="B151" s="16"/>
      <c r="C151" s="16"/>
      <c r="D151" s="16"/>
      <c r="E151" s="16"/>
      <c r="F151" s="16"/>
      <c r="G151" s="16"/>
    </row>
    <row r="152" spans="1:7" x14ac:dyDescent="0.2">
      <c r="A152" s="16"/>
      <c r="B152" s="16"/>
      <c r="C152" s="16"/>
      <c r="D152" s="16"/>
      <c r="E152" s="16"/>
      <c r="F152" s="16"/>
      <c r="G152" s="16"/>
    </row>
    <row r="153" spans="1:7" x14ac:dyDescent="0.2">
      <c r="A153" s="16"/>
      <c r="B153" s="16"/>
      <c r="C153" s="16"/>
      <c r="D153" s="16"/>
      <c r="E153" s="16"/>
      <c r="F153" s="16"/>
      <c r="G153" s="16"/>
    </row>
    <row r="154" spans="1:7" x14ac:dyDescent="0.2">
      <c r="A154" s="16"/>
      <c r="B154" s="16"/>
      <c r="C154" s="16"/>
      <c r="D154" s="16"/>
      <c r="E154" s="16"/>
      <c r="F154" s="16"/>
      <c r="G154" s="16"/>
    </row>
    <row r="155" spans="1:7" x14ac:dyDescent="0.2">
      <c r="A155" s="16"/>
      <c r="B155" s="16"/>
      <c r="C155" s="16"/>
      <c r="D155" s="16"/>
      <c r="E155" s="16"/>
      <c r="F155" s="16"/>
      <c r="G155" s="16"/>
    </row>
    <row r="156" spans="1:7" x14ac:dyDescent="0.2">
      <c r="A156" s="16"/>
      <c r="B156" s="16"/>
      <c r="C156" s="16"/>
      <c r="D156" s="16"/>
      <c r="E156" s="16"/>
      <c r="F156" s="16"/>
      <c r="G156" s="16"/>
    </row>
    <row r="157" spans="1:7" x14ac:dyDescent="0.2">
      <c r="A157" s="16"/>
      <c r="B157" s="16"/>
      <c r="C157" s="16"/>
      <c r="D157" s="16"/>
      <c r="E157" s="16"/>
      <c r="F157" s="16"/>
      <c r="G157" s="16"/>
    </row>
    <row r="158" spans="1:7" x14ac:dyDescent="0.2">
      <c r="A158" s="16"/>
      <c r="B158" s="16"/>
      <c r="C158" s="16"/>
      <c r="D158" s="16"/>
      <c r="E158" s="16"/>
      <c r="F158" s="16"/>
      <c r="G158" s="16"/>
    </row>
    <row r="159" spans="1:7" x14ac:dyDescent="0.2">
      <c r="A159" s="16"/>
      <c r="B159" s="16"/>
      <c r="C159" s="16"/>
      <c r="D159" s="16"/>
      <c r="E159" s="16"/>
      <c r="F159" s="16"/>
      <c r="G159" s="16"/>
    </row>
    <row r="160" spans="1:7" x14ac:dyDescent="0.2">
      <c r="A160" s="16"/>
      <c r="B160" s="16"/>
      <c r="C160" s="16"/>
      <c r="D160" s="16"/>
      <c r="E160" s="16"/>
      <c r="F160" s="16"/>
      <c r="G160" s="16"/>
    </row>
    <row r="161" spans="1:7" x14ac:dyDescent="0.2">
      <c r="A161" s="16"/>
      <c r="B161" s="16"/>
      <c r="C161" s="16"/>
      <c r="D161" s="16"/>
      <c r="E161" s="16"/>
      <c r="F161" s="16"/>
      <c r="G161" s="16"/>
    </row>
    <row r="162" spans="1:7" x14ac:dyDescent="0.2">
      <c r="A162" s="16"/>
      <c r="B162" s="16"/>
      <c r="C162" s="16"/>
      <c r="D162" s="16"/>
      <c r="E162" s="16"/>
      <c r="F162" s="16"/>
      <c r="G162" s="16"/>
    </row>
    <row r="163" spans="1:7" x14ac:dyDescent="0.2">
      <c r="A163" s="16"/>
      <c r="B163" s="16"/>
      <c r="C163" s="16"/>
      <c r="D163" s="16"/>
      <c r="E163" s="16"/>
      <c r="F163" s="16"/>
      <c r="G163" s="16"/>
    </row>
    <row r="164" spans="1:7" x14ac:dyDescent="0.2">
      <c r="A164" s="16"/>
      <c r="B164" s="16"/>
      <c r="C164" s="16"/>
      <c r="D164" s="16"/>
      <c r="E164" s="16"/>
      <c r="F164" s="16"/>
      <c r="G164" s="16"/>
    </row>
    <row r="165" spans="1:7" x14ac:dyDescent="0.2">
      <c r="A165" s="16"/>
      <c r="B165" s="16"/>
      <c r="C165" s="16"/>
      <c r="D165" s="16"/>
      <c r="E165" s="16"/>
      <c r="F165" s="16"/>
      <c r="G165" s="16"/>
    </row>
    <row r="166" spans="1:7" x14ac:dyDescent="0.2">
      <c r="A166" s="16"/>
      <c r="B166" s="16"/>
      <c r="C166" s="16"/>
      <c r="D166" s="16"/>
      <c r="E166" s="16"/>
      <c r="F166" s="16"/>
      <c r="G166" s="16"/>
    </row>
    <row r="167" spans="1:7" x14ac:dyDescent="0.2">
      <c r="A167" s="16"/>
      <c r="B167" s="16"/>
      <c r="C167" s="16"/>
      <c r="D167" s="16"/>
      <c r="E167" s="16"/>
      <c r="F167" s="16"/>
      <c r="G167" s="16"/>
    </row>
    <row r="168" spans="1:7" x14ac:dyDescent="0.2">
      <c r="A168" s="16"/>
      <c r="B168" s="16"/>
      <c r="C168" s="16"/>
      <c r="D168" s="16"/>
      <c r="E168" s="16"/>
      <c r="F168" s="16"/>
      <c r="G168" s="16"/>
    </row>
    <row r="169" spans="1:7" x14ac:dyDescent="0.2">
      <c r="A169" s="16"/>
      <c r="B169" s="16"/>
      <c r="C169" s="16"/>
      <c r="D169" s="16"/>
      <c r="E169" s="16"/>
      <c r="F169" s="16"/>
      <c r="G169" s="16"/>
    </row>
    <row r="170" spans="1:7" x14ac:dyDescent="0.2">
      <c r="A170" s="16"/>
      <c r="B170" s="16"/>
      <c r="C170" s="16"/>
      <c r="D170" s="16"/>
      <c r="E170" s="16"/>
      <c r="F170" s="16"/>
      <c r="G170" s="16"/>
    </row>
    <row r="171" spans="1:7" x14ac:dyDescent="0.2">
      <c r="A171" s="16"/>
      <c r="B171" s="16"/>
      <c r="C171" s="16"/>
      <c r="D171" s="16"/>
      <c r="E171" s="16"/>
      <c r="F171" s="16"/>
      <c r="G171" s="16"/>
    </row>
    <row r="172" spans="1:7" x14ac:dyDescent="0.2">
      <c r="A172" s="16"/>
      <c r="B172" s="16"/>
      <c r="C172" s="16"/>
      <c r="D172" s="16"/>
      <c r="E172" s="16"/>
      <c r="F172" s="16"/>
      <c r="G172" s="16"/>
    </row>
    <row r="173" spans="1:7" x14ac:dyDescent="0.2">
      <c r="A173" s="16"/>
      <c r="B173" s="16"/>
      <c r="C173" s="16"/>
      <c r="D173" s="16"/>
      <c r="E173" s="16"/>
      <c r="F173" s="16"/>
      <c r="G173" s="16"/>
    </row>
    <row r="174" spans="1:7" x14ac:dyDescent="0.2">
      <c r="A174" s="16"/>
      <c r="B174" s="16"/>
      <c r="C174" s="16"/>
      <c r="D174" s="16"/>
      <c r="E174" s="16"/>
      <c r="F174" s="16"/>
      <c r="G174" s="16"/>
    </row>
    <row r="175" spans="1:7" x14ac:dyDescent="0.2">
      <c r="A175" s="16"/>
      <c r="B175" s="16"/>
      <c r="C175" s="16"/>
      <c r="D175" s="16"/>
      <c r="E175" s="16"/>
      <c r="F175" s="16"/>
      <c r="G175" s="16"/>
    </row>
    <row r="176" spans="1:7" x14ac:dyDescent="0.2">
      <c r="A176" s="16"/>
      <c r="B176" s="16"/>
      <c r="C176" s="16"/>
      <c r="D176" s="16"/>
      <c r="E176" s="16"/>
      <c r="F176" s="16"/>
      <c r="G176" s="16"/>
    </row>
    <row r="177" spans="1:7" x14ac:dyDescent="0.2">
      <c r="A177" s="16"/>
      <c r="B177" s="16"/>
      <c r="C177" s="16"/>
      <c r="D177" s="16"/>
      <c r="E177" s="16"/>
      <c r="F177" s="16"/>
      <c r="G177" s="16"/>
    </row>
    <row r="178" spans="1:7" x14ac:dyDescent="0.2">
      <c r="A178" s="16"/>
      <c r="B178" s="16"/>
      <c r="C178" s="16"/>
      <c r="D178" s="16"/>
      <c r="E178" s="16"/>
      <c r="F178" s="16"/>
      <c r="G178" s="16"/>
    </row>
    <row r="179" spans="1:7" x14ac:dyDescent="0.2">
      <c r="A179" s="16"/>
      <c r="B179" s="16"/>
      <c r="C179" s="16"/>
      <c r="D179" s="16"/>
      <c r="E179" s="16"/>
      <c r="F179" s="16"/>
      <c r="G179" s="16"/>
    </row>
    <row r="180" spans="1:7" x14ac:dyDescent="0.2">
      <c r="A180" s="16"/>
      <c r="B180" s="16"/>
      <c r="C180" s="16"/>
      <c r="D180" s="16"/>
      <c r="E180" s="16"/>
      <c r="F180" s="16"/>
      <c r="G180" s="16"/>
    </row>
    <row r="181" spans="1:7" x14ac:dyDescent="0.2">
      <c r="A181" s="16"/>
      <c r="B181" s="16"/>
      <c r="C181" s="16"/>
      <c r="D181" s="16"/>
      <c r="E181" s="16"/>
      <c r="F181" s="16"/>
      <c r="G181" s="16"/>
    </row>
    <row r="182" spans="1:7" x14ac:dyDescent="0.2">
      <c r="A182" s="16"/>
      <c r="B182" s="16"/>
      <c r="C182" s="16"/>
      <c r="D182" s="16"/>
      <c r="E182" s="16"/>
      <c r="F182" s="16"/>
      <c r="G182" s="16"/>
    </row>
    <row r="183" spans="1:7" x14ac:dyDescent="0.2">
      <c r="A183" s="16"/>
      <c r="B183" s="16"/>
      <c r="C183" s="16"/>
      <c r="D183" s="16"/>
      <c r="E183" s="16"/>
      <c r="F183" s="16"/>
      <c r="G183" s="16"/>
    </row>
    <row r="184" spans="1:7" x14ac:dyDescent="0.2">
      <c r="A184" s="16"/>
      <c r="B184" s="16"/>
      <c r="C184" s="16"/>
      <c r="D184" s="16"/>
      <c r="E184" s="16"/>
      <c r="F184" s="16"/>
      <c r="G184" s="16"/>
    </row>
    <row r="185" spans="1:7" x14ac:dyDescent="0.2">
      <c r="A185" s="16"/>
      <c r="B185" s="16"/>
      <c r="C185" s="16"/>
      <c r="D185" s="16"/>
      <c r="E185" s="16"/>
      <c r="F185" s="16"/>
      <c r="G185" s="16"/>
    </row>
    <row r="186" spans="1:7" x14ac:dyDescent="0.2">
      <c r="A186" s="16"/>
      <c r="B186" s="16"/>
      <c r="C186" s="16"/>
      <c r="D186" s="16"/>
      <c r="E186" s="16"/>
      <c r="F186" s="16"/>
      <c r="G186" s="16"/>
    </row>
    <row r="187" spans="1:7" x14ac:dyDescent="0.2">
      <c r="A187" s="16"/>
      <c r="B187" s="16"/>
      <c r="C187" s="16"/>
      <c r="D187" s="16"/>
      <c r="E187" s="16"/>
      <c r="F187" s="16"/>
      <c r="G187" s="16"/>
    </row>
    <row r="188" spans="1:7" x14ac:dyDescent="0.2">
      <c r="A188" s="16"/>
      <c r="B188" s="16"/>
      <c r="C188" s="16"/>
      <c r="D188" s="16"/>
      <c r="E188" s="16"/>
      <c r="F188" s="16"/>
      <c r="G188" s="16"/>
    </row>
    <row r="189" spans="1:7" x14ac:dyDescent="0.2">
      <c r="A189" s="16"/>
      <c r="B189" s="16"/>
      <c r="C189" s="16"/>
      <c r="D189" s="16"/>
      <c r="E189" s="16"/>
      <c r="F189" s="16"/>
      <c r="G189" s="16"/>
    </row>
    <row r="190" spans="1:7" x14ac:dyDescent="0.2">
      <c r="A190" s="16"/>
      <c r="B190" s="16"/>
      <c r="C190" s="16"/>
      <c r="D190" s="16"/>
      <c r="E190" s="16"/>
      <c r="F190" s="16"/>
      <c r="G190" s="16"/>
    </row>
    <row r="191" spans="1:7" x14ac:dyDescent="0.2">
      <c r="A191" s="16"/>
      <c r="B191" s="16"/>
      <c r="C191" s="16"/>
      <c r="D191" s="16"/>
      <c r="E191" s="16"/>
      <c r="F191" s="16"/>
      <c r="G191" s="16"/>
    </row>
    <row r="192" spans="1:7" x14ac:dyDescent="0.2">
      <c r="A192" s="16"/>
      <c r="B192" s="16"/>
      <c r="C192" s="16"/>
      <c r="D192" s="16"/>
      <c r="E192" s="16"/>
      <c r="F192" s="16"/>
      <c r="G192" s="16"/>
    </row>
    <row r="193" spans="1:7" x14ac:dyDescent="0.2">
      <c r="A193" s="16"/>
      <c r="B193" s="16"/>
      <c r="C193" s="16"/>
      <c r="D193" s="16"/>
      <c r="E193" s="16"/>
      <c r="F193" s="16"/>
      <c r="G193" s="16"/>
    </row>
    <row r="194" spans="1:7" x14ac:dyDescent="0.2">
      <c r="A194" s="16"/>
      <c r="B194" s="16"/>
      <c r="C194" s="16"/>
      <c r="D194" s="16"/>
      <c r="E194" s="16"/>
      <c r="F194" s="16"/>
      <c r="G194" s="16"/>
    </row>
    <row r="195" spans="1:7" x14ac:dyDescent="0.2">
      <c r="A195" s="16"/>
      <c r="B195" s="16"/>
      <c r="C195" s="16"/>
      <c r="D195" s="16"/>
      <c r="E195" s="16"/>
      <c r="F195" s="16"/>
      <c r="G195" s="16"/>
    </row>
    <row r="196" spans="1:7" x14ac:dyDescent="0.2">
      <c r="A196" s="16"/>
      <c r="B196" s="16"/>
      <c r="C196" s="16"/>
      <c r="D196" s="16"/>
      <c r="E196" s="16"/>
      <c r="F196" s="16"/>
      <c r="G196" s="16"/>
    </row>
    <row r="197" spans="1:7" x14ac:dyDescent="0.2">
      <c r="A197" s="16"/>
      <c r="B197" s="16"/>
      <c r="C197" s="16"/>
      <c r="D197" s="16"/>
      <c r="E197" s="16"/>
      <c r="F197" s="16"/>
      <c r="G197" s="16"/>
    </row>
    <row r="198" spans="1:7" x14ac:dyDescent="0.2">
      <c r="A198" s="16"/>
      <c r="B198" s="16"/>
      <c r="C198" s="16"/>
      <c r="D198" s="16"/>
      <c r="E198" s="16"/>
      <c r="F198" s="16"/>
      <c r="G198" s="16"/>
    </row>
    <row r="199" spans="1:7" x14ac:dyDescent="0.2">
      <c r="A199" s="16"/>
      <c r="B199" s="16"/>
      <c r="C199" s="16"/>
      <c r="D199" s="16"/>
      <c r="E199" s="16"/>
      <c r="F199" s="16"/>
      <c r="G199" s="16"/>
    </row>
    <row r="200" spans="1:7" x14ac:dyDescent="0.2">
      <c r="A200" s="16"/>
      <c r="B200" s="16"/>
      <c r="C200" s="16"/>
      <c r="D200" s="16"/>
      <c r="E200" s="16"/>
      <c r="F200" s="16"/>
      <c r="G200" s="16"/>
    </row>
    <row r="201" spans="1:7" x14ac:dyDescent="0.2">
      <c r="A201" s="16"/>
      <c r="B201" s="16"/>
      <c r="C201" s="16"/>
      <c r="D201" s="16"/>
      <c r="E201" s="16"/>
      <c r="F201" s="16"/>
      <c r="G201" s="16"/>
    </row>
  </sheetData>
  <sheetProtection formatCells="0" formatColumns="0" formatRows="0"/>
  <mergeCells count="11">
    <mergeCell ref="N18:Q18"/>
    <mergeCell ref="J1:S1"/>
    <mergeCell ref="T1:AD1"/>
    <mergeCell ref="T3:AD3"/>
    <mergeCell ref="L14:R14"/>
    <mergeCell ref="N17:Q17"/>
    <mergeCell ref="U25:X25"/>
    <mergeCell ref="U29:X49"/>
    <mergeCell ref="Z29:AC49"/>
    <mergeCell ref="U54:X74"/>
    <mergeCell ref="Z54:AC74"/>
  </mergeCells>
  <conditionalFormatting sqref="B2">
    <cfRule type="cellIs" dxfId="5" priority="6" operator="greaterThan">
      <formula>0</formula>
    </cfRule>
  </conditionalFormatting>
  <conditionalFormatting sqref="B3:B7">
    <cfRule type="cellIs" dxfId="4" priority="5" operator="greaterThan">
      <formula>0</formula>
    </cfRule>
  </conditionalFormatting>
  <conditionalFormatting sqref="C8:C21">
    <cfRule type="cellIs" dxfId="3" priority="4" operator="greaterThan">
      <formula>0</formula>
    </cfRule>
  </conditionalFormatting>
  <conditionalFormatting sqref="G19">
    <cfRule type="cellIs" dxfId="2" priority="3" operator="greaterThan">
      <formula>0</formula>
    </cfRule>
  </conditionalFormatting>
  <conditionalFormatting sqref="B26:B58">
    <cfRule type="cellIs" dxfId="1" priority="2" operator="greaterThan">
      <formula>0</formula>
    </cfRule>
  </conditionalFormatting>
  <conditionalFormatting sqref="G20:G21">
    <cfRule type="cellIs" dxfId="0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'Ingreso Datos'!$M$18:$M$24</xm:f>
          </x14:formula1>
          <xm:sqref>G19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Ingreso Datos</vt:lpstr>
      <vt:lpstr>3629-02</vt:lpstr>
      <vt:lpstr>3629-06</vt:lpstr>
      <vt:lpstr>3629-14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LABORATORIO DE ROCAS</dc:creator>
  <cp:lastModifiedBy>Francisco Gonzalez</cp:lastModifiedBy>
  <cp:lastPrinted>2009-11-19T16:40:44Z</cp:lastPrinted>
  <dcterms:created xsi:type="dcterms:W3CDTF">1999-10-13T14:07:43Z</dcterms:created>
  <dcterms:modified xsi:type="dcterms:W3CDTF">2024-05-24T20:46:48Z</dcterms:modified>
</cp:coreProperties>
</file>