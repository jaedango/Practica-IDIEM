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Unidades compartidas\slg-secc_laboratorio\2023\03. PROYECTOS\STRABAG SPA\CAMPAÑA DE SONDAJES\C1BH-L12-L10-3+830-HL (3632)\03 ENSAYOS\"/>
    </mc:Choice>
  </mc:AlternateContent>
  <bookViews>
    <workbookView xWindow="-120" yWindow="-120" windowWidth="20730" windowHeight="11160" tabRatio="858" activeTab="1"/>
  </bookViews>
  <sheets>
    <sheet name="Ingreso Datos" sheetId="206" r:id="rId1"/>
    <sheet name="3" sheetId="207" r:id="rId2"/>
  </sheets>
  <externalReferences>
    <externalReference r:id="rId3"/>
  </externalReferences>
  <definedNames>
    <definedName name="__123Graph_A" hidden="1">'[1]Ensaye Carga Puntual'!#REF!</definedName>
    <definedName name="__123Graph_C" hidden="1">'[1]Ensaye Carga Puntual'!#REF!</definedName>
    <definedName name="__123Graph_D" hidden="1">'[1]Ensaye Carga Puntual'!#REF!</definedName>
    <definedName name="__123Graph_X" hidden="1">'[1]Ensaye Carga Puntual'!#REF!</definedName>
    <definedName name="_Key1" hidden="1">'[1]Ensaye Carga Puntual'!$A$8:$A$14</definedName>
    <definedName name="_Order1" hidden="1">0</definedName>
    <definedName name="_Regression_Out" hidden="1">'[1]Ensaye Carga Puntual'!#REF!</definedName>
    <definedName name="_Regression_X" hidden="1">'[1]Ensaye Carga Puntual'!#REF!</definedName>
    <definedName name="_Regression_Y" hidden="1">'[1]Ensaye Carga Puntual'!#REF!</definedName>
    <definedName name="_Sort" hidden="1">'[1]Ensaye Carga Puntual'!#REF!</definedName>
    <definedName name="_xlnm.Print_Area" localSheetId="1">'3'!$O$1:$U$64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6" i="207" l="1"/>
  <c r="S17" i="207" l="1"/>
  <c r="S18" i="207"/>
  <c r="S19" i="207"/>
  <c r="Q5" i="207" l="1"/>
  <c r="Q4" i="207"/>
  <c r="O25" i="207"/>
  <c r="B3" i="207"/>
  <c r="W1" i="207" s="1"/>
  <c r="W2" i="207"/>
  <c r="Q6" i="207"/>
  <c r="Q7" i="207"/>
  <c r="Q9" i="207"/>
  <c r="Q10" i="207"/>
  <c r="Q11" i="207"/>
  <c r="Q12" i="207"/>
  <c r="D16" i="207"/>
  <c r="H16" i="207"/>
  <c r="L16" i="207" s="1"/>
  <c r="Q17" i="207"/>
  <c r="D17" i="207"/>
  <c r="O18" i="207" s="1"/>
  <c r="H17" i="207"/>
  <c r="K17" i="207"/>
  <c r="Q18" i="207" s="1"/>
  <c r="D18" i="207"/>
  <c r="O19" i="207" s="1"/>
  <c r="H18" i="207"/>
  <c r="K18" i="207"/>
  <c r="L17" i="207" l="1"/>
  <c r="R18" i="207" s="1"/>
  <c r="P18" i="207"/>
  <c r="I17" i="207"/>
  <c r="Q19" i="207"/>
  <c r="L18" i="207"/>
  <c r="R19" i="207" s="1"/>
  <c r="P19" i="207"/>
  <c r="I18" i="207"/>
  <c r="P17" i="207"/>
  <c r="I16" i="207"/>
  <c r="R17" i="207"/>
  <c r="Q3" i="207"/>
  <c r="O17" i="207"/>
  <c r="T17" i="207" l="1"/>
</calcChain>
</file>

<file path=xl/sharedStrings.xml><?xml version="1.0" encoding="utf-8"?>
<sst xmlns="http://schemas.openxmlformats.org/spreadsheetml/2006/main" count="75" uniqueCount="58">
  <si>
    <t>Proyecto</t>
  </si>
  <si>
    <t>Muestra</t>
  </si>
  <si>
    <t>Carga</t>
  </si>
  <si>
    <t>Orden de Trabajo</t>
  </si>
  <si>
    <t>Fecha de Inicio</t>
  </si>
  <si>
    <t>Fecha de Término</t>
  </si>
  <si>
    <t>Referencias</t>
  </si>
  <si>
    <t>Observaciones</t>
  </si>
  <si>
    <t>Humedad</t>
  </si>
  <si>
    <t>Tipo de Roca</t>
  </si>
  <si>
    <t>Fracturas / Vetillas</t>
  </si>
  <si>
    <t>Alteraciones</t>
  </si>
  <si>
    <t>FOTOGRAFÍAS</t>
  </si>
  <si>
    <t>[N]</t>
  </si>
  <si>
    <t>Nº INFORME</t>
  </si>
  <si>
    <t>CANTIDAD DE HOJAS (01 HASTA 30)</t>
  </si>
  <si>
    <t>Hoja Nº</t>
  </si>
  <si>
    <t>Nombre Hoja</t>
  </si>
  <si>
    <t>PROYECTO</t>
  </si>
  <si>
    <t>MUESTRA</t>
  </si>
  <si>
    <t>a. Muestras ensayadas a probetas de testigos</t>
  </si>
  <si>
    <t>[mm]</t>
  </si>
  <si>
    <t>a la tensión</t>
  </si>
  <si>
    <t>Ruptura</t>
  </si>
  <si>
    <t>Promedio Resistencia</t>
  </si>
  <si>
    <t xml:space="preserve">Resistencia </t>
  </si>
  <si>
    <t>Fuerza de</t>
  </si>
  <si>
    <t>Altura</t>
  </si>
  <si>
    <t>Diámetro</t>
  </si>
  <si>
    <t>Tensión [Mpa]</t>
  </si>
  <si>
    <t>Promedio</t>
  </si>
  <si>
    <t>Resistencia</t>
  </si>
  <si>
    <t>Fuerza</t>
  </si>
  <si>
    <t>Altura [mm]</t>
  </si>
  <si>
    <t>Diámetro [mm]</t>
  </si>
  <si>
    <t>Nº Informe</t>
  </si>
  <si>
    <t>INFORME ENSAYO DE RESISTENCIA A LA TRACCIÓN INDIRECTA EN ROCA ("MÉTODO BRASILEÑO")</t>
  </si>
  <si>
    <t>CAMBIAR SOLO LOS VALORES EN VERDE Y AGREGAR FOTOGRAFIAS (40% VGA)</t>
  </si>
  <si>
    <t>1. Determinación de Resistencia a la Tensión basada en ASTM D 3967 - 16</t>
  </si>
  <si>
    <t>Tipo de falla</t>
  </si>
  <si>
    <t>[MPa]</t>
  </si>
  <si>
    <t>Tipo de Falla TI</t>
  </si>
  <si>
    <t>Tipo Placa</t>
  </si>
  <si>
    <t>Plana</t>
  </si>
  <si>
    <t>Curva</t>
  </si>
  <si>
    <t>Esbeltez</t>
  </si>
  <si>
    <t>Tipo de placa</t>
  </si>
  <si>
    <t>[kN]</t>
  </si>
  <si>
    <t>Matriz</t>
  </si>
  <si>
    <t>Mixta</t>
  </si>
  <si>
    <t>Estructura</t>
  </si>
  <si>
    <t>Toba lítica</t>
  </si>
  <si>
    <t>Zeolitas</t>
  </si>
  <si>
    <t>Oxidación y zeolitización</t>
  </si>
  <si>
    <t xml:space="preserve">1.965.915-A </t>
  </si>
  <si>
    <t>-</t>
  </si>
  <si>
    <t>C1BH-L12-L10-3+830-HL (02,00-02,29)</t>
  </si>
  <si>
    <t>C1BH-L12-L10-3+830-HL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</si>
</sst>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_)"/>
    <numFmt numFmtId="165" formatCode="0.000"/>
    <numFmt numFmtId="166" formatCode="0_)"/>
    <numFmt numFmtId="167" formatCode="0.0_)"/>
    <numFmt numFmtId="169" formatCode="dd/mm/yyyy;@"/>
  </numFmts>
  <fonts count="21" x14ac:knownFonts="1">
    <font>
      <sz val="10"/>
      <name val="Courier"/>
    </font>
    <font>
      <b/>
      <sz val="9"/>
      <name val="Arial"/>
      <family val="2"/>
    </font>
    <font>
      <sz val="9"/>
      <name val="Arial"/>
      <family val="2"/>
    </font>
    <font>
      <b/>
      <sz val="9"/>
      <color indexed="10"/>
      <name val="Arial"/>
      <family val="2"/>
    </font>
    <font>
      <sz val="8.5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name val="Times New Roman"/>
      <family val="1"/>
    </font>
    <font>
      <sz val="8"/>
      <color indexed="10"/>
      <name val="Times New Roman"/>
      <family val="1"/>
    </font>
    <font>
      <b/>
      <sz val="8"/>
      <color indexed="10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b/>
      <u/>
      <sz val="8.5"/>
      <name val="Arial"/>
      <family val="2"/>
    </font>
    <font>
      <sz val="8"/>
      <color indexed="10"/>
      <name val="Arial"/>
      <family val="2"/>
    </font>
    <font>
      <b/>
      <sz val="8"/>
      <name val="Times New Roman"/>
      <family val="1"/>
    </font>
    <font>
      <b/>
      <u/>
      <sz val="8"/>
      <name val="Arial"/>
      <family val="2"/>
    </font>
    <font>
      <sz val="8"/>
      <color rgb="FFFF0000"/>
      <name val="Arial"/>
      <family val="2"/>
    </font>
    <font>
      <b/>
      <sz val="9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3">
    <xf numFmtId="0" fontId="0" fillId="0" borderId="0" xfId="0"/>
    <xf numFmtId="0" fontId="2" fillId="0" borderId="11" xfId="0" applyFont="1" applyFill="1" applyBorder="1" applyAlignment="1" applyProtection="1">
      <alignment horizontal="left" vertical="center"/>
    </xf>
    <xf numFmtId="0" fontId="4" fillId="2" borderId="4" xfId="0" applyNumberFormat="1" applyFont="1" applyFill="1" applyBorder="1" applyAlignment="1" applyProtection="1">
      <alignment vertical="center"/>
    </xf>
    <xf numFmtId="0" fontId="4" fillId="2" borderId="2" xfId="0" applyNumberFormat="1" applyFont="1" applyFill="1" applyBorder="1" applyAlignment="1" applyProtection="1">
      <alignment vertical="center"/>
    </xf>
    <xf numFmtId="0" fontId="4" fillId="2" borderId="3" xfId="0" applyNumberFormat="1" applyFont="1" applyFill="1" applyBorder="1" applyAlignment="1" applyProtection="1">
      <alignment vertical="center"/>
    </xf>
    <xf numFmtId="0" fontId="5" fillId="0" borderId="0" xfId="0" applyFont="1" applyAlignment="1">
      <alignment vertical="center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6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0" fontId="7" fillId="4" borderId="0" xfId="0" applyFont="1" applyFill="1"/>
    <xf numFmtId="0" fontId="7" fillId="4" borderId="0" xfId="0" applyFont="1" applyFill="1" applyAlignment="1">
      <alignment horizontal="center"/>
    </xf>
    <xf numFmtId="0" fontId="7" fillId="4" borderId="0" xfId="0" applyFont="1" applyFill="1" applyBorder="1"/>
    <xf numFmtId="0" fontId="8" fillId="4" borderId="0" xfId="0" applyFont="1" applyFill="1"/>
    <xf numFmtId="1" fontId="8" fillId="4" borderId="0" xfId="0" applyNumberFormat="1" applyFont="1" applyFill="1" applyAlignment="1">
      <alignment horizontal="center"/>
    </xf>
    <xf numFmtId="1" fontId="8" fillId="4" borderId="0" xfId="0" applyNumberFormat="1" applyFont="1" applyFill="1" applyBorder="1" applyAlignment="1">
      <alignment horizontal="center"/>
    </xf>
    <xf numFmtId="165" fontId="8" fillId="4" borderId="0" xfId="0" applyNumberFormat="1" applyFont="1" applyFill="1" applyBorder="1" applyAlignment="1">
      <alignment horizontal="center"/>
    </xf>
    <xf numFmtId="164" fontId="8" fillId="4" borderId="0" xfId="0" applyNumberFormat="1" applyFont="1" applyFill="1" applyBorder="1" applyAlignment="1" applyProtection="1">
      <alignment horizontal="center"/>
    </xf>
    <xf numFmtId="166" fontId="8" fillId="4" borderId="0" xfId="0" applyNumberFormat="1" applyFont="1" applyFill="1" applyBorder="1" applyAlignment="1" applyProtection="1">
      <alignment horizontal="center"/>
    </xf>
    <xf numFmtId="166" fontId="9" fillId="4" borderId="0" xfId="0" applyNumberFormat="1" applyFont="1" applyFill="1" applyBorder="1" applyAlignment="1" applyProtection="1">
      <alignment horizontal="center"/>
      <protection locked="0"/>
    </xf>
    <xf numFmtId="167" fontId="9" fillId="4" borderId="0" xfId="0" applyNumberFormat="1" applyFont="1" applyFill="1" applyBorder="1" applyAlignment="1" applyProtection="1">
      <alignment horizontal="center"/>
      <protection locked="0"/>
    </xf>
    <xf numFmtId="164" fontId="7" fillId="4" borderId="0" xfId="0" applyNumberFormat="1" applyFont="1" applyFill="1" applyBorder="1" applyAlignment="1" applyProtection="1">
      <alignment vertical="center"/>
    </xf>
    <xf numFmtId="164" fontId="7" fillId="4" borderId="0" xfId="0" applyNumberFormat="1" applyFont="1" applyFill="1" applyBorder="1" applyAlignment="1" applyProtection="1">
      <alignment horizontal="center"/>
    </xf>
    <xf numFmtId="167" fontId="7" fillId="4" borderId="0" xfId="0" applyNumberFormat="1" applyFont="1" applyFill="1" applyBorder="1" applyAlignment="1" applyProtection="1">
      <alignment horizontal="center"/>
    </xf>
    <xf numFmtId="166" fontId="7" fillId="4" borderId="0" xfId="0" applyNumberFormat="1" applyFont="1" applyFill="1" applyBorder="1" applyAlignment="1" applyProtection="1">
      <alignment horizontal="center"/>
    </xf>
    <xf numFmtId="167" fontId="7" fillId="4" borderId="0" xfId="0" applyNumberFormat="1" applyFont="1" applyFill="1" applyBorder="1" applyAlignment="1" applyProtection="1">
      <alignment horizontal="center"/>
      <protection locked="0"/>
    </xf>
    <xf numFmtId="0" fontId="8" fillId="4" borderId="0" xfId="0" applyFont="1" applyFill="1" applyBorder="1"/>
    <xf numFmtId="0" fontId="8" fillId="4" borderId="0" xfId="0" applyFont="1" applyFill="1" applyBorder="1" applyAlignment="1" applyProtection="1">
      <alignment horizontal="center"/>
    </xf>
    <xf numFmtId="0" fontId="7" fillId="4" borderId="0" xfId="0" applyFont="1" applyFill="1" applyBorder="1" applyAlignment="1" applyProtection="1">
      <alignment horizontal="center"/>
    </xf>
    <xf numFmtId="0" fontId="8" fillId="4" borderId="0" xfId="0" applyFont="1" applyFill="1" applyBorder="1" applyAlignment="1">
      <alignment horizontal="center"/>
    </xf>
    <xf numFmtId="0" fontId="8" fillId="4" borderId="0" xfId="0" quotePrefix="1" applyFont="1" applyFill="1" applyBorder="1" applyAlignment="1" applyProtection="1">
      <alignment horizontal="center"/>
    </xf>
    <xf numFmtId="0" fontId="10" fillId="4" borderId="0" xfId="0" applyFont="1" applyFill="1" applyBorder="1"/>
    <xf numFmtId="0" fontId="11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horizontal="center"/>
    </xf>
    <xf numFmtId="0" fontId="9" fillId="4" borderId="0" xfId="0" applyFont="1" applyFill="1" applyBorder="1"/>
    <xf numFmtId="0" fontId="7" fillId="4" borderId="0" xfId="0" applyFont="1" applyFill="1" applyBorder="1" applyAlignment="1"/>
    <xf numFmtId="164" fontId="12" fillId="4" borderId="0" xfId="0" applyNumberFormat="1" applyFont="1" applyFill="1" applyBorder="1" applyAlignment="1" applyProtection="1">
      <alignment horizontal="center"/>
    </xf>
    <xf numFmtId="167" fontId="12" fillId="4" borderId="0" xfId="0" applyNumberFormat="1" applyFont="1" applyFill="1" applyBorder="1" applyAlignment="1" applyProtection="1">
      <alignment horizontal="center"/>
    </xf>
    <xf numFmtId="166" fontId="12" fillId="4" borderId="0" xfId="0" applyNumberFormat="1" applyFont="1" applyFill="1" applyBorder="1" applyAlignment="1" applyProtection="1">
      <alignment horizontal="center"/>
    </xf>
    <xf numFmtId="167" fontId="12" fillId="4" borderId="0" xfId="0" applyNumberFormat="1" applyFont="1" applyFill="1" applyBorder="1" applyAlignment="1" applyProtection="1">
      <alignment horizontal="center"/>
      <protection locked="0"/>
    </xf>
    <xf numFmtId="0" fontId="7" fillId="4" borderId="0" xfId="0" applyFont="1" applyFill="1" applyBorder="1" applyAlignment="1" applyProtection="1">
      <alignment horizontal="left"/>
    </xf>
    <xf numFmtId="0" fontId="7" fillId="4" borderId="0" xfId="0" quotePrefix="1" applyFont="1" applyFill="1" applyBorder="1" applyAlignment="1" applyProtection="1">
      <alignment horizontal="left"/>
    </xf>
    <xf numFmtId="0" fontId="4" fillId="4" borderId="0" xfId="0" applyFont="1" applyFill="1"/>
    <xf numFmtId="167" fontId="8" fillId="4" borderId="0" xfId="0" applyNumberFormat="1" applyFont="1" applyFill="1" applyBorder="1" applyAlignment="1" applyProtection="1">
      <alignment horizontal="center"/>
      <protection locked="0"/>
    </xf>
    <xf numFmtId="166" fontId="7" fillId="4" borderId="0" xfId="0" applyNumberFormat="1" applyFont="1" applyFill="1" applyBorder="1" applyAlignment="1" applyProtection="1">
      <alignment horizontal="center"/>
      <protection locked="0"/>
    </xf>
    <xf numFmtId="0" fontId="13" fillId="4" borderId="0" xfId="0" applyFont="1" applyFill="1"/>
    <xf numFmtId="166" fontId="8" fillId="4" borderId="0" xfId="0" applyNumberFormat="1" applyFont="1" applyFill="1"/>
    <xf numFmtId="2" fontId="7" fillId="4" borderId="6" xfId="0" applyNumberFormat="1" applyFont="1" applyFill="1" applyBorder="1" applyAlignment="1">
      <alignment horizontal="center" vertical="center"/>
    </xf>
    <xf numFmtId="166" fontId="11" fillId="4" borderId="10" xfId="0" applyNumberFormat="1" applyFont="1" applyFill="1" applyBorder="1" applyAlignment="1" applyProtection="1">
      <alignment horizontal="center"/>
    </xf>
    <xf numFmtId="167" fontId="11" fillId="4" borderId="10" xfId="0" applyNumberFormat="1" applyFont="1" applyFill="1" applyBorder="1" applyAlignment="1" applyProtection="1">
      <alignment horizontal="center"/>
      <protection locked="0"/>
    </xf>
    <xf numFmtId="2" fontId="7" fillId="4" borderId="6" xfId="0" applyNumberFormat="1" applyFont="1" applyFill="1" applyBorder="1" applyAlignment="1">
      <alignment horizontal="center"/>
    </xf>
    <xf numFmtId="164" fontId="11" fillId="4" borderId="13" xfId="0" applyNumberFormat="1" applyFont="1" applyFill="1" applyBorder="1" applyAlignment="1" applyProtection="1">
      <alignment horizontal="center"/>
    </xf>
    <xf numFmtId="167" fontId="11" fillId="4" borderId="13" xfId="0" applyNumberFormat="1" applyFont="1" applyFill="1" applyBorder="1" applyAlignment="1" applyProtection="1">
      <alignment horizontal="center"/>
    </xf>
    <xf numFmtId="166" fontId="11" fillId="4" borderId="13" xfId="0" applyNumberFormat="1" applyFont="1" applyFill="1" applyBorder="1" applyAlignment="1" applyProtection="1">
      <alignment horizontal="center"/>
    </xf>
    <xf numFmtId="0" fontId="15" fillId="4" borderId="13" xfId="0" applyFont="1" applyFill="1" applyBorder="1"/>
    <xf numFmtId="164" fontId="11" fillId="4" borderId="8" xfId="0" applyNumberFormat="1" applyFont="1" applyFill="1" applyBorder="1" applyAlignment="1" applyProtection="1">
      <alignment horizontal="center"/>
    </xf>
    <xf numFmtId="167" fontId="11" fillId="4" borderId="8" xfId="0" applyNumberFormat="1" applyFont="1" applyFill="1" applyBorder="1" applyAlignment="1" applyProtection="1">
      <alignment horizontal="center"/>
    </xf>
    <xf numFmtId="166" fontId="11" fillId="4" borderId="8" xfId="0" applyNumberFormat="1" applyFont="1" applyFill="1" applyBorder="1" applyAlignment="1" applyProtection="1">
      <alignment horizontal="center"/>
    </xf>
    <xf numFmtId="167" fontId="11" fillId="4" borderId="8" xfId="0" applyNumberFormat="1" applyFont="1" applyFill="1" applyBorder="1" applyAlignment="1" applyProtection="1">
      <alignment horizontal="center"/>
      <protection locked="0"/>
    </xf>
    <xf numFmtId="0" fontId="7" fillId="4" borderId="10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/>
    <xf numFmtId="166" fontId="7" fillId="4" borderId="2" xfId="0" applyNumberFormat="1" applyFont="1" applyFill="1" applyBorder="1" applyAlignment="1" applyProtection="1">
      <alignment horizontal="center"/>
    </xf>
    <xf numFmtId="0" fontId="7" fillId="4" borderId="3" xfId="0" applyFont="1" applyFill="1" applyBorder="1" applyAlignment="1" applyProtection="1">
      <alignment horizontal="center"/>
    </xf>
    <xf numFmtId="0" fontId="7" fillId="4" borderId="2" xfId="0" applyFont="1" applyFill="1" applyBorder="1" applyAlignment="1" applyProtection="1">
      <alignment horizontal="center"/>
    </xf>
    <xf numFmtId="164" fontId="7" fillId="4" borderId="4" xfId="0" applyNumberFormat="1" applyFont="1" applyFill="1" applyBorder="1" applyAlignment="1">
      <alignment horizontal="left" vertical="center" indent="1"/>
    </xf>
    <xf numFmtId="0" fontId="7" fillId="4" borderId="8" xfId="0" applyFont="1" applyFill="1" applyBorder="1" applyAlignment="1">
      <alignment horizontal="center"/>
    </xf>
    <xf numFmtId="0" fontId="7" fillId="4" borderId="2" xfId="0" applyFont="1" applyFill="1" applyBorder="1"/>
    <xf numFmtId="0" fontId="7" fillId="4" borderId="0" xfId="0" applyFont="1" applyFill="1" applyBorder="1" applyAlignment="1" applyProtection="1">
      <alignment horizontal="left" vertical="center" indent="1"/>
    </xf>
    <xf numFmtId="0" fontId="7" fillId="4" borderId="0" xfId="0" applyFont="1" applyFill="1" applyBorder="1" applyAlignment="1" applyProtection="1">
      <alignment vertical="center"/>
    </xf>
    <xf numFmtId="0" fontId="7" fillId="4" borderId="0" xfId="0" applyFont="1" applyFill="1" applyBorder="1" applyAlignment="1" applyProtection="1">
      <alignment horizontal="left" vertical="center"/>
    </xf>
    <xf numFmtId="0" fontId="7" fillId="4" borderId="0" xfId="0" applyFont="1" applyFill="1" applyBorder="1" applyAlignment="1">
      <alignment horizontal="left"/>
    </xf>
    <xf numFmtId="0" fontId="7" fillId="4" borderId="9" xfId="0" applyFont="1" applyFill="1" applyBorder="1"/>
    <xf numFmtId="0" fontId="7" fillId="4" borderId="5" xfId="0" applyFont="1" applyFill="1" applyBorder="1"/>
    <xf numFmtId="0" fontId="7" fillId="4" borderId="5" xfId="0" applyFont="1" applyFill="1" applyBorder="1" applyAlignment="1">
      <alignment vertical="center"/>
    </xf>
    <xf numFmtId="0" fontId="11" fillId="4" borderId="7" xfId="0" applyFont="1" applyFill="1" applyBorder="1" applyAlignment="1">
      <alignment vertical="center"/>
    </xf>
    <xf numFmtId="0" fontId="7" fillId="4" borderId="2" xfId="0" applyFont="1" applyFill="1" applyBorder="1" applyAlignment="1">
      <alignment vertical="center"/>
    </xf>
    <xf numFmtId="0" fontId="11" fillId="4" borderId="4" xfId="0" applyFont="1" applyFill="1" applyBorder="1" applyAlignment="1">
      <alignment vertical="center"/>
    </xf>
    <xf numFmtId="0" fontId="14" fillId="4" borderId="0" xfId="0" applyFont="1" applyFill="1" applyBorder="1"/>
    <xf numFmtId="0" fontId="7" fillId="4" borderId="12" xfId="0" applyFont="1" applyFill="1" applyBorder="1"/>
    <xf numFmtId="0" fontId="7" fillId="4" borderId="1" xfId="0" applyFont="1" applyFill="1" applyBorder="1"/>
    <xf numFmtId="0" fontId="7" fillId="4" borderId="1" xfId="0" applyFont="1" applyFill="1" applyBorder="1" applyAlignment="1">
      <alignment vertical="center"/>
    </xf>
    <xf numFmtId="0" fontId="11" fillId="4" borderId="11" xfId="0" applyFont="1" applyFill="1" applyBorder="1" applyAlignment="1" applyProtection="1">
      <alignment horizontal="left" vertical="center"/>
    </xf>
    <xf numFmtId="0" fontId="7" fillId="4" borderId="11" xfId="0" applyFont="1" applyFill="1" applyBorder="1" applyAlignment="1" applyProtection="1">
      <alignment horizontal="left" vertical="center" indent="1"/>
    </xf>
    <xf numFmtId="0" fontId="11" fillId="4" borderId="4" xfId="0" applyFont="1" applyFill="1" applyBorder="1" applyAlignment="1" applyProtection="1">
      <alignment horizontal="left" vertical="center"/>
    </xf>
    <xf numFmtId="0" fontId="7" fillId="4" borderId="4" xfId="0" applyFont="1" applyFill="1" applyBorder="1" applyAlignment="1">
      <alignment horizontal="left" vertical="center" indent="1"/>
    </xf>
    <xf numFmtId="0" fontId="11" fillId="4" borderId="0" xfId="0" applyFont="1" applyFill="1" applyBorder="1" applyAlignment="1"/>
    <xf numFmtId="0" fontId="11" fillId="4" borderId="0" xfId="0" applyFont="1" applyFill="1"/>
    <xf numFmtId="0" fontId="16" fillId="4" borderId="0" xfId="0" applyFont="1" applyFill="1" applyAlignment="1" applyProtection="1">
      <alignment horizontal="left"/>
      <protection locked="0"/>
    </xf>
    <xf numFmtId="0" fontId="2" fillId="4" borderId="2" xfId="0" applyFont="1" applyFill="1" applyBorder="1"/>
    <xf numFmtId="0" fontId="3" fillId="4" borderId="4" xfId="0" applyFont="1" applyFill="1" applyBorder="1"/>
    <xf numFmtId="16" fontId="14" fillId="3" borderId="6" xfId="0" applyNumberFormat="1" applyFont="1" applyFill="1" applyBorder="1"/>
    <xf numFmtId="0" fontId="14" fillId="3" borderId="6" xfId="0" applyFont="1" applyFill="1" applyBorder="1" applyAlignment="1" applyProtection="1">
      <alignment horizontal="left"/>
    </xf>
    <xf numFmtId="0" fontId="14" fillId="3" borderId="6" xfId="0" applyFont="1" applyFill="1" applyBorder="1" applyAlignment="1">
      <alignment horizontal="left"/>
    </xf>
    <xf numFmtId="0" fontId="14" fillId="3" borderId="6" xfId="0" applyFont="1" applyFill="1" applyBorder="1" applyAlignment="1"/>
    <xf numFmtId="2" fontId="14" fillId="3" borderId="6" xfId="0" applyNumberFormat="1" applyFont="1" applyFill="1" applyBorder="1" applyAlignment="1">
      <alignment horizontal="center"/>
    </xf>
    <xf numFmtId="0" fontId="14" fillId="3" borderId="6" xfId="0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0" fontId="7" fillId="4" borderId="0" xfId="0" applyFont="1" applyFill="1" applyBorder="1" applyAlignment="1" applyProtection="1">
      <alignment horizontal="center"/>
    </xf>
    <xf numFmtId="49" fontId="7" fillId="4" borderId="6" xfId="0" applyNumberFormat="1" applyFont="1" applyFill="1" applyBorder="1" applyAlignment="1">
      <alignment horizontal="center" vertical="center"/>
    </xf>
    <xf numFmtId="49" fontId="17" fillId="3" borderId="6" xfId="0" applyNumberFormat="1" applyFont="1" applyFill="1" applyBorder="1" applyAlignment="1">
      <alignment horizontal="center"/>
    </xf>
    <xf numFmtId="0" fontId="18" fillId="0" borderId="6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20" fillId="0" borderId="6" xfId="0" applyFont="1" applyBorder="1" applyAlignment="1">
      <alignment vertical="center"/>
    </xf>
    <xf numFmtId="0" fontId="19" fillId="5" borderId="6" xfId="0" applyFont="1" applyFill="1" applyBorder="1" applyAlignment="1">
      <alignment vertical="center"/>
    </xf>
    <xf numFmtId="0" fontId="1" fillId="0" borderId="6" xfId="0" applyFont="1" applyFill="1" applyBorder="1" applyAlignment="1" applyProtection="1">
      <alignment horizontal="center" vertical="center"/>
    </xf>
    <xf numFmtId="0" fontId="1" fillId="2" borderId="6" xfId="0" applyFont="1" applyFill="1" applyBorder="1" applyAlignment="1" applyProtection="1">
      <alignment horizontal="center" vertical="center"/>
    </xf>
    <xf numFmtId="0" fontId="11" fillId="4" borderId="4" xfId="0" applyFont="1" applyFill="1" applyBorder="1" applyAlignment="1" applyProtection="1">
      <alignment horizontal="left" vertical="center"/>
    </xf>
    <xf numFmtId="0" fontId="11" fillId="4" borderId="2" xfId="0" applyFont="1" applyFill="1" applyBorder="1" applyAlignment="1" applyProtection="1">
      <alignment horizontal="left" vertical="center"/>
    </xf>
    <xf numFmtId="0" fontId="11" fillId="4" borderId="4" xfId="0" applyFont="1" applyFill="1" applyBorder="1" applyAlignment="1">
      <alignment horizontal="left" vertical="center"/>
    </xf>
    <xf numFmtId="0" fontId="11" fillId="4" borderId="2" xfId="0" applyFont="1" applyFill="1" applyBorder="1" applyAlignment="1">
      <alignment horizontal="left" vertical="center"/>
    </xf>
    <xf numFmtId="0" fontId="11" fillId="4" borderId="0" xfId="0" applyFont="1" applyFill="1" applyBorder="1" applyAlignment="1" applyProtection="1">
      <alignment horizontal="center"/>
    </xf>
    <xf numFmtId="167" fontId="11" fillId="4" borderId="8" xfId="0" applyNumberFormat="1" applyFont="1" applyFill="1" applyBorder="1" applyAlignment="1" applyProtection="1">
      <alignment horizontal="center" vertical="center"/>
    </xf>
    <xf numFmtId="167" fontId="11" fillId="4" borderId="13" xfId="0" applyNumberFormat="1" applyFont="1" applyFill="1" applyBorder="1" applyAlignment="1" applyProtection="1">
      <alignment horizontal="center" vertical="center"/>
    </xf>
    <xf numFmtId="167" fontId="11" fillId="4" borderId="10" xfId="0" applyNumberFormat="1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0" fontId="7" fillId="4" borderId="0" xfId="0" applyFont="1" applyFill="1" applyBorder="1" applyAlignment="1" applyProtection="1">
      <alignment horizontal="center"/>
    </xf>
    <xf numFmtId="2" fontId="7" fillId="4" borderId="8" xfId="0" applyNumberFormat="1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169" fontId="7" fillId="4" borderId="4" xfId="0" applyNumberFormat="1" applyFont="1" applyFill="1" applyBorder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L"/>
              <a:t>Gráfico Tensión - Deformación
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Natural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C5-43A6-AA18-2D566427B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887584"/>
        <c:axId val="687887040"/>
      </c:scatterChart>
      <c:valAx>
        <c:axId val="687887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Deformación Unitaria, [%]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87887040"/>
        <c:crosses val="autoZero"/>
        <c:crossBetween val="midCat"/>
      </c:valAx>
      <c:valAx>
        <c:axId val="6878870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Presión Axial,  [kg/cm2]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8788758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3.5433070866141736" l="0.59055118110236227" r="0.59055118110236227" t="2.3622047244094491" header="0" footer="0"/>
    <c:pageSetup orientation="portrait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FF0000"/>
                </a:solidFill>
                <a:prstDash val="sysDash"/>
              </a:ln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s-419"/>
                </a:p>
              </c:txPr>
            </c:trendlineLbl>
          </c:trendline>
          <c:xVal>
            <c:numLit>
              <c:formatCode>General</c:formatCode>
              <c:ptCount val="14"/>
              <c:pt idx="0">
                <c:v>4</c:v>
              </c:pt>
              <c:pt idx="1">
                <c:v>5.5</c:v>
              </c:pt>
              <c:pt idx="2">
                <c:v>4.5</c:v>
              </c:pt>
              <c:pt idx="3">
                <c:v>3.5</c:v>
              </c:pt>
              <c:pt idx="4">
                <c:v>5.4</c:v>
              </c:pt>
              <c:pt idx="5">
                <c:v>4.5999999999999996</c:v>
              </c:pt>
              <c:pt idx="6">
                <c:v>3.5</c:v>
              </c:pt>
              <c:pt idx="7">
                <c:v>2.2999999999999998</c:v>
              </c:pt>
              <c:pt idx="8">
                <c:v>1.9</c:v>
              </c:pt>
              <c:pt idx="9">
                <c:v>1.3</c:v>
              </c:pt>
              <c:pt idx="10">
                <c:v>3</c:v>
              </c:pt>
              <c:pt idx="11">
                <c:v>1.7</c:v>
              </c:pt>
              <c:pt idx="12">
                <c:v>2.8</c:v>
              </c:pt>
              <c:pt idx="13">
                <c:v>3</c:v>
              </c:pt>
            </c:numLit>
          </c:xVal>
          <c:yVal>
            <c:numLit>
              <c:formatCode>General</c:formatCode>
              <c:ptCount val="14"/>
              <c:pt idx="0">
                <c:v>39.671500000000002</c:v>
              </c:pt>
              <c:pt idx="1">
                <c:v>21.460165289256196</c:v>
              </c:pt>
              <c:pt idx="2">
                <c:v>32.057777777777773</c:v>
              </c:pt>
              <c:pt idx="3">
                <c:v>51.815836734693882</c:v>
              </c:pt>
              <c:pt idx="4">
                <c:v>28.693689986282575</c:v>
              </c:pt>
              <c:pt idx="5">
                <c:v>30.67911153119093</c:v>
              </c:pt>
              <c:pt idx="6">
                <c:v>35.328979591836735</c:v>
              </c:pt>
              <c:pt idx="7">
                <c:v>68.175803402646508</c:v>
              </c:pt>
              <c:pt idx="8">
                <c:v>91.910803324099732</c:v>
              </c:pt>
              <c:pt idx="9">
                <c:v>102.43313609467454</c:v>
              </c:pt>
              <c:pt idx="10">
                <c:v>44.88088888888889</c:v>
              </c:pt>
              <c:pt idx="11">
                <c:v>79.867128027681673</c:v>
              </c:pt>
              <c:pt idx="12">
                <c:v>47.841326530612257</c:v>
              </c:pt>
              <c:pt idx="13">
                <c:v>54.498222222222218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99A-471D-92BB-A01D6FD60BDE}"/>
            </c:ext>
          </c:extLst>
        </c:ser>
        <c:ser>
          <c:idx val="1"/>
          <c:order val="1"/>
          <c:spPr>
            <a:ln w="317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3"/>
              <c:pt idx="0">
                <c:v>5</c:v>
              </c:pt>
              <c:pt idx="1">
                <c:v>5</c:v>
              </c:pt>
              <c:pt idx="2">
                <c:v>1</c:v>
              </c:pt>
            </c:numLit>
          </c:xVal>
          <c:yVal>
            <c:numLit>
              <c:formatCode>General</c:formatCode>
              <c:ptCount val="3"/>
              <c:pt idx="0">
                <c:v>1</c:v>
              </c:pt>
              <c:pt idx="1">
                <c:v>28.811497220990645</c:v>
              </c:pt>
              <c:pt idx="2">
                <c:v>28.811497220990645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99A-471D-92BB-A01D6FD60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890304"/>
        <c:axId val="687891392"/>
      </c:scatterChart>
      <c:valAx>
        <c:axId val="687890304"/>
        <c:scaling>
          <c:orientation val="minMax"/>
        </c:scaling>
        <c:delete val="0"/>
        <c:axPos val="b"/>
        <c:numFmt formatCode="General" sourceLinked="0"/>
        <c:majorTickMark val="cross"/>
        <c:minorTickMark val="cross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687891392"/>
        <c:crosses val="autoZero"/>
        <c:crossBetween val="midCat"/>
      </c:valAx>
      <c:valAx>
        <c:axId val="687891392"/>
        <c:scaling>
          <c:logBase val="10"/>
          <c:orientation val="minMax"/>
          <c:max val="1000"/>
          <c:min val="1"/>
        </c:scaling>
        <c:delete val="0"/>
        <c:axPos val="l"/>
        <c:numFmt formatCode="General" sourceLinked="0"/>
        <c:majorTickMark val="cross"/>
        <c:minorTickMark val="cross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68789030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L"/>
              <a:t>Gráfico Tensión - Deformación
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Natural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#REF!#REF!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E2-44FE-A34C-360FE1136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892480"/>
        <c:axId val="687880512"/>
      </c:scatterChart>
      <c:valAx>
        <c:axId val="687892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Deformación Unitaria, [%]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87880512"/>
        <c:crosses val="autoZero"/>
        <c:crossBetween val="midCat"/>
      </c:valAx>
      <c:valAx>
        <c:axId val="6878805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Presión Axial,  [kg/cm2]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87892480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3.5433070866141736" l="0.59055118110236227" r="0.59055118110236227" t="2.3622047244094491" header="0" footer="0"/>
    <c:pageSetup orientation="portrait" horizontalDpi="300" verticalDpi="300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4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jpeg"/><Relationship Id="rId5" Type="http://schemas.openxmlformats.org/officeDocument/2006/relationships/image" Target="../media/image2.jpeg"/><Relationship Id="rId4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7</xdr:row>
      <xdr:rowOff>85725</xdr:rowOff>
    </xdr:from>
    <xdr:to>
      <xdr:col>9</xdr:col>
      <xdr:colOff>304800</xdr:colOff>
      <xdr:row>11</xdr:row>
      <xdr:rowOff>142875</xdr:rowOff>
    </xdr:to>
    <xdr:sp macro="[0]!Módulo1.CrearHojas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315075" y="1219200"/>
          <a:ext cx="1600200" cy="70485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800" b="1" i="0"/>
            <a:t>CREAR HOJAS</a:t>
          </a:r>
        </a:p>
      </xdr:txBody>
    </xdr:sp>
    <xdr:clientData/>
  </xdr:twoCellAnchor>
  <xdr:twoCellAnchor>
    <xdr:from>
      <xdr:col>9</xdr:col>
      <xdr:colOff>714375</xdr:colOff>
      <xdr:row>7</xdr:row>
      <xdr:rowOff>80963</xdr:rowOff>
    </xdr:from>
    <xdr:to>
      <xdr:col>11</xdr:col>
      <xdr:colOff>600075</xdr:colOff>
      <xdr:row>11</xdr:row>
      <xdr:rowOff>147638</xdr:rowOff>
    </xdr:to>
    <xdr:sp macro="[0]!Módulo1.CambiaNombres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324850" y="1214438"/>
          <a:ext cx="1562100" cy="714375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600" b="1" i="1"/>
            <a:t>CAMBIAR</a:t>
          </a:r>
          <a:r>
            <a:rPr lang="es-ES" sz="1600" b="1" i="1" baseline="0"/>
            <a:t> NOMBRE HOJAS</a:t>
          </a:r>
          <a:endParaRPr lang="es-ES" sz="16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152400</xdr:colOff>
      <xdr:row>64</xdr:row>
      <xdr:rowOff>0</xdr:rowOff>
    </xdr:from>
    <xdr:to>
      <xdr:col>21</xdr:col>
      <xdr:colOff>0</xdr:colOff>
      <xdr:row>64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0</xdr:col>
      <xdr:colOff>0</xdr:colOff>
      <xdr:row>66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152400</xdr:colOff>
      <xdr:row>64</xdr:row>
      <xdr:rowOff>0</xdr:rowOff>
    </xdr:from>
    <xdr:to>
      <xdr:col>21</xdr:col>
      <xdr:colOff>0</xdr:colOff>
      <xdr:row>64</xdr:row>
      <xdr:rowOff>0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220800</xdr:colOff>
      <xdr:row>39</xdr:row>
      <xdr:rowOff>79519</xdr:rowOff>
    </xdr:from>
    <xdr:to>
      <xdr:col>17</xdr:col>
      <xdr:colOff>180399</xdr:colOff>
      <xdr:row>40</xdr:row>
      <xdr:rowOff>61773</xdr:rowOff>
    </xdr:to>
    <xdr:sp macro="" textlink="">
      <xdr:nvSpPr>
        <xdr:cNvPr id="5" name="Text Box 4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6555824" y="6962679"/>
          <a:ext cx="2880000" cy="144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/>
              <a:cs typeface="Arial"/>
            </a:rPr>
            <a:t>Fotografía  antes de ensayo</a:t>
          </a:r>
        </a:p>
      </xdr:txBody>
    </xdr:sp>
    <xdr:clientData/>
  </xdr:twoCellAnchor>
  <xdr:twoCellAnchor>
    <xdr:from>
      <xdr:col>13</xdr:col>
      <xdr:colOff>220800</xdr:colOff>
      <xdr:row>57</xdr:row>
      <xdr:rowOff>44211</xdr:rowOff>
    </xdr:from>
    <xdr:to>
      <xdr:col>17</xdr:col>
      <xdr:colOff>180399</xdr:colOff>
      <xdr:row>58</xdr:row>
      <xdr:rowOff>62465</xdr:rowOff>
    </xdr:to>
    <xdr:sp macro="" textlink="">
      <xdr:nvSpPr>
        <xdr:cNvPr id="6" name="Text Box 4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6555824" y="9838786"/>
          <a:ext cx="2880000" cy="18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/>
              <a:cs typeface="Arial"/>
            </a:rPr>
            <a:t>Fotografía después de ensayo</a:t>
          </a:r>
        </a:p>
      </xdr:txBody>
    </xdr:sp>
    <xdr:clientData/>
  </xdr:twoCellAnchor>
  <xdr:twoCellAnchor>
    <xdr:from>
      <xdr:col>13</xdr:col>
      <xdr:colOff>247650</xdr:colOff>
      <xdr:row>28</xdr:row>
      <xdr:rowOff>28574</xdr:rowOff>
    </xdr:from>
    <xdr:to>
      <xdr:col>17</xdr:col>
      <xdr:colOff>135249</xdr:colOff>
      <xdr:row>39</xdr:row>
      <xdr:rowOff>67801</xdr:rowOff>
    </xdr:to>
    <xdr:sp macro="" textlink="">
      <xdr:nvSpPr>
        <xdr:cNvPr id="7" name="Rectangle 43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rrowheads="1"/>
        </xdr:cNvSpPr>
      </xdr:nvSpPr>
      <xdr:spPr bwMode="auto">
        <a:xfrm>
          <a:off x="6582674" y="4862961"/>
          <a:ext cx="2808000" cy="2088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247650</xdr:colOff>
      <xdr:row>44</xdr:row>
      <xdr:rowOff>63439</xdr:rowOff>
    </xdr:from>
    <xdr:to>
      <xdr:col>17</xdr:col>
      <xdr:colOff>135249</xdr:colOff>
      <xdr:row>57</xdr:row>
      <xdr:rowOff>48751</xdr:rowOff>
    </xdr:to>
    <xdr:sp macro="" textlink="">
      <xdr:nvSpPr>
        <xdr:cNvPr id="8" name="Rectangle 4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Arrowheads="1"/>
        </xdr:cNvSpPr>
      </xdr:nvSpPr>
      <xdr:spPr bwMode="auto">
        <a:xfrm>
          <a:off x="6582674" y="7755326"/>
          <a:ext cx="2808000" cy="2088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538080</xdr:colOff>
      <xdr:row>57</xdr:row>
      <xdr:rowOff>44211</xdr:rowOff>
    </xdr:from>
    <xdr:to>
      <xdr:col>20</xdr:col>
      <xdr:colOff>389849</xdr:colOff>
      <xdr:row>58</xdr:row>
      <xdr:rowOff>62465</xdr:rowOff>
    </xdr:to>
    <xdr:sp macro="" textlink="">
      <xdr:nvSpPr>
        <xdr:cNvPr id="9" name="Text Box 42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9793505" y="9838786"/>
          <a:ext cx="2880000" cy="18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/>
              <a:cs typeface="Arial"/>
            </a:rPr>
            <a:t>Fotografía después de ensayo</a:t>
          </a:r>
        </a:p>
      </xdr:txBody>
    </xdr:sp>
    <xdr:clientData/>
  </xdr:twoCellAnchor>
  <xdr:twoCellAnchor>
    <xdr:from>
      <xdr:col>17</xdr:col>
      <xdr:colOff>552449</xdr:colOff>
      <xdr:row>28</xdr:row>
      <xdr:rowOff>28574</xdr:rowOff>
    </xdr:from>
    <xdr:to>
      <xdr:col>20</xdr:col>
      <xdr:colOff>332218</xdr:colOff>
      <xdr:row>39</xdr:row>
      <xdr:rowOff>67801</xdr:rowOff>
    </xdr:to>
    <xdr:sp macro="" textlink="">
      <xdr:nvSpPr>
        <xdr:cNvPr id="10" name="Rectangle 4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9807874" y="4862961"/>
          <a:ext cx="2808000" cy="2088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552449</xdr:colOff>
      <xdr:row>44</xdr:row>
      <xdr:rowOff>63439</xdr:rowOff>
    </xdr:from>
    <xdr:to>
      <xdr:col>20</xdr:col>
      <xdr:colOff>333374</xdr:colOff>
      <xdr:row>57</xdr:row>
      <xdr:rowOff>48751</xdr:rowOff>
    </xdr:to>
    <xdr:sp macro="" textlink="">
      <xdr:nvSpPr>
        <xdr:cNvPr id="11" name="Rectangle 43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Arrowheads="1"/>
        </xdr:cNvSpPr>
      </xdr:nvSpPr>
      <xdr:spPr bwMode="auto">
        <a:xfrm>
          <a:off x="9807874" y="7755326"/>
          <a:ext cx="2809156" cy="2088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538080</xdr:colOff>
      <xdr:row>39</xdr:row>
      <xdr:rowOff>79519</xdr:rowOff>
    </xdr:from>
    <xdr:to>
      <xdr:col>20</xdr:col>
      <xdr:colOff>389849</xdr:colOff>
      <xdr:row>40</xdr:row>
      <xdr:rowOff>61773</xdr:rowOff>
    </xdr:to>
    <xdr:sp macro="" textlink="">
      <xdr:nvSpPr>
        <xdr:cNvPr id="12" name="Text Box 4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9793505" y="6962679"/>
          <a:ext cx="2880000" cy="144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/>
              <a:cs typeface="Arial"/>
            </a:rPr>
            <a:t>Fotografía  antes de ensayo</a:t>
          </a:r>
        </a:p>
      </xdr:txBody>
    </xdr:sp>
    <xdr:clientData/>
  </xdr:twoCellAnchor>
  <xdr:twoCellAnchor>
    <xdr:from>
      <xdr:col>13</xdr:col>
      <xdr:colOff>276225</xdr:colOff>
      <xdr:row>26</xdr:row>
      <xdr:rowOff>28575</xdr:rowOff>
    </xdr:from>
    <xdr:to>
      <xdr:col>17</xdr:col>
      <xdr:colOff>235824</xdr:colOff>
      <xdr:row>28</xdr:row>
      <xdr:rowOff>9525</xdr:rowOff>
    </xdr:to>
    <xdr:grpSp>
      <xdr:nvGrpSpPr>
        <xdr:cNvPr id="13" name="Grupo 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>
          <a:grpSpLocks/>
        </xdr:cNvGrpSpPr>
      </xdr:nvGrpSpPr>
      <xdr:grpSpPr bwMode="auto">
        <a:xfrm>
          <a:off x="7867650" y="4505325"/>
          <a:ext cx="2893299" cy="361950"/>
          <a:chOff x="6298493" y="4547682"/>
          <a:chExt cx="2803079" cy="266071"/>
        </a:xfrm>
      </xdr:grpSpPr>
      <xdr:sp macro="" textlink="$W$1">
        <xdr:nvSpPr>
          <xdr:cNvPr id="14" name="40 CuadroTexto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 bwMode="auto">
          <a:xfrm>
            <a:off x="6298493" y="4547682"/>
            <a:ext cx="2803079" cy="1400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34F698DA-1581-4545-A854-6504F229072A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l"/>
              <a:t>PROYECTO  :  C1BH-L12-L10-3+830-HL</a:t>
            </a:fld>
            <a:endParaRPr lang="es-ES" sz="800"/>
          </a:p>
        </xdr:txBody>
      </xdr:sp>
      <xdr:sp macro="" textlink="$W$2">
        <xdr:nvSpPr>
          <xdr:cNvPr id="15" name="41 CuadroTexto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 bwMode="auto">
          <a:xfrm>
            <a:off x="6298493" y="4673716"/>
            <a:ext cx="2803079" cy="1400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99DAC15D-F3B4-45F9-B6C1-0E0FA4C9FB2A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l"/>
              <a:t>MUESTRA  :  C1BH-L12-L10-3+830-HL (02,00-02,29)</a:t>
            </a:fld>
            <a:endParaRPr lang="es-ES" sz="800"/>
          </a:p>
        </xdr:txBody>
      </xdr:sp>
    </xdr:grpSp>
    <xdr:clientData/>
  </xdr:twoCellAnchor>
  <xdr:twoCellAnchor>
    <xdr:from>
      <xdr:col>13</xdr:col>
      <xdr:colOff>276225</xdr:colOff>
      <xdr:row>41</xdr:row>
      <xdr:rowOff>161744</xdr:rowOff>
    </xdr:from>
    <xdr:to>
      <xdr:col>17</xdr:col>
      <xdr:colOff>235824</xdr:colOff>
      <xdr:row>44</xdr:row>
      <xdr:rowOff>36508</xdr:rowOff>
    </xdr:to>
    <xdr:grpSp>
      <xdr:nvGrpSpPr>
        <xdr:cNvPr id="16" name="Grupo 39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>
          <a:grpSpLocks/>
        </xdr:cNvGrpSpPr>
      </xdr:nvGrpSpPr>
      <xdr:grpSpPr bwMode="auto">
        <a:xfrm>
          <a:off x="7867650" y="7410269"/>
          <a:ext cx="2893299" cy="360539"/>
          <a:chOff x="6298493" y="4547682"/>
          <a:chExt cx="2803079" cy="266071"/>
        </a:xfrm>
      </xdr:grpSpPr>
      <xdr:sp macro="" textlink="$W$1">
        <xdr:nvSpPr>
          <xdr:cNvPr id="17" name="40 CuadroTexto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 bwMode="auto">
          <a:xfrm>
            <a:off x="6298493" y="4547682"/>
            <a:ext cx="2803079" cy="1425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639388AC-ECD2-45E0-B95C-E5BCB4894555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l"/>
              <a:t>PROYECTO  :  C1BH-L12-L10-3+830-HL</a:t>
            </a:fld>
            <a:endParaRPr lang="es-ES" sz="800"/>
          </a:p>
        </xdr:txBody>
      </xdr:sp>
      <xdr:sp macro="" textlink="$W$2">
        <xdr:nvSpPr>
          <xdr:cNvPr id="18" name="41 CuadroTexto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 txBox="1"/>
        </xdr:nvSpPr>
        <xdr:spPr bwMode="auto">
          <a:xfrm>
            <a:off x="6298493" y="4671215"/>
            <a:ext cx="2803079" cy="1425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52C74D18-212E-46EA-B160-7E99D824D38B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l"/>
              <a:t>MUESTRA  :  C1BH-L12-L10-3+830-HL (02,00-02,29)</a:t>
            </a:fld>
            <a:endParaRPr lang="es-ES" sz="800"/>
          </a:p>
        </xdr:txBody>
      </xdr:sp>
    </xdr:grpSp>
    <xdr:clientData/>
  </xdr:twoCellAnchor>
  <xdr:twoCellAnchor>
    <xdr:from>
      <xdr:col>17</xdr:col>
      <xdr:colOff>561975</xdr:colOff>
      <xdr:row>41</xdr:row>
      <xdr:rowOff>152399</xdr:rowOff>
    </xdr:from>
    <xdr:to>
      <xdr:col>20</xdr:col>
      <xdr:colOff>413744</xdr:colOff>
      <xdr:row>44</xdr:row>
      <xdr:rowOff>27163</xdr:rowOff>
    </xdr:to>
    <xdr:grpSp>
      <xdr:nvGrpSpPr>
        <xdr:cNvPr id="19" name="Grupo 42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>
          <a:grpSpLocks/>
        </xdr:cNvGrpSpPr>
      </xdr:nvGrpSpPr>
      <xdr:grpSpPr bwMode="auto">
        <a:xfrm>
          <a:off x="11087100" y="7400924"/>
          <a:ext cx="3118844" cy="360539"/>
          <a:chOff x="6298493" y="4547682"/>
          <a:chExt cx="2803079" cy="266071"/>
        </a:xfrm>
      </xdr:grpSpPr>
      <xdr:sp macro="" textlink="$W$1">
        <xdr:nvSpPr>
          <xdr:cNvPr id="20" name="40 CuadroTexto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 bwMode="auto">
          <a:xfrm>
            <a:off x="6298493" y="4547682"/>
            <a:ext cx="2803079" cy="1425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6E83FFFF-B33F-4EC5-9186-810B1AC306ED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l"/>
              <a:t>PROYECTO  :  C1BH-L12-L10-3+830-HL</a:t>
            </a:fld>
            <a:endParaRPr lang="es-ES" sz="800"/>
          </a:p>
        </xdr:txBody>
      </xdr:sp>
      <xdr:sp macro="" textlink="$W$2">
        <xdr:nvSpPr>
          <xdr:cNvPr id="21" name="41 CuadroTexto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 bwMode="auto">
          <a:xfrm>
            <a:off x="6298493" y="4671215"/>
            <a:ext cx="2803079" cy="1425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7E8CED1D-1C3B-490D-92ED-1D14C21578B8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l"/>
              <a:t>MUESTRA  :  C1BH-L12-L10-3+830-HL (02,00-02,29)</a:t>
            </a:fld>
            <a:endParaRPr lang="es-ES" sz="800"/>
          </a:p>
        </xdr:txBody>
      </xdr:sp>
    </xdr:grpSp>
    <xdr:clientData/>
  </xdr:twoCellAnchor>
  <xdr:twoCellAnchor>
    <xdr:from>
      <xdr:col>17</xdr:col>
      <xdr:colOff>504825</xdr:colOff>
      <xdr:row>26</xdr:row>
      <xdr:rowOff>28575</xdr:rowOff>
    </xdr:from>
    <xdr:to>
      <xdr:col>20</xdr:col>
      <xdr:colOff>356594</xdr:colOff>
      <xdr:row>28</xdr:row>
      <xdr:rowOff>9525</xdr:rowOff>
    </xdr:to>
    <xdr:grpSp>
      <xdr:nvGrpSpPr>
        <xdr:cNvPr id="22" name="Grupo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>
          <a:grpSpLocks/>
        </xdr:cNvGrpSpPr>
      </xdr:nvGrpSpPr>
      <xdr:grpSpPr bwMode="auto">
        <a:xfrm>
          <a:off x="11029950" y="4505325"/>
          <a:ext cx="3118844" cy="361950"/>
          <a:chOff x="6298493" y="4547682"/>
          <a:chExt cx="2803079" cy="266071"/>
        </a:xfrm>
      </xdr:grpSpPr>
      <xdr:sp macro="" textlink="$W$1">
        <xdr:nvSpPr>
          <xdr:cNvPr id="23" name="40 CuadroTexto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 txBox="1"/>
        </xdr:nvSpPr>
        <xdr:spPr bwMode="auto">
          <a:xfrm>
            <a:off x="6298493" y="4547682"/>
            <a:ext cx="2803079" cy="1400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AE38D035-3B48-4645-A33D-D7F7650BE7AB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l"/>
              <a:t>PROYECTO  :  C1BH-L12-L10-3+830-HL</a:t>
            </a:fld>
            <a:endParaRPr lang="es-ES" sz="800"/>
          </a:p>
        </xdr:txBody>
      </xdr:sp>
      <xdr:sp macro="" textlink="$W$2">
        <xdr:nvSpPr>
          <xdr:cNvPr id="24" name="41 CuadroTexto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 txBox="1"/>
        </xdr:nvSpPr>
        <xdr:spPr bwMode="auto">
          <a:xfrm>
            <a:off x="6298493" y="4673716"/>
            <a:ext cx="2803079" cy="1400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D00FC41D-D664-4E1A-8B2B-FC26A8CCBD10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l"/>
              <a:t>MUESTRA  :  C1BH-L12-L10-3+830-HL (02,00-02,29)</a:t>
            </a:fld>
            <a:endParaRPr lang="es-ES" sz="800"/>
          </a:p>
        </xdr:txBody>
      </xdr:sp>
    </xdr:grpSp>
    <xdr:clientData/>
  </xdr:twoCellAnchor>
  <xdr:twoCellAnchor editAs="oneCell">
    <xdr:from>
      <xdr:col>17</xdr:col>
      <xdr:colOff>548138</xdr:colOff>
      <xdr:row>28</xdr:row>
      <xdr:rowOff>26957</xdr:rowOff>
    </xdr:from>
    <xdr:to>
      <xdr:col>20</xdr:col>
      <xdr:colOff>332477</xdr:colOff>
      <xdr:row>39</xdr:row>
      <xdr:rowOff>86622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4B7E2450-583C-4198-A9FC-E183EA3914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1043610" y="4861344"/>
          <a:ext cx="3055188" cy="2108438"/>
        </a:xfrm>
        <a:prstGeom prst="rect">
          <a:avLst/>
        </a:prstGeom>
      </xdr:spPr>
    </xdr:pic>
    <xdr:clientData/>
  </xdr:twoCellAnchor>
  <xdr:twoCellAnchor editAs="oneCell">
    <xdr:from>
      <xdr:col>13</xdr:col>
      <xdr:colOff>248844</xdr:colOff>
      <xdr:row>28</xdr:row>
      <xdr:rowOff>35943</xdr:rowOff>
    </xdr:from>
    <xdr:to>
      <xdr:col>17</xdr:col>
      <xdr:colOff>143773</xdr:colOff>
      <xdr:row>39</xdr:row>
      <xdr:rowOff>83864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DF421082-5BEC-494F-95F4-B6B0DA688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823915" y="4870330"/>
          <a:ext cx="2815330" cy="2096694"/>
        </a:xfrm>
        <a:prstGeom prst="rect">
          <a:avLst/>
        </a:prstGeom>
      </xdr:spPr>
    </xdr:pic>
    <xdr:clientData/>
  </xdr:twoCellAnchor>
  <xdr:twoCellAnchor editAs="oneCell">
    <xdr:from>
      <xdr:col>17</xdr:col>
      <xdr:colOff>551091</xdr:colOff>
      <xdr:row>44</xdr:row>
      <xdr:rowOff>57150</xdr:rowOff>
    </xdr:from>
    <xdr:to>
      <xdr:col>20</xdr:col>
      <xdr:colOff>333376</xdr:colOff>
      <xdr:row>57</xdr:row>
      <xdr:rowOff>47162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5E232A77-C732-4D0E-8AAD-277024E9D7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1076216" y="7791450"/>
          <a:ext cx="3049360" cy="2095037"/>
        </a:xfrm>
        <a:prstGeom prst="rect">
          <a:avLst/>
        </a:prstGeom>
      </xdr:spPr>
    </xdr:pic>
    <xdr:clientData/>
  </xdr:twoCellAnchor>
  <xdr:twoCellAnchor editAs="oneCell">
    <xdr:from>
      <xdr:col>13</xdr:col>
      <xdr:colOff>243890</xdr:colOff>
      <xdr:row>44</xdr:row>
      <xdr:rowOff>66674</xdr:rowOff>
    </xdr:from>
    <xdr:to>
      <xdr:col>17</xdr:col>
      <xdr:colOff>142875</xdr:colOff>
      <xdr:row>57</xdr:row>
      <xdr:rowOff>44942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61CCA789-581B-4D02-BD6C-7095AF9954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835315" y="7800974"/>
          <a:ext cx="2832685" cy="208329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7.83.33\seccion%20laboratorio\Documents%20and%20Settings\geo\Escritorio\Laboratorio\MERVAL4\Carga%20Puntu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saye Carga Puntual"/>
    </sheetNames>
    <sheetDataSet>
      <sheetData sheetId="0">
        <row r="8">
          <cell r="A8">
            <v>4</v>
          </cell>
        </row>
        <row r="9">
          <cell r="A9">
            <v>5.5</v>
          </cell>
        </row>
        <row r="10">
          <cell r="A10">
            <v>4.5</v>
          </cell>
        </row>
        <row r="11">
          <cell r="A11">
            <v>3.5</v>
          </cell>
        </row>
        <row r="12">
          <cell r="A12">
            <v>5.4</v>
          </cell>
        </row>
        <row r="13">
          <cell r="A13">
            <v>4.5999999999999996</v>
          </cell>
        </row>
        <row r="14">
          <cell r="A14">
            <v>3.5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P16"/>
  <sheetViews>
    <sheetView showGridLines="0" workbookViewId="0">
      <selection activeCell="E22" sqref="E22"/>
    </sheetView>
  </sheetViews>
  <sheetFormatPr baseColWidth="10" defaultRowHeight="12.75" x14ac:dyDescent="0.15"/>
  <cols>
    <col min="1" max="1" width="6.125" style="5" customWidth="1"/>
    <col min="2" max="2" width="12.875" style="5" bestFit="1" customWidth="1"/>
    <col min="3" max="3" width="12.375" style="5" customWidth="1"/>
    <col min="4" max="8" width="11.5" style="5" customWidth="1"/>
    <col min="9" max="16384" width="11" style="5"/>
  </cols>
  <sheetData>
    <row r="2" spans="2:16" ht="12.75" customHeight="1" x14ac:dyDescent="0.15">
      <c r="B2" s="1" t="s">
        <v>0</v>
      </c>
      <c r="C2" s="2" t="s">
        <v>57</v>
      </c>
      <c r="D2" s="3"/>
      <c r="E2" s="3"/>
      <c r="F2" s="3"/>
      <c r="G2" s="3"/>
      <c r="H2" s="4"/>
    </row>
    <row r="3" spans="2:16" x14ac:dyDescent="0.15">
      <c r="B3" s="6" t="s">
        <v>14</v>
      </c>
      <c r="C3" s="2" t="s">
        <v>54</v>
      </c>
      <c r="D3" s="3"/>
      <c r="E3" s="3"/>
      <c r="F3" s="3"/>
      <c r="G3" s="3"/>
      <c r="H3" s="4"/>
    </row>
    <row r="4" spans="2:16" x14ac:dyDescent="0.15">
      <c r="B4" s="7" t="s">
        <v>3</v>
      </c>
      <c r="C4" s="2" t="s">
        <v>55</v>
      </c>
      <c r="D4" s="3"/>
      <c r="E4" s="3"/>
      <c r="F4" s="3"/>
      <c r="G4" s="3"/>
      <c r="H4" s="4"/>
    </row>
    <row r="6" spans="2:16" x14ac:dyDescent="0.15">
      <c r="B6" s="112" t="s">
        <v>15</v>
      </c>
      <c r="C6" s="112"/>
      <c r="D6" s="112"/>
    </row>
    <row r="7" spans="2:16" x14ac:dyDescent="0.15">
      <c r="B7" s="113"/>
      <c r="C7" s="113"/>
      <c r="D7" s="113"/>
    </row>
    <row r="10" spans="2:16" x14ac:dyDescent="0.15">
      <c r="B10" s="8" t="s">
        <v>16</v>
      </c>
      <c r="C10" s="8" t="s">
        <v>17</v>
      </c>
    </row>
    <row r="11" spans="2:16" x14ac:dyDescent="0.15">
      <c r="B11" s="9">
        <v>1</v>
      </c>
      <c r="C11" s="10">
        <v>3</v>
      </c>
    </row>
    <row r="12" spans="2:16" x14ac:dyDescent="0.15">
      <c r="B12" s="11"/>
      <c r="C12" s="12"/>
    </row>
    <row r="13" spans="2:16" x14ac:dyDescent="0.15">
      <c r="N13" s="108" t="s">
        <v>41</v>
      </c>
      <c r="O13" s="109"/>
      <c r="P13" s="110" t="s">
        <v>42</v>
      </c>
    </row>
    <row r="14" spans="2:16" x14ac:dyDescent="0.15">
      <c r="N14" s="111" t="s">
        <v>48</v>
      </c>
      <c r="O14" s="109"/>
      <c r="P14" s="111" t="s">
        <v>43</v>
      </c>
    </row>
    <row r="15" spans="2:16" x14ac:dyDescent="0.15">
      <c r="N15" s="111" t="s">
        <v>49</v>
      </c>
      <c r="O15" s="109"/>
      <c r="P15" s="111" t="s">
        <v>44</v>
      </c>
    </row>
    <row r="16" spans="2:16" x14ac:dyDescent="0.15">
      <c r="N16" s="111" t="s">
        <v>50</v>
      </c>
      <c r="O16" s="109"/>
      <c r="P16" s="109"/>
    </row>
  </sheetData>
  <sheetProtection formatCells="0" formatColumns="0" formatRows="0"/>
  <protectedRanges>
    <protectedRange sqref="C2:H4 B7 B10:D11 G10:H22 B41:H114 D12:D22 D23:H40 B12:C40" name="Rango1"/>
  </protectedRanges>
  <mergeCells count="2">
    <mergeCell ref="B6:D6"/>
    <mergeCell ref="B7:D7"/>
  </mergeCells>
  <dataValidations count="1">
    <dataValidation type="whole" allowBlank="1" showInputMessage="1" showErrorMessage="1" error="ELEGIR ENTRE 01 A 20 HOJAS" promptTitle="CANTIDAD DE ENSAYOS" prompt="INGRESAR LA CANTIDAD DE HOJAS DE CÁLCULO" sqref="B7:D7">
      <formula1>1</formula1>
      <formula2>30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AM148"/>
  <sheetViews>
    <sheetView tabSelected="1" topLeftCell="I1" zoomScaleNormal="100" zoomScaleSheetLayoutView="100" workbookViewId="0">
      <selection activeCell="AB42" sqref="AB42"/>
    </sheetView>
  </sheetViews>
  <sheetFormatPr baseColWidth="10" defaultColWidth="10.875" defaultRowHeight="12.75" customHeight="1" x14ac:dyDescent="0.2"/>
  <cols>
    <col min="1" max="1" width="12.125" style="13" customWidth="1"/>
    <col min="2" max="11" width="6.875" style="13" customWidth="1"/>
    <col min="12" max="13" width="9.375" style="13" customWidth="1"/>
    <col min="14" max="14" width="6.875" style="13" customWidth="1"/>
    <col min="15" max="16" width="9.25" style="13" customWidth="1"/>
    <col min="17" max="17" width="13.125" style="13" customWidth="1"/>
    <col min="18" max="18" width="13.125" style="14" customWidth="1"/>
    <col min="19" max="19" width="9.375" style="14" customWidth="1"/>
    <col min="20" max="20" width="20.375" style="14" customWidth="1"/>
    <col min="21" max="21" width="7.25" style="13" customWidth="1"/>
    <col min="22" max="22" width="16" style="13" hidden="1" customWidth="1"/>
    <col min="23" max="23" width="15.25" style="13" hidden="1" customWidth="1"/>
    <col min="24" max="27" width="7.625" style="13" hidden="1" customWidth="1"/>
    <col min="28" max="29" width="7.625" style="13" customWidth="1"/>
    <col min="30" max="30" width="15.375" style="13" customWidth="1"/>
    <col min="31" max="31" width="16.5" style="13" customWidth="1"/>
    <col min="32" max="32" width="14.5" style="13" customWidth="1"/>
    <col min="33" max="33" width="13.25" style="13" customWidth="1"/>
    <col min="34" max="34" width="13.625" style="13" customWidth="1"/>
    <col min="35" max="38" width="6.875" style="13" customWidth="1"/>
    <col min="39" max="16384" width="10.875" style="13"/>
  </cols>
  <sheetData>
    <row r="1" spans="1:39" ht="13.5" customHeight="1" x14ac:dyDescent="0.2">
      <c r="A1" s="97" t="s">
        <v>37</v>
      </c>
      <c r="B1" s="96"/>
      <c r="C1" s="96"/>
      <c r="D1" s="96"/>
      <c r="E1" s="96"/>
      <c r="F1" s="96"/>
      <c r="G1" s="96"/>
      <c r="H1" s="68"/>
      <c r="I1" s="15"/>
      <c r="O1" s="95" t="s">
        <v>36</v>
      </c>
      <c r="P1" s="94"/>
      <c r="Q1" s="94"/>
      <c r="R1" s="13"/>
      <c r="S1" s="13"/>
      <c r="T1" s="13"/>
      <c r="W1" s="93" t="str">
        <f>+CONCATENATE(A3,"  ",":","  ",B3)</f>
        <v>PROYECTO  :  C1BH-L12-L10-3+830-HL</v>
      </c>
      <c r="X1" s="93"/>
    </row>
    <row r="2" spans="1:39" ht="13.5" customHeight="1" x14ac:dyDescent="0.2">
      <c r="R2" s="13"/>
      <c r="S2" s="13"/>
      <c r="T2" s="13"/>
      <c r="W2" s="93" t="str">
        <f>+CONCATENATE(A7,"  ",":","  ",B7)</f>
        <v>MUESTRA  :  C1BH-L12-L10-3+830-HL (02,00-02,29)</v>
      </c>
      <c r="X2" s="93"/>
    </row>
    <row r="3" spans="1:39" ht="13.5" customHeight="1" x14ac:dyDescent="0.2">
      <c r="A3" s="45" t="s">
        <v>18</v>
      </c>
      <c r="B3" s="85" t="str">
        <f>+'Ingreso Datos'!C2</f>
        <v>C1BH-L12-L10-3+830-HL</v>
      </c>
      <c r="O3" s="89" t="s">
        <v>0</v>
      </c>
      <c r="P3" s="88"/>
      <c r="Q3" s="92" t="str">
        <f>+B3</f>
        <v>C1BH-L12-L10-3+830-HL</v>
      </c>
      <c r="R3" s="74"/>
      <c r="S3" s="74"/>
      <c r="T3" s="68"/>
      <c r="U3" s="15"/>
    </row>
    <row r="4" spans="1:39" ht="13.5" customHeight="1" x14ac:dyDescent="0.2">
      <c r="A4" s="15" t="s">
        <v>4</v>
      </c>
      <c r="B4" s="98">
        <v>45429</v>
      </c>
      <c r="O4" s="91" t="s">
        <v>35</v>
      </c>
      <c r="P4" s="83"/>
      <c r="Q4" s="90" t="str">
        <f>+'Ingreso Datos'!C3</f>
        <v xml:space="preserve">1.965.915-A </v>
      </c>
      <c r="R4" s="74"/>
      <c r="S4" s="74"/>
      <c r="T4" s="68"/>
      <c r="U4" s="15"/>
    </row>
    <row r="5" spans="1:39" ht="13.5" customHeight="1" x14ac:dyDescent="0.2">
      <c r="A5" s="15" t="s">
        <v>5</v>
      </c>
      <c r="B5" s="98">
        <v>45429</v>
      </c>
      <c r="O5" s="89" t="s">
        <v>3</v>
      </c>
      <c r="P5" s="88"/>
      <c r="Q5" s="90" t="str">
        <f>+'Ingreso Datos'!C4</f>
        <v>-</v>
      </c>
      <c r="R5" s="87"/>
      <c r="S5" s="87"/>
      <c r="T5" s="86"/>
      <c r="U5" s="15"/>
    </row>
    <row r="6" spans="1:39" ht="13.5" customHeight="1" x14ac:dyDescent="0.2">
      <c r="A6" s="15"/>
      <c r="B6" s="85"/>
      <c r="O6" s="84" t="s">
        <v>4</v>
      </c>
      <c r="P6" s="83"/>
      <c r="Q6" s="132">
        <f>+B4</f>
        <v>45429</v>
      </c>
      <c r="R6" s="74"/>
      <c r="S6" s="74"/>
      <c r="T6" s="68"/>
      <c r="U6" s="15"/>
    </row>
    <row r="7" spans="1:39" ht="13.5" customHeight="1" x14ac:dyDescent="0.2">
      <c r="A7" s="45" t="s">
        <v>19</v>
      </c>
      <c r="B7" s="99" t="s">
        <v>56</v>
      </c>
      <c r="O7" s="82" t="s">
        <v>5</v>
      </c>
      <c r="P7" s="81"/>
      <c r="Q7" s="132">
        <f>+B5</f>
        <v>45429</v>
      </c>
      <c r="R7" s="80"/>
      <c r="S7" s="80"/>
      <c r="T7" s="79"/>
      <c r="U7" s="15"/>
    </row>
    <row r="8" spans="1:39" ht="13.5" customHeight="1" x14ac:dyDescent="0.2">
      <c r="A8" s="78" t="s">
        <v>9</v>
      </c>
      <c r="B8" s="100" t="s">
        <v>51</v>
      </c>
      <c r="O8" s="77"/>
      <c r="P8" s="76"/>
      <c r="Q8" s="75"/>
      <c r="R8" s="15"/>
      <c r="S8" s="15"/>
      <c r="T8" s="15"/>
      <c r="U8" s="15"/>
    </row>
    <row r="9" spans="1:39" ht="13.5" customHeight="1" x14ac:dyDescent="0.2">
      <c r="A9" s="40" t="s">
        <v>10</v>
      </c>
      <c r="B9" s="101" t="s">
        <v>52</v>
      </c>
      <c r="C9" s="34"/>
      <c r="D9" s="15"/>
      <c r="E9" s="29"/>
      <c r="F9" s="29"/>
      <c r="G9" s="29"/>
      <c r="H9" s="29"/>
      <c r="I9" s="29"/>
      <c r="J9" s="29"/>
      <c r="K9" s="29"/>
      <c r="L9" s="29"/>
      <c r="M9" s="29"/>
      <c r="O9" s="114" t="s">
        <v>1</v>
      </c>
      <c r="P9" s="115"/>
      <c r="Q9" s="72" t="str">
        <f>+B7</f>
        <v>C1BH-L12-L10-3+830-HL (02,00-02,29)</v>
      </c>
      <c r="R9" s="74"/>
      <c r="S9" s="74"/>
      <c r="T9" s="68"/>
      <c r="U9" s="15"/>
      <c r="AH9" s="16"/>
      <c r="AI9" s="16"/>
      <c r="AJ9" s="16"/>
      <c r="AK9" s="16"/>
      <c r="AL9" s="16"/>
      <c r="AM9" s="16"/>
    </row>
    <row r="10" spans="1:39" s="16" customFormat="1" ht="13.5" customHeight="1" x14ac:dyDescent="0.2">
      <c r="A10" s="40" t="s">
        <v>11</v>
      </c>
      <c r="B10" s="101" t="s">
        <v>53</v>
      </c>
      <c r="C10" s="30"/>
      <c r="D10" s="30"/>
      <c r="E10" s="30"/>
      <c r="F10" s="30"/>
      <c r="G10" s="30"/>
      <c r="H10" s="30"/>
      <c r="I10" s="30"/>
      <c r="J10" s="30"/>
      <c r="K10" s="33"/>
      <c r="L10" s="29"/>
      <c r="M10" s="29"/>
      <c r="O10" s="116" t="s">
        <v>9</v>
      </c>
      <c r="P10" s="117"/>
      <c r="Q10" s="72" t="str">
        <f>+B8</f>
        <v>Toba lítica</v>
      </c>
      <c r="R10" s="71"/>
      <c r="S10" s="71"/>
      <c r="T10" s="70"/>
      <c r="U10" s="31"/>
    </row>
    <row r="11" spans="1:39" s="16" customFormat="1" ht="13.5" customHeight="1" x14ac:dyDescent="0.2">
      <c r="A11" s="40" t="s">
        <v>8</v>
      </c>
      <c r="B11" s="101">
        <v>1.32</v>
      </c>
      <c r="C11" s="30"/>
      <c r="D11" s="30"/>
      <c r="E11" s="30"/>
      <c r="F11" s="30"/>
      <c r="G11" s="30"/>
      <c r="H11" s="30"/>
      <c r="I11" s="30"/>
      <c r="J11" s="30"/>
      <c r="K11" s="32"/>
      <c r="L11" s="29"/>
      <c r="M11" s="29"/>
      <c r="O11" s="116" t="s">
        <v>10</v>
      </c>
      <c r="P11" s="117"/>
      <c r="Q11" s="72" t="str">
        <f>+B9</f>
        <v>Zeolitas</v>
      </c>
      <c r="R11" s="71"/>
      <c r="S11" s="71"/>
      <c r="T11" s="70"/>
      <c r="U11" s="31"/>
    </row>
    <row r="12" spans="1:39" s="16" customFormat="1" ht="13.5" customHeight="1" x14ac:dyDescent="0.2">
      <c r="A12" s="40" t="s">
        <v>46</v>
      </c>
      <c r="B12" s="101" t="s">
        <v>43</v>
      </c>
      <c r="C12" s="30"/>
      <c r="D12" s="30"/>
      <c r="E12" s="30"/>
      <c r="F12" s="30"/>
      <c r="G12" s="30"/>
      <c r="H12" s="30"/>
      <c r="I12" s="30"/>
      <c r="J12" s="30"/>
      <c r="K12" s="32"/>
      <c r="L12" s="29"/>
      <c r="M12" s="29"/>
      <c r="O12" s="116" t="s">
        <v>11</v>
      </c>
      <c r="P12" s="117"/>
      <c r="Q12" s="72" t="str">
        <f>+B10</f>
        <v>Oxidación y zeolitización</v>
      </c>
      <c r="R12" s="71"/>
      <c r="S12" s="71"/>
      <c r="T12" s="70"/>
      <c r="U12" s="31"/>
    </row>
    <row r="13" spans="1:39" s="16" customFormat="1" ht="13.5" customHeight="1" x14ac:dyDescent="0.2">
      <c r="A13" s="40"/>
      <c r="B13" s="30"/>
      <c r="C13" s="30"/>
      <c r="D13" s="30"/>
      <c r="E13" s="30"/>
      <c r="F13" s="30"/>
      <c r="G13" s="30"/>
      <c r="H13" s="30"/>
      <c r="I13" s="30"/>
      <c r="J13" s="30"/>
      <c r="K13" s="32"/>
      <c r="L13" s="29"/>
      <c r="M13" s="29"/>
      <c r="O13" s="28"/>
      <c r="P13" s="28"/>
      <c r="Q13" s="27"/>
      <c r="R13" s="26"/>
      <c r="S13" s="26"/>
      <c r="T13" s="25"/>
      <c r="U13" s="24"/>
      <c r="AH13" s="17"/>
      <c r="AI13" s="17"/>
      <c r="AJ13" s="17"/>
      <c r="AK13" s="17"/>
      <c r="AL13" s="17"/>
    </row>
    <row r="14" spans="1:39" s="16" customFormat="1" ht="13.5" customHeight="1" x14ac:dyDescent="0.2">
      <c r="A14" s="122" t="s">
        <v>34</v>
      </c>
      <c r="B14" s="122"/>
      <c r="C14" s="122"/>
      <c r="D14" s="122"/>
      <c r="E14" s="123" t="s">
        <v>33</v>
      </c>
      <c r="F14" s="124"/>
      <c r="G14" s="124"/>
      <c r="H14" s="125"/>
      <c r="I14" s="73" t="s">
        <v>45</v>
      </c>
      <c r="J14" s="73" t="s">
        <v>2</v>
      </c>
      <c r="K14" s="73" t="s">
        <v>32</v>
      </c>
      <c r="L14" s="73" t="s">
        <v>31</v>
      </c>
      <c r="M14" s="131" t="s">
        <v>39</v>
      </c>
      <c r="O14" s="63" t="s">
        <v>28</v>
      </c>
      <c r="P14" s="63" t="s">
        <v>27</v>
      </c>
      <c r="Q14" s="62" t="s">
        <v>26</v>
      </c>
      <c r="R14" s="61" t="s">
        <v>25</v>
      </c>
      <c r="S14" s="119" t="s">
        <v>39</v>
      </c>
      <c r="T14" s="60" t="s">
        <v>24</v>
      </c>
      <c r="U14" s="24"/>
      <c r="AH14" s="17"/>
      <c r="AI14" s="17"/>
      <c r="AJ14" s="17"/>
      <c r="AK14" s="17"/>
      <c r="AL14" s="17"/>
    </row>
    <row r="15" spans="1:39" s="16" customFormat="1" ht="13.5" customHeight="1" x14ac:dyDescent="0.2">
      <c r="A15" s="67">
        <v>1</v>
      </c>
      <c r="B15" s="69">
        <v>2</v>
      </c>
      <c r="C15" s="66">
        <v>3</v>
      </c>
      <c r="D15" s="68" t="s">
        <v>30</v>
      </c>
      <c r="E15" s="67">
        <v>1</v>
      </c>
      <c r="F15" s="66">
        <v>2</v>
      </c>
      <c r="G15" s="66">
        <v>3</v>
      </c>
      <c r="H15" s="65" t="s">
        <v>30</v>
      </c>
      <c r="I15" s="64"/>
      <c r="J15" s="64" t="s">
        <v>47</v>
      </c>
      <c r="K15" s="64" t="s">
        <v>13</v>
      </c>
      <c r="L15" s="64" t="s">
        <v>29</v>
      </c>
      <c r="M15" s="131"/>
      <c r="O15" s="59"/>
      <c r="P15" s="59"/>
      <c r="Q15" s="58" t="s">
        <v>23</v>
      </c>
      <c r="R15" s="57" t="s">
        <v>22</v>
      </c>
      <c r="S15" s="120"/>
      <c r="T15" s="56" t="s">
        <v>22</v>
      </c>
      <c r="U15" s="24"/>
      <c r="AH15" s="17"/>
      <c r="AI15" s="17"/>
      <c r="AJ15" s="17"/>
      <c r="AK15" s="17"/>
      <c r="AL15" s="17"/>
    </row>
    <row r="16" spans="1:39" s="16" customFormat="1" ht="13.5" customHeight="1" x14ac:dyDescent="0.2">
      <c r="A16" s="102">
        <v>60.64</v>
      </c>
      <c r="B16" s="102">
        <v>60.66</v>
      </c>
      <c r="C16" s="102">
        <v>60.63</v>
      </c>
      <c r="D16" s="55">
        <f>AVERAGE(A16:C16)</f>
        <v>60.643333333333338</v>
      </c>
      <c r="E16" s="102">
        <v>27.35</v>
      </c>
      <c r="F16" s="102">
        <v>27.41</v>
      </c>
      <c r="G16" s="102">
        <v>27.33</v>
      </c>
      <c r="H16" s="55">
        <f>AVERAGE(E16:G16)</f>
        <v>27.363333333333333</v>
      </c>
      <c r="I16" s="103">
        <f>+ROUND(H16/D16,2)</f>
        <v>0.45</v>
      </c>
      <c r="J16" s="103">
        <v>13.4</v>
      </c>
      <c r="K16" s="55">
        <f>(J16*1000)</f>
        <v>13400</v>
      </c>
      <c r="L16" s="55">
        <f>IF($B$12="Plana",ROUND(((2*K16)/(PI()*H16*D16)),2),IF($B$12="Curva",ROUND(((1.272*K16)/(PI()*H16*D16)),2),"Error Revisar"))</f>
        <v>5.14</v>
      </c>
      <c r="M16" s="107" t="s">
        <v>48</v>
      </c>
      <c r="O16" s="54" t="s">
        <v>21</v>
      </c>
      <c r="P16" s="54" t="s">
        <v>21</v>
      </c>
      <c r="Q16" s="53" t="s">
        <v>13</v>
      </c>
      <c r="R16" s="53" t="s">
        <v>40</v>
      </c>
      <c r="S16" s="121"/>
      <c r="T16" s="53" t="s">
        <v>40</v>
      </c>
      <c r="U16" s="27"/>
      <c r="AI16" s="51"/>
    </row>
    <row r="17" spans="1:38" s="16" customFormat="1" ht="13.5" customHeight="1" x14ac:dyDescent="0.2">
      <c r="A17" s="102">
        <v>60.64</v>
      </c>
      <c r="B17" s="102">
        <v>60.66</v>
      </c>
      <c r="C17" s="102">
        <v>60.64</v>
      </c>
      <c r="D17" s="55">
        <f>AVERAGE(A17:C17)</f>
        <v>60.646666666666668</v>
      </c>
      <c r="E17" s="102">
        <v>33.96</v>
      </c>
      <c r="F17" s="102">
        <v>34.119999999999997</v>
      </c>
      <c r="G17" s="102">
        <v>33.79</v>
      </c>
      <c r="H17" s="55">
        <f>AVERAGE(E17:G17)</f>
        <v>33.956666666666671</v>
      </c>
      <c r="I17" s="103">
        <f t="shared" ref="I17:I18" si="0">+ROUND(H17/D17,2)</f>
        <v>0.56000000000000005</v>
      </c>
      <c r="J17" s="103">
        <v>22.8</v>
      </c>
      <c r="K17" s="55">
        <f>(J17*1000)</f>
        <v>22800</v>
      </c>
      <c r="L17" s="55">
        <f t="shared" ref="L17:L18" si="1">IF($B$12="Plana",ROUND(((2*K17)/(PI()*H17*D17)),2),IF($B$12="Curva",ROUND(((1.272*K17)/(PI()*H17*D17)),2),"Error Revisar"))</f>
        <v>7.05</v>
      </c>
      <c r="M17" s="107" t="s">
        <v>48</v>
      </c>
      <c r="O17" s="52">
        <f>+D16</f>
        <v>60.643333333333338</v>
      </c>
      <c r="P17" s="52">
        <f>+H16</f>
        <v>27.363333333333333</v>
      </c>
      <c r="Q17" s="52">
        <f t="shared" ref="Q17:S19" si="2">+K16</f>
        <v>13400</v>
      </c>
      <c r="R17" s="52">
        <f t="shared" si="2"/>
        <v>5.14</v>
      </c>
      <c r="S17" s="106" t="str">
        <f t="shared" si="2"/>
        <v>Matriz</v>
      </c>
      <c r="T17" s="128">
        <f>+AVERAGE(R17:R19)</f>
        <v>5.5733333333333333</v>
      </c>
      <c r="U17" s="15"/>
      <c r="AI17" s="51"/>
    </row>
    <row r="18" spans="1:38" s="16" customFormat="1" ht="13.5" customHeight="1" x14ac:dyDescent="0.2">
      <c r="A18" s="102">
        <v>60.62</v>
      </c>
      <c r="B18" s="102">
        <v>60.68</v>
      </c>
      <c r="C18" s="102">
        <v>60.67</v>
      </c>
      <c r="D18" s="55">
        <f>AVERAGE(A18:C18)</f>
        <v>60.656666666666666</v>
      </c>
      <c r="E18" s="102">
        <v>21</v>
      </c>
      <c r="F18" s="102">
        <v>20.95</v>
      </c>
      <c r="G18" s="102">
        <v>21.32</v>
      </c>
      <c r="H18" s="55">
        <f>AVERAGE(E18:G18)</f>
        <v>21.09</v>
      </c>
      <c r="I18" s="103">
        <f t="shared" si="0"/>
        <v>0.35</v>
      </c>
      <c r="J18" s="103">
        <v>9.1</v>
      </c>
      <c r="K18" s="55">
        <f>(J18*1000)</f>
        <v>9100</v>
      </c>
      <c r="L18" s="55">
        <f t="shared" si="1"/>
        <v>4.53</v>
      </c>
      <c r="M18" s="107" t="s">
        <v>48</v>
      </c>
      <c r="O18" s="52">
        <f>+D17</f>
        <v>60.646666666666668</v>
      </c>
      <c r="P18" s="52">
        <f>+H17</f>
        <v>33.956666666666671</v>
      </c>
      <c r="Q18" s="52">
        <f t="shared" si="2"/>
        <v>22800</v>
      </c>
      <c r="R18" s="52">
        <f t="shared" si="2"/>
        <v>7.05</v>
      </c>
      <c r="S18" s="106" t="str">
        <f t="shared" si="2"/>
        <v>Matriz</v>
      </c>
      <c r="T18" s="129"/>
      <c r="U18" s="31"/>
      <c r="AI18" s="51"/>
    </row>
    <row r="19" spans="1:38" s="16" customFormat="1" ht="13.5" customHeight="1" x14ac:dyDescent="0.2">
      <c r="A19" s="29"/>
      <c r="B19" s="35"/>
      <c r="C19" s="34"/>
      <c r="D19" s="15"/>
      <c r="E19" s="29"/>
      <c r="F19" s="29"/>
      <c r="G19" s="29"/>
      <c r="H19" s="29"/>
      <c r="I19" s="29"/>
      <c r="J19" s="29"/>
      <c r="K19" s="29"/>
      <c r="L19" s="18"/>
      <c r="M19" s="18"/>
      <c r="O19" s="52">
        <f>+D18</f>
        <v>60.656666666666666</v>
      </c>
      <c r="P19" s="52">
        <f>+H18</f>
        <v>21.09</v>
      </c>
      <c r="Q19" s="52">
        <f t="shared" si="2"/>
        <v>9100</v>
      </c>
      <c r="R19" s="52">
        <f t="shared" si="2"/>
        <v>4.53</v>
      </c>
      <c r="S19" s="106" t="str">
        <f t="shared" si="2"/>
        <v>Matriz</v>
      </c>
      <c r="T19" s="130"/>
      <c r="U19" s="31"/>
      <c r="V19" s="30"/>
      <c r="W19" s="30"/>
      <c r="X19" s="30"/>
      <c r="Y19" s="30"/>
      <c r="Z19" s="30"/>
      <c r="AA19" s="30"/>
      <c r="AB19" s="30"/>
      <c r="AC19" s="30"/>
      <c r="AD19" s="30"/>
      <c r="AE19" s="29"/>
      <c r="AF19" s="19"/>
      <c r="AG19" s="18"/>
      <c r="AI19" s="51"/>
    </row>
    <row r="20" spans="1:38" s="16" customFormat="1" ht="13.5" customHeight="1" x14ac:dyDescent="0.2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3"/>
      <c r="L20" s="18"/>
      <c r="M20" s="18"/>
      <c r="O20" s="31"/>
      <c r="P20" s="31"/>
      <c r="Q20" s="31"/>
      <c r="R20" s="31"/>
      <c r="S20" s="105"/>
      <c r="T20" s="31"/>
      <c r="U20" s="31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19"/>
      <c r="AG20" s="18"/>
      <c r="AI20" s="51"/>
    </row>
    <row r="21" spans="1:38" s="16" customFormat="1" ht="13.5" customHeight="1" x14ac:dyDescent="0.2">
      <c r="O21" s="50" t="s">
        <v>6</v>
      </c>
      <c r="P21" s="28"/>
      <c r="Q21" s="27"/>
      <c r="R21" s="26"/>
      <c r="S21" s="26"/>
      <c r="T21" s="25"/>
      <c r="U21" s="24"/>
      <c r="V21" s="23"/>
      <c r="W21" s="23"/>
      <c r="X21" s="23"/>
      <c r="Y21" s="23"/>
      <c r="Z21" s="23"/>
      <c r="AA21" s="23"/>
      <c r="AB21" s="23"/>
      <c r="AC21" s="22"/>
      <c r="AD21" s="21"/>
      <c r="AE21" s="20"/>
      <c r="AF21" s="19"/>
      <c r="AG21" s="18"/>
      <c r="AH21" s="17"/>
      <c r="AI21" s="17"/>
      <c r="AJ21" s="17"/>
      <c r="AK21" s="17"/>
      <c r="AL21" s="17"/>
    </row>
    <row r="22" spans="1:38" s="16" customFormat="1" ht="13.5" customHeight="1" x14ac:dyDescent="0.2">
      <c r="O22" s="47" t="s">
        <v>38</v>
      </c>
      <c r="P22" s="28"/>
      <c r="Q22" s="27"/>
      <c r="R22" s="26"/>
      <c r="S22" s="26"/>
      <c r="T22" s="25"/>
      <c r="U22" s="24"/>
      <c r="V22" s="23"/>
      <c r="W22" s="23"/>
      <c r="AJ22" s="17"/>
      <c r="AK22" s="17"/>
      <c r="AL22" s="17"/>
    </row>
    <row r="23" spans="1:38" s="16" customFormat="1" ht="13.5" customHeight="1" x14ac:dyDescent="0.2">
      <c r="O23" s="50" t="s">
        <v>7</v>
      </c>
      <c r="P23" s="28"/>
      <c r="Q23" s="27"/>
      <c r="R23" s="26"/>
      <c r="S23" s="26"/>
      <c r="T23" s="25"/>
      <c r="U23" s="24"/>
      <c r="V23" s="23"/>
      <c r="W23" s="23"/>
      <c r="AJ23" s="17"/>
      <c r="AK23" s="17"/>
      <c r="AL23" s="17"/>
    </row>
    <row r="24" spans="1:38" s="16" customFormat="1" ht="13.5" customHeight="1" x14ac:dyDescent="0.2">
      <c r="O24" s="47" t="s">
        <v>20</v>
      </c>
      <c r="P24" s="49"/>
      <c r="Q24" s="27"/>
      <c r="R24" s="27"/>
      <c r="S24" s="27"/>
      <c r="T24" s="27"/>
      <c r="U24" s="27"/>
      <c r="V24" s="48"/>
      <c r="W24" s="48"/>
    </row>
    <row r="25" spans="1:38" s="16" customFormat="1" ht="13.5" customHeight="1" x14ac:dyDescent="0.2">
      <c r="O25" s="47" t="str">
        <f>+CONCATENATE("b. Humedad de la muestra:"," ",B11,"%")</f>
        <v>b. Humedad de la muestra: 1,32%</v>
      </c>
      <c r="P25" s="35"/>
      <c r="Q25" s="15"/>
      <c r="R25" s="15"/>
      <c r="S25" s="15"/>
      <c r="T25" s="15"/>
      <c r="U25" s="15"/>
      <c r="V25" s="29"/>
      <c r="W25" s="35"/>
    </row>
    <row r="26" spans="1:38" s="16" customFormat="1" ht="15" customHeight="1" x14ac:dyDescent="0.2">
      <c r="N26" s="118" t="s">
        <v>12</v>
      </c>
      <c r="O26" s="118"/>
      <c r="P26" s="118"/>
      <c r="Q26" s="118"/>
      <c r="R26" s="118"/>
      <c r="S26" s="118"/>
      <c r="T26" s="118"/>
      <c r="U26" s="118"/>
      <c r="V26" s="30"/>
      <c r="W26" s="30"/>
    </row>
    <row r="27" spans="1:38" s="16" customFormat="1" ht="15" customHeight="1" x14ac:dyDescent="0.2">
      <c r="O27" s="127"/>
      <c r="P27" s="127"/>
      <c r="Q27" s="127"/>
      <c r="R27" s="127"/>
      <c r="S27" s="127"/>
      <c r="T27" s="127"/>
      <c r="U27" s="31"/>
      <c r="V27" s="30"/>
      <c r="W27" s="30"/>
      <c r="X27" s="30"/>
      <c r="Y27" s="30"/>
      <c r="Z27" s="30"/>
      <c r="AA27" s="30"/>
      <c r="AB27" s="30"/>
      <c r="AC27" s="30"/>
      <c r="AD27" s="30"/>
      <c r="AE27" s="29"/>
      <c r="AF27" s="29"/>
      <c r="AG27" s="29"/>
    </row>
    <row r="28" spans="1:38" s="16" customFormat="1" ht="15" customHeight="1" x14ac:dyDescent="0.2">
      <c r="O28" s="31"/>
      <c r="P28" s="31"/>
      <c r="Q28" s="31"/>
      <c r="R28" s="31"/>
      <c r="S28" s="105"/>
      <c r="T28" s="31"/>
      <c r="U28" s="31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29"/>
      <c r="AG28" s="29"/>
    </row>
    <row r="29" spans="1:38" s="16" customFormat="1" ht="15" customHeight="1" x14ac:dyDescent="0.2">
      <c r="O29" s="28"/>
      <c r="P29" s="28"/>
      <c r="Q29" s="27"/>
      <c r="R29" s="26"/>
      <c r="S29" s="26"/>
      <c r="T29" s="25"/>
      <c r="U29" s="24"/>
      <c r="V29" s="23"/>
      <c r="W29" s="23"/>
      <c r="X29" s="23"/>
      <c r="Y29" s="23"/>
      <c r="Z29" s="23"/>
      <c r="AA29" s="23"/>
      <c r="AB29" s="23"/>
      <c r="AC29" s="22"/>
      <c r="AD29" s="21"/>
      <c r="AE29" s="20"/>
      <c r="AF29" s="29"/>
      <c r="AG29" s="18"/>
      <c r="AH29" s="17"/>
      <c r="AI29" s="17"/>
      <c r="AJ29" s="17"/>
      <c r="AK29" s="17"/>
      <c r="AL29" s="17"/>
    </row>
    <row r="30" spans="1:38" s="16" customFormat="1" ht="15" customHeight="1" x14ac:dyDescent="0.2">
      <c r="O30" s="28"/>
      <c r="P30" s="28"/>
      <c r="Q30" s="27"/>
      <c r="R30" s="26"/>
      <c r="S30" s="26"/>
      <c r="T30" s="25"/>
      <c r="U30" s="24"/>
      <c r="V30" s="23"/>
      <c r="W30" s="23"/>
      <c r="X30" s="23"/>
      <c r="Y30" s="23"/>
      <c r="Z30" s="23"/>
      <c r="AA30" s="23"/>
      <c r="AB30" s="23"/>
      <c r="AC30" s="22"/>
      <c r="AD30" s="21"/>
      <c r="AE30" s="20"/>
      <c r="AF30" s="29"/>
      <c r="AG30" s="18"/>
      <c r="AH30" s="17"/>
      <c r="AI30" s="17"/>
      <c r="AJ30" s="17"/>
      <c r="AK30" s="17"/>
      <c r="AL30" s="17"/>
    </row>
    <row r="31" spans="1:38" s="16" customFormat="1" ht="15" customHeight="1" x14ac:dyDescent="0.2">
      <c r="O31" s="28"/>
      <c r="P31" s="28"/>
      <c r="Q31" s="27"/>
      <c r="R31" s="26"/>
      <c r="S31" s="26"/>
      <c r="T31" s="25"/>
      <c r="U31" s="24"/>
      <c r="V31" s="23"/>
      <c r="W31" s="23"/>
      <c r="X31" s="23"/>
      <c r="Y31" s="23"/>
      <c r="Z31" s="23"/>
      <c r="AA31" s="23"/>
      <c r="AB31" s="23"/>
      <c r="AC31" s="22"/>
      <c r="AD31" s="21"/>
      <c r="AE31" s="20"/>
      <c r="AF31" s="29"/>
      <c r="AG31" s="18"/>
      <c r="AH31" s="17"/>
      <c r="AI31" s="17"/>
      <c r="AJ31" s="17"/>
      <c r="AK31" s="17"/>
      <c r="AL31" s="17"/>
    </row>
    <row r="32" spans="1:38" s="16" customFormat="1" ht="15" customHeight="1" x14ac:dyDescent="0.2">
      <c r="O32" s="46"/>
      <c r="P32" s="45"/>
      <c r="Q32" s="31"/>
      <c r="R32" s="15"/>
      <c r="S32" s="15"/>
      <c r="T32" s="15"/>
      <c r="U32" s="15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</row>
    <row r="33" spans="15:38" s="16" customFormat="1" ht="15" customHeight="1" x14ac:dyDescent="0.2">
      <c r="O33" s="35"/>
      <c r="P33" s="35"/>
      <c r="Q33" s="15"/>
      <c r="R33" s="15"/>
      <c r="S33" s="15"/>
      <c r="T33" s="15"/>
      <c r="U33" s="15"/>
      <c r="V33" s="29"/>
      <c r="W33" s="35"/>
      <c r="X33" s="34"/>
      <c r="Y33" s="15"/>
      <c r="Z33" s="29"/>
      <c r="AA33" s="29"/>
      <c r="AB33" s="29"/>
      <c r="AC33" s="29"/>
      <c r="AD33" s="29"/>
      <c r="AE33" s="29"/>
      <c r="AF33" s="29"/>
      <c r="AG33" s="29"/>
    </row>
    <row r="34" spans="15:38" s="16" customFormat="1" ht="15" customHeight="1" x14ac:dyDescent="0.2">
      <c r="O34" s="31"/>
      <c r="P34" s="31"/>
      <c r="Q34" s="31"/>
      <c r="R34" s="31"/>
      <c r="S34" s="105"/>
      <c r="T34" s="31"/>
      <c r="U34" s="31"/>
      <c r="V34" s="30"/>
      <c r="W34" s="30"/>
      <c r="X34" s="30"/>
      <c r="Y34" s="30"/>
      <c r="Z34" s="30"/>
      <c r="AA34" s="30"/>
      <c r="AB34" s="30"/>
      <c r="AC34" s="30"/>
      <c r="AD34" s="30"/>
      <c r="AE34" s="33"/>
      <c r="AF34" s="29"/>
      <c r="AG34" s="29"/>
    </row>
    <row r="35" spans="15:38" s="16" customFormat="1" ht="15" customHeight="1" x14ac:dyDescent="0.2">
      <c r="O35" s="31"/>
      <c r="P35" s="31"/>
      <c r="Q35" s="31"/>
      <c r="R35" s="31"/>
      <c r="S35" s="105"/>
      <c r="T35" s="31"/>
      <c r="U35" s="31"/>
      <c r="V35" s="30"/>
      <c r="W35" s="30"/>
      <c r="X35" s="30"/>
      <c r="Y35" s="30"/>
      <c r="Z35" s="30"/>
      <c r="AA35" s="30"/>
      <c r="AB35" s="30"/>
      <c r="AC35" s="30"/>
      <c r="AD35" s="30"/>
      <c r="AE35" s="29"/>
      <c r="AF35" s="29"/>
      <c r="AG35" s="29"/>
    </row>
    <row r="36" spans="15:38" s="16" customFormat="1" ht="15" customHeight="1" x14ac:dyDescent="0.2">
      <c r="O36" s="31"/>
      <c r="P36" s="31"/>
      <c r="Q36" s="31"/>
      <c r="R36" s="31"/>
      <c r="S36" s="105"/>
      <c r="T36" s="31"/>
      <c r="U36" s="31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29"/>
      <c r="AG36" s="29"/>
    </row>
    <row r="37" spans="15:38" s="16" customFormat="1" ht="15" customHeight="1" x14ac:dyDescent="0.2">
      <c r="O37" s="28"/>
      <c r="P37" s="28"/>
      <c r="Q37" s="27"/>
      <c r="R37" s="26"/>
      <c r="S37" s="26"/>
      <c r="T37" s="25"/>
      <c r="U37" s="24"/>
      <c r="V37" s="23"/>
      <c r="W37" s="23"/>
      <c r="X37" s="23"/>
      <c r="Y37" s="23"/>
      <c r="Z37" s="23"/>
      <c r="AA37" s="23"/>
      <c r="AB37" s="23"/>
      <c r="AC37" s="22"/>
      <c r="AD37" s="21"/>
      <c r="AE37" s="20"/>
      <c r="AF37" s="29"/>
      <c r="AG37" s="18"/>
      <c r="AH37" s="17"/>
      <c r="AI37" s="17"/>
      <c r="AJ37" s="17"/>
      <c r="AK37" s="17"/>
      <c r="AL37" s="17"/>
    </row>
    <row r="38" spans="15:38" s="16" customFormat="1" ht="15" customHeight="1" x14ac:dyDescent="0.2">
      <c r="O38" s="44"/>
      <c r="P38" s="44"/>
      <c r="Q38" s="43"/>
      <c r="R38" s="42"/>
      <c r="S38" s="42"/>
      <c r="T38" s="41"/>
      <c r="U38" s="24"/>
      <c r="V38" s="23"/>
      <c r="W38" s="23"/>
      <c r="X38" s="23"/>
      <c r="Y38" s="23"/>
      <c r="Z38" s="23"/>
      <c r="AA38" s="23"/>
      <c r="AB38" s="23"/>
      <c r="AC38" s="22"/>
      <c r="AD38" s="21"/>
      <c r="AE38" s="20"/>
      <c r="AF38" s="29"/>
      <c r="AG38" s="29"/>
    </row>
    <row r="39" spans="15:38" s="16" customFormat="1" ht="12.75" customHeight="1" x14ac:dyDescent="0.2">
      <c r="O39" s="28"/>
      <c r="P39" s="28"/>
      <c r="Q39" s="27"/>
      <c r="R39" s="26"/>
      <c r="S39" s="26"/>
      <c r="T39" s="25"/>
      <c r="U39" s="24"/>
      <c r="V39" s="23"/>
      <c r="W39" s="23"/>
      <c r="X39" s="23"/>
      <c r="Y39" s="23"/>
      <c r="Z39" s="23"/>
      <c r="AA39" s="23"/>
      <c r="AB39" s="23"/>
      <c r="AC39" s="22"/>
      <c r="AD39" s="21"/>
      <c r="AE39" s="20"/>
      <c r="AF39" s="29"/>
      <c r="AG39" s="29"/>
    </row>
    <row r="40" spans="15:38" s="16" customFormat="1" ht="12.75" customHeight="1" x14ac:dyDescent="0.2">
      <c r="O40" s="28"/>
      <c r="P40" s="28"/>
      <c r="Q40" s="27"/>
      <c r="R40" s="26"/>
      <c r="S40" s="26"/>
      <c r="T40" s="25"/>
      <c r="U40" s="40"/>
      <c r="V40" s="39"/>
      <c r="W40" s="39"/>
      <c r="X40" s="39"/>
      <c r="Y40" s="39"/>
      <c r="Z40" s="39"/>
      <c r="AA40" s="39"/>
      <c r="AB40" s="39"/>
      <c r="AC40" s="39"/>
      <c r="AD40" s="21"/>
      <c r="AE40" s="20"/>
      <c r="AF40" s="29"/>
      <c r="AG40" s="29"/>
    </row>
    <row r="41" spans="15:38" s="16" customFormat="1" ht="12.75" customHeight="1" x14ac:dyDescent="0.2">
      <c r="P41" s="36"/>
      <c r="Q41" s="36"/>
      <c r="R41" s="36"/>
      <c r="S41" s="36"/>
      <c r="T41" s="36"/>
      <c r="U41" s="15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</row>
    <row r="42" spans="15:38" s="16" customFormat="1" ht="12.75" customHeight="1" x14ac:dyDescent="0.2">
      <c r="P42" s="36"/>
      <c r="Q42" s="36"/>
      <c r="R42" s="36"/>
      <c r="S42" s="36"/>
      <c r="T42" s="36"/>
      <c r="U42" s="15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</row>
    <row r="43" spans="15:38" s="16" customFormat="1" ht="12.75" customHeight="1" x14ac:dyDescent="0.2">
      <c r="O43" s="126"/>
      <c r="P43" s="126"/>
      <c r="Q43" s="126"/>
      <c r="R43" s="126"/>
      <c r="S43" s="126"/>
      <c r="T43" s="126"/>
      <c r="U43" s="15"/>
      <c r="V43" s="29"/>
      <c r="W43" s="35"/>
      <c r="X43" s="34"/>
      <c r="Y43" s="15"/>
      <c r="Z43" s="29"/>
      <c r="AA43" s="29"/>
      <c r="AB43" s="29"/>
      <c r="AC43" s="29"/>
      <c r="AD43" s="29"/>
      <c r="AE43" s="29"/>
      <c r="AF43" s="29"/>
      <c r="AG43" s="29"/>
    </row>
    <row r="44" spans="15:38" s="16" customFormat="1" ht="12.75" customHeight="1" x14ac:dyDescent="0.2">
      <c r="O44" s="38"/>
      <c r="P44" s="38"/>
      <c r="Q44" s="38"/>
      <c r="R44" s="38"/>
      <c r="S44" s="104"/>
      <c r="T44" s="38"/>
      <c r="U44" s="15"/>
      <c r="V44" s="29"/>
      <c r="W44" s="35"/>
      <c r="X44" s="34"/>
      <c r="Y44" s="15"/>
      <c r="Z44" s="29"/>
      <c r="AA44" s="29"/>
      <c r="AB44" s="29"/>
      <c r="AC44" s="29"/>
      <c r="AD44" s="29"/>
      <c r="AE44" s="29"/>
      <c r="AF44" s="29"/>
      <c r="AG44" s="29"/>
    </row>
    <row r="45" spans="15:38" s="16" customFormat="1" ht="12.75" customHeight="1" x14ac:dyDescent="0.2">
      <c r="O45" s="38"/>
      <c r="P45" s="38"/>
      <c r="Q45" s="38"/>
      <c r="R45" s="38"/>
      <c r="S45" s="104"/>
      <c r="T45" s="38"/>
      <c r="U45" s="15"/>
      <c r="V45" s="29"/>
      <c r="W45" s="35"/>
      <c r="X45" s="34"/>
      <c r="Y45" s="15"/>
      <c r="Z45" s="29"/>
      <c r="AA45" s="29"/>
      <c r="AB45" s="29"/>
      <c r="AC45" s="29"/>
      <c r="AD45" s="29"/>
      <c r="AE45" s="29"/>
      <c r="AF45" s="29"/>
      <c r="AG45" s="29"/>
    </row>
    <row r="46" spans="15:38" s="16" customFormat="1" ht="12.75" customHeight="1" x14ac:dyDescent="0.2">
      <c r="O46" s="38"/>
      <c r="P46" s="38"/>
      <c r="Q46" s="38"/>
      <c r="R46" s="38"/>
      <c r="S46" s="104"/>
      <c r="T46" s="38"/>
      <c r="U46" s="15"/>
      <c r="V46" s="29"/>
      <c r="W46" s="35"/>
      <c r="X46" s="34"/>
      <c r="Y46" s="15"/>
      <c r="Z46" s="29"/>
      <c r="AA46" s="29"/>
      <c r="AB46" s="29"/>
      <c r="AC46" s="29"/>
      <c r="AD46" s="29"/>
      <c r="AE46" s="29"/>
      <c r="AF46" s="29"/>
      <c r="AG46" s="29"/>
    </row>
    <row r="47" spans="15:38" s="16" customFormat="1" ht="12.75" customHeight="1" x14ac:dyDescent="0.2">
      <c r="O47" s="38"/>
      <c r="P47" s="38"/>
      <c r="Q47" s="38"/>
      <c r="R47" s="38"/>
      <c r="S47" s="104"/>
      <c r="T47" s="38"/>
      <c r="U47" s="15"/>
      <c r="V47" s="29"/>
      <c r="W47" s="35"/>
      <c r="X47" s="34"/>
      <c r="Y47" s="15"/>
      <c r="Z47" s="29"/>
      <c r="AA47" s="29"/>
      <c r="AB47" s="29"/>
      <c r="AC47" s="29"/>
      <c r="AD47" s="29"/>
      <c r="AE47" s="29"/>
      <c r="AF47" s="29"/>
      <c r="AG47" s="29"/>
    </row>
    <row r="48" spans="15:38" s="16" customFormat="1" ht="12.75" customHeight="1" x14ac:dyDescent="0.2">
      <c r="O48" s="38"/>
      <c r="P48" s="38"/>
      <c r="Q48" s="38"/>
      <c r="R48" s="38"/>
      <c r="S48" s="104"/>
      <c r="T48" s="38"/>
      <c r="U48" s="15"/>
      <c r="V48" s="29"/>
      <c r="W48" s="35"/>
      <c r="X48" s="34"/>
      <c r="Y48" s="15"/>
      <c r="Z48" s="29"/>
      <c r="AA48" s="29"/>
      <c r="AB48" s="29"/>
      <c r="AC48" s="29"/>
      <c r="AD48" s="29"/>
      <c r="AE48" s="29"/>
      <c r="AF48" s="29"/>
      <c r="AG48" s="29"/>
    </row>
    <row r="49" spans="15:38" s="16" customFormat="1" ht="12.75" customHeight="1" x14ac:dyDescent="0.2">
      <c r="O49" s="38"/>
      <c r="P49" s="38"/>
      <c r="Q49" s="38"/>
      <c r="R49" s="38"/>
      <c r="S49" s="104"/>
      <c r="T49" s="38"/>
      <c r="U49" s="15"/>
      <c r="V49" s="29"/>
      <c r="W49" s="35"/>
      <c r="X49" s="34"/>
      <c r="Y49" s="15"/>
      <c r="Z49" s="29"/>
      <c r="AA49" s="29"/>
      <c r="AB49" s="29"/>
      <c r="AC49" s="29"/>
      <c r="AD49" s="29"/>
      <c r="AE49" s="29"/>
      <c r="AF49" s="29"/>
      <c r="AG49" s="29"/>
    </row>
    <row r="50" spans="15:38" s="16" customFormat="1" ht="12.75" customHeight="1" x14ac:dyDescent="0.2">
      <c r="O50" s="38"/>
      <c r="P50" s="38"/>
      <c r="Q50" s="38"/>
      <c r="R50" s="38"/>
      <c r="S50" s="104"/>
      <c r="T50" s="38"/>
      <c r="U50" s="15"/>
      <c r="V50" s="29"/>
      <c r="W50" s="35"/>
      <c r="X50" s="34"/>
      <c r="Y50" s="15"/>
      <c r="Z50" s="29"/>
      <c r="AA50" s="29"/>
      <c r="AB50" s="29"/>
      <c r="AC50" s="29"/>
      <c r="AD50" s="29"/>
      <c r="AE50" s="29"/>
      <c r="AF50" s="29"/>
      <c r="AG50" s="29"/>
    </row>
    <row r="51" spans="15:38" s="16" customFormat="1" ht="12.75" customHeight="1" x14ac:dyDescent="0.2">
      <c r="O51" s="38"/>
      <c r="P51" s="38"/>
      <c r="Q51" s="38"/>
      <c r="R51" s="38"/>
      <c r="S51" s="104"/>
      <c r="T51" s="38"/>
      <c r="U51" s="15"/>
      <c r="V51" s="29"/>
      <c r="W51" s="35"/>
      <c r="X51" s="34"/>
      <c r="Y51" s="15"/>
      <c r="Z51" s="29"/>
      <c r="AA51" s="29"/>
      <c r="AB51" s="29"/>
      <c r="AC51" s="29"/>
      <c r="AD51" s="29"/>
      <c r="AE51" s="29"/>
      <c r="AF51" s="29"/>
      <c r="AG51" s="29"/>
    </row>
    <row r="52" spans="15:38" s="16" customFormat="1" ht="12.75" customHeight="1" x14ac:dyDescent="0.2">
      <c r="O52" s="38"/>
      <c r="P52" s="38"/>
      <c r="Q52" s="38"/>
      <c r="R52" s="38"/>
      <c r="S52" s="104"/>
      <c r="T52" s="38"/>
      <c r="U52" s="15"/>
      <c r="V52" s="29"/>
      <c r="W52" s="35"/>
      <c r="X52" s="34"/>
      <c r="Y52" s="15"/>
      <c r="Z52" s="29"/>
      <c r="AA52" s="29"/>
      <c r="AB52" s="29"/>
      <c r="AC52" s="29"/>
      <c r="AD52" s="29"/>
      <c r="AE52" s="29"/>
      <c r="AF52" s="29"/>
      <c r="AG52" s="29"/>
    </row>
    <row r="53" spans="15:38" s="16" customFormat="1" ht="12.75" customHeight="1" x14ac:dyDescent="0.2">
      <c r="O53" s="38"/>
      <c r="P53" s="38"/>
      <c r="Q53" s="38"/>
      <c r="R53" s="38"/>
      <c r="S53" s="104"/>
      <c r="T53" s="38"/>
      <c r="U53" s="15"/>
      <c r="V53" s="29"/>
      <c r="W53" s="35"/>
      <c r="X53" s="34"/>
      <c r="Y53" s="15"/>
      <c r="Z53" s="29"/>
      <c r="AA53" s="29"/>
      <c r="AB53" s="29"/>
      <c r="AC53" s="29"/>
      <c r="AD53" s="29"/>
      <c r="AE53" s="29"/>
      <c r="AF53" s="29"/>
      <c r="AG53" s="29"/>
    </row>
    <row r="54" spans="15:38" s="16" customFormat="1" ht="12.75" customHeight="1" x14ac:dyDescent="0.2">
      <c r="O54" s="38"/>
      <c r="P54" s="38"/>
      <c r="Q54" s="38"/>
      <c r="R54" s="38"/>
      <c r="S54" s="104"/>
      <c r="T54" s="38"/>
      <c r="U54" s="15"/>
      <c r="V54" s="29"/>
      <c r="W54" s="35"/>
      <c r="X54" s="34"/>
      <c r="Y54" s="15"/>
      <c r="Z54" s="29"/>
      <c r="AA54" s="29"/>
      <c r="AB54" s="29"/>
      <c r="AC54" s="29"/>
      <c r="AD54" s="29"/>
      <c r="AE54" s="29"/>
      <c r="AF54" s="29"/>
      <c r="AG54" s="29"/>
    </row>
    <row r="55" spans="15:38" s="16" customFormat="1" ht="12.75" customHeight="1" x14ac:dyDescent="0.2">
      <c r="O55" s="38"/>
      <c r="P55" s="38"/>
      <c r="Q55" s="38"/>
      <c r="R55" s="38"/>
      <c r="S55" s="104"/>
      <c r="T55" s="38"/>
      <c r="U55" s="15"/>
      <c r="V55" s="29"/>
      <c r="W55" s="35"/>
      <c r="X55" s="34"/>
      <c r="Y55" s="15"/>
      <c r="Z55" s="29"/>
      <c r="AA55" s="29"/>
      <c r="AB55" s="29"/>
      <c r="AC55" s="29"/>
      <c r="AD55" s="29"/>
      <c r="AE55" s="29"/>
      <c r="AF55" s="29"/>
      <c r="AG55" s="29"/>
    </row>
    <row r="56" spans="15:38" s="16" customFormat="1" ht="12.75" customHeight="1" x14ac:dyDescent="0.2">
      <c r="O56" s="38"/>
      <c r="P56" s="38"/>
      <c r="Q56" s="38"/>
      <c r="R56" s="38"/>
      <c r="S56" s="104"/>
      <c r="T56" s="38"/>
      <c r="U56" s="15"/>
      <c r="V56" s="29"/>
      <c r="W56" s="35"/>
      <c r="X56" s="34"/>
      <c r="Y56" s="15"/>
      <c r="Z56" s="29"/>
      <c r="AA56" s="29"/>
      <c r="AB56" s="29"/>
      <c r="AC56" s="29"/>
      <c r="AD56" s="29"/>
      <c r="AE56" s="29"/>
      <c r="AF56" s="29"/>
      <c r="AG56" s="29"/>
    </row>
    <row r="57" spans="15:38" s="16" customFormat="1" ht="12.75" customHeight="1" x14ac:dyDescent="0.2">
      <c r="O57" s="38"/>
      <c r="P57" s="38"/>
      <c r="Q57" s="38"/>
      <c r="R57" s="38"/>
      <c r="S57" s="104"/>
      <c r="T57" s="38"/>
      <c r="U57" s="15"/>
      <c r="V57" s="29"/>
      <c r="W57" s="35"/>
      <c r="X57" s="34"/>
      <c r="Y57" s="15"/>
      <c r="Z57" s="29"/>
      <c r="AA57" s="29"/>
      <c r="AB57" s="29"/>
      <c r="AC57" s="29"/>
      <c r="AD57" s="29"/>
      <c r="AE57" s="29"/>
      <c r="AF57" s="29"/>
      <c r="AG57" s="29"/>
    </row>
    <row r="58" spans="15:38" s="16" customFormat="1" ht="12.75" customHeight="1" x14ac:dyDescent="0.2">
      <c r="O58" s="38"/>
      <c r="P58" s="38"/>
      <c r="Q58" s="38"/>
      <c r="R58" s="38"/>
      <c r="S58" s="104"/>
      <c r="T58" s="38"/>
      <c r="U58" s="15"/>
      <c r="V58" s="29"/>
      <c r="W58" s="35"/>
      <c r="X58" s="34"/>
      <c r="Y58" s="15"/>
      <c r="Z58" s="29"/>
      <c r="AA58" s="29"/>
      <c r="AB58" s="29"/>
      <c r="AC58" s="29"/>
      <c r="AD58" s="29"/>
      <c r="AE58" s="29"/>
      <c r="AF58" s="29"/>
      <c r="AG58" s="29"/>
    </row>
    <row r="59" spans="15:38" s="16" customFormat="1" ht="12.75" customHeight="1" x14ac:dyDescent="0.2">
      <c r="O59" s="38"/>
      <c r="P59" s="38"/>
      <c r="Q59" s="38"/>
      <c r="R59" s="38"/>
      <c r="S59" s="104"/>
      <c r="T59" s="38"/>
      <c r="U59" s="15"/>
      <c r="V59" s="29"/>
      <c r="W59" s="35"/>
      <c r="X59" s="34"/>
      <c r="Y59" s="15"/>
      <c r="Z59" s="29"/>
      <c r="AA59" s="29"/>
      <c r="AB59" s="29"/>
      <c r="AC59" s="29"/>
      <c r="AD59" s="29"/>
      <c r="AE59" s="29"/>
      <c r="AF59" s="29"/>
      <c r="AG59" s="29"/>
    </row>
    <row r="60" spans="15:38" s="16" customFormat="1" ht="12.75" customHeight="1" x14ac:dyDescent="0.2">
      <c r="O60" s="38"/>
      <c r="P60" s="38"/>
      <c r="Q60" s="38"/>
      <c r="R60" s="38"/>
      <c r="S60" s="104"/>
      <c r="T60" s="38"/>
      <c r="U60" s="15"/>
      <c r="V60" s="29"/>
      <c r="W60" s="35"/>
      <c r="X60" s="34"/>
      <c r="Y60" s="15"/>
      <c r="Z60" s="29"/>
      <c r="AA60" s="29"/>
      <c r="AB60" s="29"/>
      <c r="AC60" s="29"/>
      <c r="AD60" s="29"/>
      <c r="AE60" s="29"/>
      <c r="AF60" s="29"/>
      <c r="AG60" s="29"/>
    </row>
    <row r="61" spans="15:38" s="16" customFormat="1" ht="12.75" customHeight="1" x14ac:dyDescent="0.2">
      <c r="O61" s="31"/>
      <c r="P61" s="31"/>
      <c r="Q61" s="31"/>
      <c r="R61" s="31"/>
      <c r="S61" s="105"/>
      <c r="T61" s="31"/>
      <c r="U61" s="31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29"/>
      <c r="AG61" s="29"/>
    </row>
    <row r="62" spans="15:38" s="16" customFormat="1" ht="12.75" customHeight="1" x14ac:dyDescent="0.2">
      <c r="O62" s="31"/>
      <c r="P62" s="31"/>
      <c r="Q62" s="31"/>
      <c r="R62" s="31"/>
      <c r="S62" s="105"/>
      <c r="T62" s="31"/>
      <c r="U62" s="31"/>
      <c r="V62" s="30"/>
      <c r="W62" s="30"/>
      <c r="X62" s="30"/>
      <c r="Y62" s="30"/>
      <c r="Z62" s="30"/>
      <c r="AA62" s="30"/>
      <c r="AB62" s="30"/>
      <c r="AC62" s="30"/>
      <c r="AD62" s="30"/>
      <c r="AE62" s="29"/>
      <c r="AF62" s="29"/>
      <c r="AG62" s="29"/>
    </row>
    <row r="63" spans="15:38" s="16" customFormat="1" ht="12.75" customHeight="1" x14ac:dyDescent="0.2">
      <c r="O63" s="31"/>
      <c r="P63" s="31"/>
      <c r="Q63" s="31"/>
      <c r="R63" s="31"/>
      <c r="S63" s="105"/>
      <c r="T63" s="31"/>
      <c r="U63" s="31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29"/>
      <c r="AG63" s="29"/>
    </row>
    <row r="64" spans="15:38" s="16" customFormat="1" ht="12.75" customHeight="1" x14ac:dyDescent="0.2">
      <c r="O64" s="28"/>
      <c r="P64" s="28"/>
      <c r="Q64" s="27"/>
      <c r="R64" s="27"/>
      <c r="S64" s="27"/>
      <c r="T64" s="26"/>
      <c r="U64" s="24"/>
      <c r="V64" s="23"/>
      <c r="W64" s="23"/>
      <c r="X64" s="23"/>
      <c r="Y64" s="23"/>
      <c r="Z64" s="23"/>
      <c r="AA64" s="23"/>
      <c r="AB64" s="23"/>
      <c r="AC64" s="22"/>
      <c r="AD64" s="21"/>
      <c r="AE64" s="20"/>
      <c r="AF64" s="29"/>
      <c r="AG64" s="18"/>
      <c r="AH64" s="17"/>
      <c r="AI64" s="17"/>
      <c r="AJ64" s="17"/>
      <c r="AK64" s="17"/>
      <c r="AL64" s="17"/>
    </row>
    <row r="65" spans="1:39" s="16" customFormat="1" ht="12.75" customHeight="1" x14ac:dyDescent="0.2">
      <c r="O65" s="31"/>
      <c r="P65" s="31"/>
      <c r="Q65" s="31"/>
      <c r="R65" s="31"/>
      <c r="S65" s="105"/>
      <c r="T65" s="31"/>
      <c r="U65" s="31"/>
      <c r="V65" s="37"/>
    </row>
    <row r="66" spans="1:39" s="16" customFormat="1" ht="12.75" customHeight="1" x14ac:dyDescent="0.2">
      <c r="O66" s="31"/>
      <c r="P66" s="31"/>
      <c r="Q66" s="31"/>
      <c r="R66" s="31"/>
      <c r="S66" s="105"/>
      <c r="T66" s="31"/>
      <c r="U66" s="31"/>
      <c r="V66" s="37"/>
    </row>
    <row r="67" spans="1:39" s="16" customFormat="1" ht="12.75" customHeight="1" x14ac:dyDescent="0.2">
      <c r="O67" s="31"/>
      <c r="P67" s="31"/>
      <c r="Q67" s="31"/>
      <c r="R67" s="31"/>
      <c r="S67" s="105"/>
      <c r="T67" s="31"/>
      <c r="U67" s="31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29"/>
      <c r="AG67" s="29"/>
    </row>
    <row r="68" spans="1:39" s="16" customFormat="1" ht="12.75" customHeight="1" x14ac:dyDescent="0.2">
      <c r="O68" s="28"/>
      <c r="P68" s="28"/>
      <c r="Q68" s="27"/>
      <c r="R68" s="26"/>
      <c r="S68" s="26"/>
      <c r="T68" s="25"/>
      <c r="U68" s="24"/>
      <c r="V68" s="23"/>
      <c r="W68" s="23"/>
      <c r="X68" s="23"/>
      <c r="Y68" s="23"/>
      <c r="Z68" s="23"/>
      <c r="AA68" s="23"/>
      <c r="AB68" s="23"/>
      <c r="AC68" s="22"/>
      <c r="AD68" s="21"/>
      <c r="AE68" s="20"/>
      <c r="AF68" s="19"/>
      <c r="AG68" s="18"/>
      <c r="AH68" s="17"/>
      <c r="AI68" s="17"/>
      <c r="AJ68" s="17"/>
      <c r="AK68" s="17"/>
      <c r="AL68" s="17"/>
    </row>
    <row r="69" spans="1:39" s="16" customFormat="1" ht="12.75" customHeight="1" x14ac:dyDescent="0.2">
      <c r="O69" s="28"/>
      <c r="P69" s="28"/>
      <c r="Q69" s="27"/>
      <c r="R69" s="26"/>
      <c r="S69" s="26"/>
      <c r="T69" s="25"/>
      <c r="U69" s="24"/>
      <c r="V69" s="23"/>
      <c r="W69" s="23"/>
      <c r="X69" s="23"/>
      <c r="Y69" s="23"/>
      <c r="Z69" s="23"/>
      <c r="AA69" s="23"/>
      <c r="AB69" s="23"/>
      <c r="AC69" s="22"/>
      <c r="AD69" s="21"/>
      <c r="AE69" s="20"/>
      <c r="AF69" s="19"/>
      <c r="AG69" s="18"/>
      <c r="AH69" s="17"/>
      <c r="AI69" s="17"/>
      <c r="AJ69" s="17"/>
      <c r="AK69" s="17"/>
      <c r="AL69" s="17"/>
    </row>
    <row r="70" spans="1:39" s="16" customFormat="1" ht="12.75" customHeight="1" x14ac:dyDescent="0.2">
      <c r="O70" s="28"/>
      <c r="P70" s="28"/>
      <c r="Q70" s="27"/>
      <c r="R70" s="26"/>
      <c r="S70" s="26"/>
      <c r="T70" s="25"/>
      <c r="U70" s="24"/>
      <c r="V70" s="23"/>
      <c r="W70" s="23"/>
      <c r="X70" s="23"/>
      <c r="Y70" s="23"/>
      <c r="Z70" s="23"/>
      <c r="AA70" s="23"/>
      <c r="AB70" s="23"/>
      <c r="AC70" s="22"/>
      <c r="AD70" s="21"/>
      <c r="AE70" s="20"/>
      <c r="AF70" s="19"/>
      <c r="AG70" s="18"/>
      <c r="AH70" s="17"/>
      <c r="AI70" s="17"/>
      <c r="AJ70" s="17"/>
      <c r="AK70" s="17"/>
      <c r="AL70" s="17"/>
    </row>
    <row r="71" spans="1:39" ht="12.75" customHeight="1" x14ac:dyDescent="0.2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O71" s="15"/>
      <c r="P71" s="15"/>
      <c r="Q71" s="15"/>
      <c r="R71" s="36"/>
      <c r="S71" s="36"/>
      <c r="T71" s="36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</row>
    <row r="72" spans="1:39" ht="12.75" customHeight="1" x14ac:dyDescent="0.2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P72" s="36"/>
      <c r="Q72" s="36"/>
      <c r="R72" s="36"/>
      <c r="S72" s="36"/>
      <c r="T72" s="36"/>
      <c r="U72" s="15"/>
      <c r="V72" s="29"/>
      <c r="W72" s="35"/>
      <c r="X72" s="34"/>
      <c r="Y72" s="15"/>
      <c r="Z72" s="29"/>
      <c r="AA72" s="29"/>
      <c r="AB72" s="29"/>
      <c r="AC72" s="29"/>
      <c r="AD72" s="29"/>
      <c r="AE72" s="29"/>
      <c r="AF72" s="29"/>
      <c r="AG72" s="29"/>
      <c r="AH72" s="16"/>
      <c r="AI72" s="16"/>
      <c r="AJ72" s="16"/>
      <c r="AK72" s="16"/>
      <c r="AL72" s="16"/>
      <c r="AM72" s="16"/>
    </row>
    <row r="73" spans="1:39" s="16" customFormat="1" ht="12.75" customHeight="1" x14ac:dyDescent="0.2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O73" s="31"/>
      <c r="P73" s="31"/>
      <c r="Q73" s="31"/>
      <c r="R73" s="31"/>
      <c r="S73" s="105"/>
      <c r="T73" s="31"/>
      <c r="U73" s="31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29"/>
      <c r="AG73" s="29"/>
    </row>
    <row r="74" spans="1:39" s="16" customFormat="1" ht="12.75" customHeight="1" x14ac:dyDescent="0.2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O74" s="31"/>
      <c r="P74" s="31"/>
      <c r="Q74" s="31"/>
      <c r="R74" s="31"/>
      <c r="S74" s="105"/>
      <c r="T74" s="31"/>
      <c r="U74" s="31"/>
      <c r="V74" s="30"/>
      <c r="W74" s="30"/>
      <c r="X74" s="30"/>
      <c r="Y74" s="30"/>
      <c r="Z74" s="30"/>
      <c r="AA74" s="30"/>
      <c r="AB74" s="30"/>
      <c r="AC74" s="30"/>
      <c r="AD74" s="30"/>
      <c r="AE74" s="32"/>
      <c r="AF74" s="29"/>
      <c r="AG74" s="29"/>
    </row>
    <row r="75" spans="1:39" s="16" customFormat="1" ht="12.75" customHeight="1" x14ac:dyDescent="0.2">
      <c r="O75" s="31"/>
      <c r="P75" s="31"/>
      <c r="Q75" s="31"/>
      <c r="R75" s="31"/>
      <c r="S75" s="105"/>
      <c r="T75" s="31"/>
      <c r="U75" s="31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29"/>
      <c r="AG75" s="29"/>
    </row>
    <row r="76" spans="1:39" s="16" customFormat="1" ht="12.75" customHeight="1" x14ac:dyDescent="0.2">
      <c r="O76" s="28"/>
      <c r="P76" s="28"/>
      <c r="Q76" s="27"/>
      <c r="R76" s="26"/>
      <c r="S76" s="26"/>
      <c r="T76" s="25"/>
      <c r="U76" s="24"/>
      <c r="V76" s="23"/>
      <c r="W76" s="23"/>
      <c r="X76" s="23"/>
      <c r="Y76" s="23"/>
      <c r="Z76" s="23"/>
      <c r="AA76" s="23"/>
      <c r="AB76" s="23"/>
      <c r="AC76" s="22"/>
      <c r="AD76" s="21"/>
      <c r="AE76" s="20"/>
      <c r="AF76" s="19"/>
      <c r="AG76" s="18"/>
      <c r="AH76" s="17"/>
      <c r="AI76" s="17"/>
      <c r="AJ76" s="17"/>
      <c r="AK76" s="17"/>
      <c r="AL76" s="17"/>
    </row>
    <row r="77" spans="1:39" s="16" customFormat="1" ht="12.75" customHeight="1" x14ac:dyDescent="0.2">
      <c r="O77" s="28"/>
      <c r="P77" s="28"/>
      <c r="Q77" s="27"/>
      <c r="R77" s="26"/>
      <c r="S77" s="26"/>
      <c r="T77" s="25"/>
      <c r="U77" s="24"/>
      <c r="V77" s="23"/>
      <c r="W77" s="23"/>
      <c r="X77" s="23"/>
      <c r="Y77" s="23"/>
      <c r="Z77" s="23"/>
      <c r="AA77" s="23"/>
      <c r="AB77" s="23"/>
      <c r="AC77" s="22"/>
      <c r="AD77" s="21"/>
      <c r="AE77" s="20"/>
      <c r="AF77" s="19"/>
      <c r="AG77" s="18"/>
      <c r="AH77" s="17"/>
      <c r="AI77" s="17"/>
      <c r="AJ77" s="17"/>
      <c r="AK77" s="17"/>
      <c r="AL77" s="17"/>
    </row>
    <row r="78" spans="1:39" s="16" customFormat="1" ht="12.75" customHeight="1" x14ac:dyDescent="0.2">
      <c r="O78" s="28"/>
      <c r="P78" s="28"/>
      <c r="Q78" s="27"/>
      <c r="R78" s="26"/>
      <c r="S78" s="26"/>
      <c r="T78" s="25"/>
      <c r="U78" s="24"/>
      <c r="V78" s="23"/>
      <c r="W78" s="23"/>
      <c r="X78" s="23"/>
      <c r="Y78" s="23"/>
      <c r="Z78" s="23"/>
      <c r="AA78" s="23"/>
      <c r="AB78" s="23"/>
      <c r="AC78" s="22"/>
      <c r="AD78" s="21"/>
      <c r="AE78" s="20"/>
      <c r="AF78" s="19"/>
      <c r="AG78" s="18"/>
      <c r="AH78" s="17"/>
      <c r="AI78" s="17"/>
      <c r="AJ78" s="17"/>
      <c r="AK78" s="17"/>
      <c r="AL78" s="17"/>
    </row>
    <row r="79" spans="1:39" ht="12.75" customHeight="1" x14ac:dyDescent="0.2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O79" s="15"/>
      <c r="P79" s="15"/>
      <c r="Q79" s="15"/>
      <c r="R79" s="36"/>
      <c r="S79" s="36"/>
      <c r="T79" s="36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</row>
    <row r="80" spans="1:39" ht="12.75" customHeight="1" x14ac:dyDescent="0.2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O80" s="35"/>
      <c r="P80" s="35"/>
      <c r="Q80" s="15"/>
      <c r="R80" s="15"/>
      <c r="S80" s="15"/>
      <c r="T80" s="15"/>
      <c r="U80" s="15"/>
      <c r="V80" s="29"/>
      <c r="W80" s="35"/>
      <c r="X80" s="34"/>
      <c r="Y80" s="15"/>
      <c r="Z80" s="29"/>
      <c r="AA80" s="29"/>
      <c r="AB80" s="29"/>
      <c r="AC80" s="29"/>
      <c r="AD80" s="29"/>
      <c r="AE80" s="29"/>
      <c r="AF80" s="29"/>
      <c r="AG80" s="29"/>
      <c r="AH80" s="16"/>
      <c r="AI80" s="16"/>
      <c r="AJ80" s="16"/>
      <c r="AK80" s="16"/>
      <c r="AL80" s="16"/>
      <c r="AM80" s="16"/>
    </row>
    <row r="81" spans="1:38" s="16" customFormat="1" ht="12.75" customHeight="1" x14ac:dyDescent="0.2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O81" s="31"/>
      <c r="P81" s="31"/>
      <c r="Q81" s="31"/>
      <c r="R81" s="31"/>
      <c r="S81" s="105"/>
      <c r="T81" s="31"/>
      <c r="U81" s="31"/>
      <c r="V81" s="30"/>
      <c r="W81" s="30"/>
      <c r="X81" s="30"/>
      <c r="Y81" s="30"/>
      <c r="Z81" s="30"/>
      <c r="AA81" s="30"/>
      <c r="AB81" s="30"/>
      <c r="AC81" s="30"/>
      <c r="AD81" s="30"/>
      <c r="AE81" s="33"/>
      <c r="AF81" s="29"/>
      <c r="AG81" s="29"/>
    </row>
    <row r="82" spans="1:38" s="16" customFormat="1" ht="12.75" customHeight="1" x14ac:dyDescent="0.2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O82" s="31"/>
      <c r="P82" s="31"/>
      <c r="Q82" s="31"/>
      <c r="R82" s="31"/>
      <c r="S82" s="105"/>
      <c r="T82" s="31"/>
      <c r="U82" s="31"/>
      <c r="V82" s="30"/>
      <c r="W82" s="30"/>
      <c r="X82" s="30"/>
      <c r="Y82" s="30"/>
      <c r="Z82" s="30"/>
      <c r="AA82" s="30"/>
      <c r="AB82" s="30"/>
      <c r="AC82" s="30"/>
      <c r="AD82" s="30"/>
      <c r="AE82" s="32"/>
      <c r="AF82" s="29"/>
      <c r="AG82" s="29"/>
    </row>
    <row r="83" spans="1:38" s="16" customFormat="1" ht="12.75" customHeight="1" x14ac:dyDescent="0.2">
      <c r="O83" s="31"/>
      <c r="P83" s="31"/>
      <c r="Q83" s="31"/>
      <c r="R83" s="31"/>
      <c r="S83" s="105"/>
      <c r="T83" s="31"/>
      <c r="U83" s="31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29"/>
      <c r="AG83" s="29"/>
    </row>
    <row r="84" spans="1:38" s="16" customFormat="1" ht="12.75" customHeight="1" x14ac:dyDescent="0.2">
      <c r="O84" s="28"/>
      <c r="P84" s="28"/>
      <c r="Q84" s="27"/>
      <c r="R84" s="26"/>
      <c r="S84" s="26"/>
      <c r="T84" s="25"/>
      <c r="U84" s="24"/>
      <c r="V84" s="23"/>
      <c r="W84" s="23"/>
      <c r="X84" s="23"/>
      <c r="Y84" s="23"/>
      <c r="Z84" s="23"/>
      <c r="AA84" s="23"/>
      <c r="AB84" s="23"/>
      <c r="AC84" s="22"/>
      <c r="AD84" s="21"/>
      <c r="AE84" s="20"/>
      <c r="AF84" s="19"/>
      <c r="AG84" s="18"/>
      <c r="AH84" s="17"/>
      <c r="AI84" s="17"/>
      <c r="AJ84" s="17"/>
      <c r="AK84" s="17"/>
      <c r="AL84" s="17"/>
    </row>
    <row r="85" spans="1:38" s="16" customFormat="1" ht="12.75" customHeight="1" x14ac:dyDescent="0.2">
      <c r="O85" s="28"/>
      <c r="P85" s="28"/>
      <c r="Q85" s="27"/>
      <c r="R85" s="26"/>
      <c r="S85" s="26"/>
      <c r="T85" s="25"/>
      <c r="U85" s="24"/>
      <c r="V85" s="23"/>
      <c r="W85" s="23"/>
      <c r="X85" s="23"/>
      <c r="Y85" s="23"/>
      <c r="Z85" s="23"/>
      <c r="AA85" s="23"/>
      <c r="AB85" s="23"/>
      <c r="AC85" s="22"/>
      <c r="AD85" s="21"/>
      <c r="AE85" s="20"/>
      <c r="AF85" s="19"/>
      <c r="AG85" s="18"/>
      <c r="AH85" s="17"/>
      <c r="AI85" s="17"/>
      <c r="AJ85" s="17"/>
      <c r="AK85" s="17"/>
      <c r="AL85" s="17"/>
    </row>
    <row r="86" spans="1:38" s="16" customFormat="1" ht="12.75" customHeight="1" x14ac:dyDescent="0.2">
      <c r="O86" s="28"/>
      <c r="P86" s="28"/>
      <c r="Q86" s="27"/>
      <c r="R86" s="26"/>
      <c r="S86" s="26"/>
      <c r="T86" s="25"/>
      <c r="U86" s="24"/>
      <c r="V86" s="23"/>
      <c r="W86" s="23"/>
      <c r="X86" s="23"/>
      <c r="Y86" s="23"/>
      <c r="Z86" s="23"/>
      <c r="AA86" s="23"/>
      <c r="AB86" s="23"/>
      <c r="AC86" s="22"/>
      <c r="AD86" s="21"/>
      <c r="AE86" s="20"/>
      <c r="AF86" s="19"/>
      <c r="AG86" s="18"/>
      <c r="AH86" s="17"/>
      <c r="AI86" s="17"/>
      <c r="AJ86" s="17"/>
      <c r="AK86" s="17"/>
      <c r="AL86" s="17"/>
    </row>
    <row r="87" spans="1:38" ht="12.75" customHeight="1" x14ac:dyDescent="0.2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</row>
    <row r="88" spans="1:38" ht="12.75" customHeight="1" x14ac:dyDescent="0.2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</row>
    <row r="89" spans="1:38" ht="12.75" customHeight="1" x14ac:dyDescent="0.2"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</row>
    <row r="90" spans="1:38" ht="12.75" customHeight="1" x14ac:dyDescent="0.2"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</row>
    <row r="91" spans="1:38" ht="12.75" customHeight="1" x14ac:dyDescent="0.2"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</row>
    <row r="92" spans="1:38" ht="12.75" customHeight="1" x14ac:dyDescent="0.2"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</row>
    <row r="93" spans="1:38" ht="12.75" customHeight="1" x14ac:dyDescent="0.2"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</row>
    <row r="94" spans="1:38" ht="12.75" customHeight="1" x14ac:dyDescent="0.2"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</row>
    <row r="95" spans="1:38" ht="12.75" customHeight="1" x14ac:dyDescent="0.2"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</row>
    <row r="96" spans="1:38" ht="12.75" customHeight="1" x14ac:dyDescent="0.2"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</row>
    <row r="97" spans="22:33" ht="12.75" customHeight="1" x14ac:dyDescent="0.2"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</row>
    <row r="98" spans="22:33" ht="12.75" customHeight="1" x14ac:dyDescent="0.2"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</row>
    <row r="99" spans="22:33" ht="12.75" customHeight="1" x14ac:dyDescent="0.2"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</row>
    <row r="100" spans="22:33" ht="12.75" customHeight="1" x14ac:dyDescent="0.2"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</row>
    <row r="101" spans="22:33" ht="12.75" customHeight="1" x14ac:dyDescent="0.2"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</row>
    <row r="102" spans="22:33" ht="12.75" customHeight="1" x14ac:dyDescent="0.2"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</row>
    <row r="103" spans="22:33" ht="12.75" customHeight="1" x14ac:dyDescent="0.2"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</row>
    <row r="104" spans="22:33" ht="12.75" customHeight="1" x14ac:dyDescent="0.2"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</row>
    <row r="105" spans="22:33" ht="12.75" customHeight="1" x14ac:dyDescent="0.2"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</row>
    <row r="106" spans="22:33" ht="12.75" customHeight="1" x14ac:dyDescent="0.2"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</row>
    <row r="107" spans="22:33" ht="12.75" customHeight="1" x14ac:dyDescent="0.2"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</row>
    <row r="108" spans="22:33" ht="12.75" customHeight="1" x14ac:dyDescent="0.2"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</row>
    <row r="109" spans="22:33" ht="12.75" customHeight="1" x14ac:dyDescent="0.2"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</row>
    <row r="110" spans="22:33" ht="12.75" customHeight="1" x14ac:dyDescent="0.2"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</row>
    <row r="111" spans="22:33" ht="12.75" customHeight="1" x14ac:dyDescent="0.2"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</row>
    <row r="112" spans="22:33" ht="12.75" customHeight="1" x14ac:dyDescent="0.2"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</row>
    <row r="113" spans="22:33" ht="12.75" customHeight="1" x14ac:dyDescent="0.2"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</row>
    <row r="114" spans="22:33" ht="12.75" customHeight="1" x14ac:dyDescent="0.2"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</row>
    <row r="115" spans="22:33" ht="12.75" customHeight="1" x14ac:dyDescent="0.2"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</row>
    <row r="116" spans="22:33" ht="12.75" customHeight="1" x14ac:dyDescent="0.2"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</row>
    <row r="117" spans="22:33" ht="12.75" customHeight="1" x14ac:dyDescent="0.2"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</row>
    <row r="118" spans="22:33" ht="12.75" customHeight="1" x14ac:dyDescent="0.2"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</row>
    <row r="119" spans="22:33" ht="12.75" customHeight="1" x14ac:dyDescent="0.2"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</row>
    <row r="120" spans="22:33" ht="12.75" customHeight="1" x14ac:dyDescent="0.2"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</row>
    <row r="121" spans="22:33" ht="12.75" customHeight="1" x14ac:dyDescent="0.2"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</row>
    <row r="122" spans="22:33" ht="12.75" customHeight="1" x14ac:dyDescent="0.2"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</row>
    <row r="123" spans="22:33" ht="12.75" customHeight="1" x14ac:dyDescent="0.2"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</row>
    <row r="124" spans="22:33" ht="12.75" customHeight="1" x14ac:dyDescent="0.2"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</row>
    <row r="125" spans="22:33" ht="12.75" customHeight="1" x14ac:dyDescent="0.2"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</row>
    <row r="126" spans="22:33" ht="12.75" customHeight="1" x14ac:dyDescent="0.2"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</row>
    <row r="127" spans="22:33" ht="12.75" customHeight="1" x14ac:dyDescent="0.2"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</row>
    <row r="128" spans="22:33" ht="12.75" customHeight="1" x14ac:dyDescent="0.2"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</row>
    <row r="129" spans="22:33" ht="12.75" customHeight="1" x14ac:dyDescent="0.2"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</row>
    <row r="130" spans="22:33" ht="12.75" customHeight="1" x14ac:dyDescent="0.2"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</row>
    <row r="131" spans="22:33" ht="12.75" customHeight="1" x14ac:dyDescent="0.2"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</row>
    <row r="132" spans="22:33" ht="12.75" customHeight="1" x14ac:dyDescent="0.2"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</row>
    <row r="133" spans="22:33" ht="12.75" customHeight="1" x14ac:dyDescent="0.2"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</row>
    <row r="134" spans="22:33" ht="12.75" customHeight="1" x14ac:dyDescent="0.2"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</row>
    <row r="135" spans="22:33" ht="12.75" customHeight="1" x14ac:dyDescent="0.2"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</row>
    <row r="136" spans="22:33" ht="12.75" customHeight="1" x14ac:dyDescent="0.2"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</row>
    <row r="137" spans="22:33" ht="12.75" customHeight="1" x14ac:dyDescent="0.2"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</row>
    <row r="138" spans="22:33" ht="12.75" customHeight="1" x14ac:dyDescent="0.2"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</row>
    <row r="139" spans="22:33" ht="12.75" customHeight="1" x14ac:dyDescent="0.2"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</row>
    <row r="140" spans="22:33" ht="12.75" customHeight="1" x14ac:dyDescent="0.2"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</row>
    <row r="141" spans="22:33" ht="12.75" customHeight="1" x14ac:dyDescent="0.2"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</row>
    <row r="142" spans="22:33" ht="12.75" customHeight="1" x14ac:dyDescent="0.2"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</row>
    <row r="143" spans="22:33" ht="12.75" customHeight="1" x14ac:dyDescent="0.2"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</row>
    <row r="144" spans="22:33" ht="12.75" customHeight="1" x14ac:dyDescent="0.2"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</row>
    <row r="145" spans="22:33" ht="12.75" customHeight="1" x14ac:dyDescent="0.2"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</row>
    <row r="146" spans="22:33" ht="12.75" customHeight="1" x14ac:dyDescent="0.2"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</row>
    <row r="147" spans="22:33" ht="12.75" customHeight="1" x14ac:dyDescent="0.2"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</row>
    <row r="148" spans="22:33" ht="12.75" customHeight="1" x14ac:dyDescent="0.2"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</row>
  </sheetData>
  <mergeCells count="12">
    <mergeCell ref="A14:D14"/>
    <mergeCell ref="E14:H14"/>
    <mergeCell ref="O43:T43"/>
    <mergeCell ref="O27:T27"/>
    <mergeCell ref="T17:T19"/>
    <mergeCell ref="M14:M15"/>
    <mergeCell ref="O9:P9"/>
    <mergeCell ref="O10:P10"/>
    <mergeCell ref="O11:P11"/>
    <mergeCell ref="O12:P12"/>
    <mergeCell ref="N26:U26"/>
    <mergeCell ref="S14:S16"/>
  </mergeCells>
  <printOptions horizontalCentered="1"/>
  <pageMargins left="0.78740157480314965" right="0.78740157480314965" top="1.5748031496062993" bottom="1.5748031496062993" header="0" footer="0"/>
  <pageSetup paperSize="9" scale="92" orientation="portrait" horizontalDpi="300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'Ingreso Datos'!$N$14:$N$16</xm:f>
          </x14:formula1>
          <xm:sqref>M16:M18</xm:sqref>
        </x14:dataValidation>
        <x14:dataValidation type="list" allowBlank="1" showInputMessage="1" showErrorMessage="1">
          <x14:formula1>
            <xm:f>'Ingreso Datos'!$P$14:$P$15</xm:f>
          </x14:formula1>
          <xm:sqref>B12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Ingreso Datos</vt:lpstr>
      <vt:lpstr>3</vt:lpstr>
      <vt:lpstr>'3'!Área_de_impresión</vt:lpstr>
    </vt:vector>
  </TitlesOfParts>
  <Company>Universidad De Chile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POBLETE OLAVE</dc:creator>
  <cp:lastModifiedBy>Francisco Gonzalez</cp:lastModifiedBy>
  <cp:lastPrinted>2009-11-19T16:40:44Z</cp:lastPrinted>
  <dcterms:created xsi:type="dcterms:W3CDTF">1999-10-13T14:07:43Z</dcterms:created>
  <dcterms:modified xsi:type="dcterms:W3CDTF">2024-05-30T20:02:56Z</dcterms:modified>
</cp:coreProperties>
</file>