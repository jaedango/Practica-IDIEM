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Unidades compartidas\slg-secc_laboratorio\2023\03. PROYECTOS\STRABAG SPA\CAMPAÑA DE SONDAJES\C2BH-L10-SCA-0+419-HR (3053)\04 ENSAYOS\"/>
    </mc:Choice>
  </mc:AlternateContent>
  <bookViews>
    <workbookView xWindow="-120" yWindow="-120" windowWidth="20730" windowHeight="11160" tabRatio="858" activeTab="1"/>
  </bookViews>
  <sheets>
    <sheet name="Ingreso Datos" sheetId="206" r:id="rId1"/>
    <sheet name="6" sheetId="207" r:id="rId2"/>
  </sheets>
  <definedNames>
    <definedName name="__123Graph_A" localSheetId="1" hidden="1">'6'!$H$32:$H$46</definedName>
    <definedName name="__123Graph_X" localSheetId="1" hidden="1">'6'!$J$32:$J$47</definedName>
    <definedName name="_Regression_Int" localSheetId="1" hidden="1">1</definedName>
    <definedName name="_xlnm.Print_Area" localSheetId="1">'6'!$H$8:$N$45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" i="207" l="1"/>
  <c r="I5" i="207" l="1"/>
  <c r="I4" i="207"/>
  <c r="I3" i="207"/>
  <c r="X2" i="207" s="1"/>
  <c r="AB1" i="207"/>
  <c r="AB2" i="207"/>
  <c r="I6" i="207"/>
  <c r="I7" i="207"/>
  <c r="I9" i="207"/>
  <c r="I10" i="207"/>
  <c r="I11" i="207"/>
  <c r="I12" i="207"/>
  <c r="K16" i="207"/>
  <c r="K17" i="207"/>
  <c r="K18" i="207"/>
  <c r="K19" i="207"/>
  <c r="K26" i="207"/>
  <c r="K35" i="207"/>
  <c r="K32" i="207" l="1"/>
  <c r="B27" i="207" s="1"/>
  <c r="H53" i="207"/>
  <c r="K33" i="207"/>
  <c r="K31" i="207"/>
  <c r="I33" i="207" l="1"/>
  <c r="I32" i="207"/>
  <c r="C21" i="207"/>
  <c r="B26" i="207"/>
  <c r="I31" i="207"/>
  <c r="C22" i="207"/>
  <c r="K37" i="207" s="1"/>
  <c r="B28" i="207"/>
  <c r="K36" i="207"/>
</calcChain>
</file>

<file path=xl/sharedStrings.xml><?xml version="1.0" encoding="utf-8"?>
<sst xmlns="http://schemas.openxmlformats.org/spreadsheetml/2006/main" count="105" uniqueCount="91">
  <si>
    <t>Proyecto</t>
  </si>
  <si>
    <t>Orden de Trabajo</t>
  </si>
  <si>
    <t>Referencias</t>
  </si>
  <si>
    <t>Tipo de Roca</t>
  </si>
  <si>
    <t>Fracturas / Vetillas</t>
  </si>
  <si>
    <t>Alteraciones</t>
  </si>
  <si>
    <t>%</t>
  </si>
  <si>
    <t>Nº INFORME</t>
  </si>
  <si>
    <t>CANTIDAD DE HOJAS (01 HASTA 30)</t>
  </si>
  <si>
    <t>Hoja Nº</t>
  </si>
  <si>
    <t>Nombre Hoja</t>
  </si>
  <si>
    <t>MUESTRA</t>
  </si>
  <si>
    <t>2. Determinación de Humedad según SLG-PP-07 basado en ASTM D2216-10</t>
  </si>
  <si>
    <t>1. Slake Durability realizado según recomendaciones de ASTM D4644-16</t>
  </si>
  <si>
    <t>&lt;30</t>
  </si>
  <si>
    <t>&lt;60</t>
  </si>
  <si>
    <t>Durabilidad Extremadamente Baja</t>
  </si>
  <si>
    <t>30-60</t>
  </si>
  <si>
    <t>60-85</t>
  </si>
  <si>
    <t>Durabilidad Baja</t>
  </si>
  <si>
    <t>85-95</t>
  </si>
  <si>
    <t>Durabilidad Media</t>
  </si>
  <si>
    <t>95-98</t>
  </si>
  <si>
    <t>Durabilidad Media Alta</t>
  </si>
  <si>
    <t>98-99</t>
  </si>
  <si>
    <t>Durabilidad Alta</t>
  </si>
  <si>
    <t>&gt;98</t>
  </si>
  <si>
    <t>&gt;99</t>
  </si>
  <si>
    <t>Durabilidad Extremadamente Alta</t>
  </si>
  <si>
    <t>% Retenido    2º Ciclo              10 min.</t>
  </si>
  <si>
    <t>% Retenido    1º Ciclo           10 min.</t>
  </si>
  <si>
    <t>Grupo</t>
  </si>
  <si>
    <t>(*) CLASIFICACIÓN DE GAMBLE PARA SLAKE DURABILITY</t>
  </si>
  <si>
    <t>CLASIFICACIÓN (*)</t>
  </si>
  <si>
    <t>SLAKE DURABILITY INDEX [%]</t>
  </si>
  <si>
    <t>CONTENIDO DE HUMEDAD INICIAL [%]</t>
  </si>
  <si>
    <t>Nº</t>
  </si>
  <si>
    <t>Índice de Durabilidad</t>
  </si>
  <si>
    <t>Desgaste</t>
  </si>
  <si>
    <t>Ciclo</t>
  </si>
  <si>
    <t>RESULTADOS</t>
  </si>
  <si>
    <t>[ºC]</t>
  </si>
  <si>
    <t>Temperatura de Secado</t>
  </si>
  <si>
    <t>[rpm]</t>
  </si>
  <si>
    <t>Velocidad de Giro</t>
  </si>
  <si>
    <t>id</t>
  </si>
  <si>
    <t>ciclos</t>
  </si>
  <si>
    <t>[min]</t>
  </si>
  <si>
    <t>Tiempo de cada Ciclo</t>
  </si>
  <si>
    <t>grafico</t>
  </si>
  <si>
    <t>Temperatura del Agua</t>
  </si>
  <si>
    <t xml:space="preserve">   Destilada</t>
  </si>
  <si>
    <t>Tipo de Agua Utilizada</t>
  </si>
  <si>
    <t>2ºciclo</t>
  </si>
  <si>
    <t>CONDICIONES DEL ENSAYO</t>
  </si>
  <si>
    <t>1ºciclo</t>
  </si>
  <si>
    <t>clasificación</t>
  </si>
  <si>
    <t>Contenedor + Muestra Después de 2º Ciclo</t>
  </si>
  <si>
    <t>Contenedor + Muestra Después de 1º Ciclo</t>
  </si>
  <si>
    <t>CONTENEDOR + MUESTRA 2ºCICLO</t>
  </si>
  <si>
    <t>Contenedor + Muestra Inicial</t>
  </si>
  <si>
    <t>CONTENEDOR + MUESTRA 1º CICLO</t>
  </si>
  <si>
    <t>FOTOGRAFIAS</t>
  </si>
  <si>
    <t>Contenedor</t>
  </si>
  <si>
    <t>CONTENEDOR + MUESTRA INICIAL</t>
  </si>
  <si>
    <t>TABLA REGISTRO DE PESOS</t>
  </si>
  <si>
    <t>CONTENEDOR</t>
  </si>
  <si>
    <t>°C</t>
  </si>
  <si>
    <t>Temperatura Secado</t>
  </si>
  <si>
    <t>Humedad Inicial</t>
  </si>
  <si>
    <t>ALTERACIONES</t>
  </si>
  <si>
    <t>FRACTURAS / VETILLAS</t>
  </si>
  <si>
    <t>TIPO DE ROCA</t>
  </si>
  <si>
    <t>Fecha Término</t>
  </si>
  <si>
    <t>FECHA TERMINO</t>
  </si>
  <si>
    <t>Fecha Inicio</t>
  </si>
  <si>
    <t>FECHA INICIO</t>
  </si>
  <si>
    <t>Nº Informe</t>
  </si>
  <si>
    <t>AJUSTAR VALOR MINIMO DEL EJE X EN EL GRAFICO</t>
  </si>
  <si>
    <t>AGREGAR FOTOGRAFIAS (26% VGA)</t>
  </si>
  <si>
    <t>INFORME DE SLAKE DURABILITY INDEX</t>
  </si>
  <si>
    <t>CAMBIAR SOLO LOS VALORES EN VERDE</t>
  </si>
  <si>
    <t>[gr]</t>
  </si>
  <si>
    <t>C2BH-L10-SCA-0+419-HR (02,00-02,20)</t>
  </si>
  <si>
    <t>Toba de lapilli vítrea</t>
  </si>
  <si>
    <t>No presenta</t>
  </si>
  <si>
    <t>Oxidación y zeolitización</t>
  </si>
  <si>
    <t>-</t>
  </si>
  <si>
    <t>C2BH-L10-SCA-0+419-HR</t>
  </si>
  <si>
    <t>Toba de lapilli lítica</t>
  </si>
  <si>
    <t>1.914.546-E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</si>
</sst>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_)"/>
    <numFmt numFmtId="165" formatCode="0_)"/>
    <numFmt numFmtId="166" formatCode="0.0_)"/>
    <numFmt numFmtId="167" formatCode="dd/mm/yyyy;@"/>
    <numFmt numFmtId="168" formatCode="0.0"/>
  </numFmts>
  <fonts count="18" x14ac:knownFonts="1">
    <font>
      <sz val="10"/>
      <name val="Courier"/>
    </font>
    <font>
      <b/>
      <sz val="9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sz val="8.5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Times New Roman"/>
      <family val="1"/>
    </font>
    <font>
      <sz val="8"/>
      <name val="Arial"/>
      <family val="2"/>
    </font>
    <font>
      <b/>
      <u/>
      <sz val="8"/>
      <name val="Arial"/>
      <family val="2"/>
    </font>
    <font>
      <b/>
      <u/>
      <sz val="8.5"/>
      <name val="Arial"/>
      <family val="2"/>
    </font>
    <font>
      <sz val="8"/>
      <color indexed="12"/>
      <name val="Times New Roman"/>
      <family val="1"/>
    </font>
    <font>
      <sz val="8"/>
      <color indexed="10"/>
      <name val="Arial"/>
      <family val="2"/>
    </font>
    <font>
      <i/>
      <sz val="8"/>
      <name val="Arial"/>
      <family val="2"/>
    </font>
    <font>
      <b/>
      <i/>
      <sz val="8"/>
      <name val="Arial"/>
      <family val="2"/>
    </font>
    <font>
      <b/>
      <sz val="8"/>
      <name val="Arial"/>
      <family val="2"/>
    </font>
    <font>
      <b/>
      <sz val="8"/>
      <color theme="0"/>
      <name val="Arial"/>
      <family val="2"/>
    </font>
    <font>
      <b/>
      <sz val="8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42">
    <xf numFmtId="0" fontId="0" fillId="0" borderId="0" xfId="0"/>
    <xf numFmtId="0" fontId="2" fillId="0" borderId="13" xfId="0" applyFont="1" applyFill="1" applyBorder="1" applyAlignment="1" applyProtection="1">
      <alignment horizontal="left" vertical="center"/>
    </xf>
    <xf numFmtId="0" fontId="4" fillId="2" borderId="4" xfId="0" applyNumberFormat="1" applyFont="1" applyFill="1" applyBorder="1" applyAlignment="1" applyProtection="1">
      <alignment vertical="center"/>
    </xf>
    <xf numFmtId="0" fontId="4" fillId="2" borderId="2" xfId="0" applyNumberFormat="1" applyFont="1" applyFill="1" applyBorder="1" applyAlignment="1" applyProtection="1">
      <alignment vertical="center"/>
    </xf>
    <xf numFmtId="0" fontId="4" fillId="2" borderId="3" xfId="0" applyNumberFormat="1" applyFont="1" applyFill="1" applyBorder="1" applyAlignment="1" applyProtection="1">
      <alignment vertical="center"/>
    </xf>
    <xf numFmtId="0" fontId="5" fillId="0" borderId="0" xfId="0" applyFont="1" applyAlignment="1">
      <alignment vertical="center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6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0" fontId="7" fillId="4" borderId="0" xfId="0" applyFont="1" applyFill="1"/>
    <xf numFmtId="0" fontId="8" fillId="4" borderId="0" xfId="0" applyFont="1" applyFill="1"/>
    <xf numFmtId="0" fontId="9" fillId="4" borderId="0" xfId="0" applyFont="1" applyFill="1"/>
    <xf numFmtId="0" fontId="4" fillId="4" borderId="0" xfId="0" applyFont="1" applyFill="1" applyAlignment="1">
      <alignment horizontal="left" indent="1"/>
    </xf>
    <xf numFmtId="165" fontId="7" fillId="4" borderId="0" xfId="0" applyNumberFormat="1" applyFont="1" applyFill="1" applyProtection="1"/>
    <xf numFmtId="0" fontId="8" fillId="4" borderId="0" xfId="0" applyFont="1" applyFill="1" applyAlignment="1">
      <alignment vertical="center"/>
    </xf>
    <xf numFmtId="0" fontId="10" fillId="4" borderId="0" xfId="0" applyFont="1" applyFill="1" applyAlignment="1" applyProtection="1">
      <alignment horizontal="left"/>
    </xf>
    <xf numFmtId="0" fontId="8" fillId="4" borderId="6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11" fillId="4" borderId="0" xfId="0" applyFont="1" applyFill="1" applyProtection="1">
      <protection locked="0"/>
    </xf>
    <xf numFmtId="0" fontId="7" fillId="4" borderId="0" xfId="0" applyFont="1" applyFill="1" applyProtection="1"/>
    <xf numFmtId="165" fontId="7" fillId="4" borderId="0" xfId="0" applyNumberFormat="1" applyFont="1" applyFill="1" applyAlignment="1" applyProtection="1">
      <alignment horizontal="left"/>
    </xf>
    <xf numFmtId="0" fontId="12" fillId="4" borderId="0" xfId="0" applyFont="1" applyFill="1"/>
    <xf numFmtId="164" fontId="11" fillId="4" borderId="0" xfId="0" applyNumberFormat="1" applyFont="1" applyFill="1" applyProtection="1">
      <protection locked="0"/>
    </xf>
    <xf numFmtId="164" fontId="8" fillId="4" borderId="6" xfId="0" applyNumberFormat="1" applyFont="1" applyFill="1" applyBorder="1" applyAlignment="1" applyProtection="1">
      <alignment horizontal="center" vertical="center"/>
    </xf>
    <xf numFmtId="164" fontId="8" fillId="4" borderId="3" xfId="0" applyNumberFormat="1" applyFont="1" applyFill="1" applyBorder="1" applyAlignment="1" applyProtection="1">
      <alignment horizontal="center" vertical="center"/>
    </xf>
    <xf numFmtId="164" fontId="7" fillId="4" borderId="0" xfId="0" applyNumberFormat="1" applyFont="1" applyFill="1" applyProtection="1"/>
    <xf numFmtId="166" fontId="8" fillId="4" borderId="6" xfId="0" applyNumberFormat="1" applyFont="1" applyFill="1" applyBorder="1" applyAlignment="1" applyProtection="1">
      <alignment horizontal="center" vertical="center"/>
    </xf>
    <xf numFmtId="164" fontId="13" fillId="4" borderId="6" xfId="0" applyNumberFormat="1" applyFont="1" applyFill="1" applyBorder="1" applyAlignment="1" applyProtection="1">
      <alignment horizontal="center" vertical="center" wrapText="1"/>
    </xf>
    <xf numFmtId="0" fontId="7" fillId="4" borderId="0" xfId="0" applyFont="1" applyFill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164" fontId="8" fillId="4" borderId="0" xfId="0" applyNumberFormat="1" applyFont="1" applyFill="1" applyBorder="1" applyAlignment="1" applyProtection="1">
      <alignment horizontal="center"/>
    </xf>
    <xf numFmtId="0" fontId="8" fillId="4" borderId="2" xfId="0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2" fontId="8" fillId="4" borderId="0" xfId="0" applyNumberFormat="1" applyFont="1" applyFill="1" applyAlignment="1">
      <alignment vertical="center"/>
    </xf>
    <xf numFmtId="164" fontId="8" fillId="4" borderId="0" xfId="0" applyNumberFormat="1" applyFont="1" applyFill="1" applyBorder="1" applyAlignment="1" applyProtection="1">
      <alignment horizontal="center" vertical="center"/>
    </xf>
    <xf numFmtId="165" fontId="8" fillId="4" borderId="0" xfId="0" applyNumberFormat="1" applyFont="1" applyFill="1" applyBorder="1" applyAlignment="1" applyProtection="1">
      <alignment horizontal="center" vertical="center"/>
    </xf>
    <xf numFmtId="165" fontId="8" fillId="4" borderId="6" xfId="0" applyNumberFormat="1" applyFont="1" applyFill="1" applyBorder="1" applyAlignment="1" applyProtection="1">
      <alignment horizontal="center" vertical="center"/>
    </xf>
    <xf numFmtId="0" fontId="8" fillId="4" borderId="12" xfId="0" applyFont="1" applyFill="1" applyBorder="1" applyAlignment="1" applyProtection="1">
      <alignment horizontal="center"/>
    </xf>
    <xf numFmtId="0" fontId="8" fillId="4" borderId="9" xfId="0" applyFont="1" applyFill="1" applyBorder="1" applyAlignment="1" applyProtection="1">
      <alignment horizontal="center"/>
    </xf>
    <xf numFmtId="0" fontId="15" fillId="4" borderId="0" xfId="0" applyFont="1" applyFill="1" applyAlignment="1" applyProtection="1">
      <alignment horizontal="left"/>
    </xf>
    <xf numFmtId="164" fontId="7" fillId="4" borderId="0" xfId="0" applyNumberFormat="1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8" fillId="4" borderId="3" xfId="0" applyFont="1" applyFill="1" applyBorder="1" applyAlignment="1">
      <alignment horizontal="right" vertical="center"/>
    </xf>
    <xf numFmtId="0" fontId="8" fillId="4" borderId="4" xfId="0" quotePrefix="1" applyFont="1" applyFill="1" applyBorder="1" applyAlignment="1" applyProtection="1">
      <alignment horizontal="left" vertical="center"/>
    </xf>
    <xf numFmtId="0" fontId="8" fillId="4" borderId="1" xfId="0" applyFont="1" applyFill="1" applyBorder="1" applyAlignment="1">
      <alignment vertical="center"/>
    </xf>
    <xf numFmtId="0" fontId="8" fillId="4" borderId="0" xfId="0" applyFont="1" applyFill="1" applyBorder="1" applyAlignment="1">
      <alignment horizontal="center"/>
    </xf>
    <xf numFmtId="0" fontId="8" fillId="4" borderId="3" xfId="0" applyFont="1" applyFill="1" applyBorder="1" applyAlignment="1">
      <alignment vertical="center"/>
    </xf>
    <xf numFmtId="0" fontId="15" fillId="4" borderId="0" xfId="0" applyFont="1" applyFill="1" applyBorder="1" applyAlignment="1" applyProtection="1">
      <alignment horizontal="left"/>
    </xf>
    <xf numFmtId="0" fontId="8" fillId="4" borderId="0" xfId="0" applyFont="1" applyFill="1" applyAlignment="1">
      <alignment horizontal="center" vertical="center"/>
    </xf>
    <xf numFmtId="0" fontId="15" fillId="4" borderId="0" xfId="0" applyFont="1" applyFill="1" applyAlignment="1" applyProtection="1">
      <alignment horizontal="left" vertical="center"/>
    </xf>
    <xf numFmtId="164" fontId="8" fillId="4" borderId="0" xfId="0" applyNumberFormat="1" applyFont="1" applyFill="1" applyBorder="1" applyAlignment="1" applyProtection="1">
      <alignment horizontal="center" wrapText="1"/>
    </xf>
    <xf numFmtId="0" fontId="8" fillId="4" borderId="6" xfId="0" applyFont="1" applyFill="1" applyBorder="1" applyAlignment="1" applyProtection="1">
      <alignment horizontal="left" vertical="center"/>
    </xf>
    <xf numFmtId="165" fontId="13" fillId="4" borderId="0" xfId="0" applyNumberFormat="1" applyFont="1" applyFill="1" applyBorder="1" applyAlignment="1" applyProtection="1">
      <alignment horizontal="center" vertical="center" wrapText="1"/>
    </xf>
    <xf numFmtId="0" fontId="8" fillId="4" borderId="14" xfId="0" applyFont="1" applyFill="1" applyBorder="1" applyAlignment="1">
      <alignment horizontal="right" vertical="center"/>
    </xf>
    <xf numFmtId="0" fontId="8" fillId="4" borderId="5" xfId="0" applyFont="1" applyFill="1" applyBorder="1" applyAlignment="1">
      <alignment vertical="center"/>
    </xf>
    <xf numFmtId="0" fontId="8" fillId="4" borderId="12" xfId="0" applyFont="1" applyFill="1" applyBorder="1" applyAlignment="1" applyProtection="1">
      <alignment horizontal="left" vertical="center"/>
    </xf>
    <xf numFmtId="0" fontId="12" fillId="3" borderId="6" xfId="0" applyFont="1" applyFill="1" applyBorder="1"/>
    <xf numFmtId="0" fontId="8" fillId="4" borderId="3" xfId="0" applyFont="1" applyFill="1" applyBorder="1"/>
    <xf numFmtId="2" fontId="8" fillId="4" borderId="2" xfId="0" applyNumberFormat="1" applyFont="1" applyFill="1" applyBorder="1"/>
    <xf numFmtId="0" fontId="8" fillId="4" borderId="4" xfId="0" applyFont="1" applyFill="1" applyBorder="1"/>
    <xf numFmtId="0" fontId="8" fillId="4" borderId="2" xfId="0" applyFont="1" applyFill="1" applyBorder="1"/>
    <xf numFmtId="0" fontId="8" fillId="4" borderId="13" xfId="0" quotePrefix="1" applyFont="1" applyFill="1" applyBorder="1" applyAlignment="1" applyProtection="1">
      <alignment horizontal="left" vertical="center"/>
    </xf>
    <xf numFmtId="2" fontId="8" fillId="4" borderId="0" xfId="0" applyNumberFormat="1" applyFont="1" applyFill="1"/>
    <xf numFmtId="0" fontId="15" fillId="4" borderId="0" xfId="0" applyFont="1" applyFill="1" applyAlignment="1" applyProtection="1">
      <alignment horizontal="left"/>
      <protection locked="0"/>
    </xf>
    <xf numFmtId="0" fontId="8" fillId="4" borderId="6" xfId="0" applyFont="1" applyFill="1" applyBorder="1"/>
    <xf numFmtId="2" fontId="7" fillId="4" borderId="0" xfId="0" applyNumberFormat="1" applyFont="1" applyFill="1"/>
    <xf numFmtId="0" fontId="4" fillId="4" borderId="2" xfId="0" applyFont="1" applyFill="1" applyBorder="1" applyAlignment="1">
      <alignment horizontal="left" vertical="center" indent="1"/>
    </xf>
    <xf numFmtId="164" fontId="4" fillId="4" borderId="4" xfId="0" applyNumberFormat="1" applyFont="1" applyFill="1" applyBorder="1" applyAlignment="1">
      <alignment horizontal="left" vertical="center" indent="1"/>
    </xf>
    <xf numFmtId="0" fontId="15" fillId="4" borderId="6" xfId="0" applyFont="1" applyFill="1" applyBorder="1" applyAlignment="1">
      <alignment vertical="center"/>
    </xf>
    <xf numFmtId="0" fontId="8" fillId="4" borderId="6" xfId="0" applyFont="1" applyFill="1" applyBorder="1" applyAlignment="1">
      <alignment vertical="center"/>
    </xf>
    <xf numFmtId="0" fontId="8" fillId="4" borderId="6" xfId="0" applyFont="1" applyFill="1" applyBorder="1" applyAlignment="1" applyProtection="1">
      <alignment horizontal="left"/>
    </xf>
    <xf numFmtId="0" fontId="8" fillId="4" borderId="2" xfId="0" applyFont="1" applyFill="1" applyBorder="1" applyAlignment="1" applyProtection="1">
      <alignment horizontal="left"/>
    </xf>
    <xf numFmtId="164" fontId="4" fillId="4" borderId="2" xfId="0" applyNumberFormat="1" applyFont="1" applyFill="1" applyBorder="1" applyAlignment="1">
      <alignment horizontal="left" vertical="center" indent="1"/>
    </xf>
    <xf numFmtId="0" fontId="15" fillId="4" borderId="6" xfId="0" applyFont="1" applyFill="1" applyBorder="1" applyAlignment="1" applyProtection="1">
      <alignment horizontal="left" vertical="center"/>
    </xf>
    <xf numFmtId="0" fontId="8" fillId="4" borderId="4" xfId="0" applyFont="1" applyFill="1" applyBorder="1" applyAlignment="1" applyProtection="1">
      <alignment horizontal="left"/>
    </xf>
    <xf numFmtId="0" fontId="4" fillId="4" borderId="0" xfId="0" applyFont="1" applyFill="1" applyAlignment="1">
      <alignment horizontal="left" vertical="center" indent="1"/>
    </xf>
    <xf numFmtId="0" fontId="8" fillId="4" borderId="10" xfId="0" applyFont="1" applyFill="1" applyBorder="1" applyAlignment="1">
      <alignment vertical="center"/>
    </xf>
    <xf numFmtId="0" fontId="8" fillId="4" borderId="5" xfId="0" applyFont="1" applyFill="1" applyBorder="1"/>
    <xf numFmtId="16" fontId="4" fillId="4" borderId="8" xfId="0" applyNumberFormat="1" applyFont="1" applyFill="1" applyBorder="1" applyAlignment="1">
      <alignment horizontal="left" vertical="center" indent="1"/>
    </xf>
    <xf numFmtId="0" fontId="4" fillId="4" borderId="4" xfId="0" applyFont="1" applyFill="1" applyBorder="1" applyAlignment="1">
      <alignment horizontal="left" vertical="center" indent="1"/>
    </xf>
    <xf numFmtId="0" fontId="15" fillId="4" borderId="0" xfId="0" applyFont="1" applyFill="1" applyBorder="1" applyAlignment="1">
      <alignment horizontal="center" vertical="center" wrapText="1"/>
    </xf>
    <xf numFmtId="0" fontId="16" fillId="4" borderId="0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left" vertical="center" indent="1"/>
    </xf>
    <xf numFmtId="0" fontId="4" fillId="4" borderId="13" xfId="0" applyFont="1" applyFill="1" applyBorder="1" applyAlignment="1">
      <alignment horizontal="left" vertical="center" indent="1"/>
    </xf>
    <xf numFmtId="0" fontId="15" fillId="4" borderId="6" xfId="0" quotePrefix="1" applyFont="1" applyFill="1" applyBorder="1" applyAlignment="1" applyProtection="1">
      <alignment horizontal="left" vertical="center"/>
    </xf>
    <xf numFmtId="0" fontId="7" fillId="5" borderId="10" xfId="0" applyFont="1" applyFill="1" applyBorder="1"/>
    <xf numFmtId="0" fontId="7" fillId="5" borderId="5" xfId="0" applyFont="1" applyFill="1" applyBorder="1"/>
    <xf numFmtId="0" fontId="17" fillId="5" borderId="7" xfId="0" applyFont="1" applyFill="1" applyBorder="1"/>
    <xf numFmtId="0" fontId="15" fillId="4" borderId="0" xfId="0" applyFont="1" applyFill="1" applyBorder="1" applyAlignment="1"/>
    <xf numFmtId="0" fontId="9" fillId="4" borderId="0" xfId="0" applyFont="1" applyFill="1" applyAlignment="1" applyProtection="1">
      <alignment horizontal="left"/>
      <protection locked="0"/>
    </xf>
    <xf numFmtId="0" fontId="8" fillId="5" borderId="11" xfId="0" applyFont="1" applyFill="1" applyBorder="1"/>
    <xf numFmtId="0" fontId="8" fillId="5" borderId="0" xfId="0" applyFont="1" applyFill="1" applyBorder="1"/>
    <xf numFmtId="0" fontId="17" fillId="5" borderId="8" xfId="0" applyFont="1" applyFill="1" applyBorder="1"/>
    <xf numFmtId="0" fontId="2" fillId="4" borderId="0" xfId="0" applyFont="1" applyFill="1" applyBorder="1"/>
    <xf numFmtId="0" fontId="2" fillId="5" borderId="14" xfId="0" applyFont="1" applyFill="1" applyBorder="1"/>
    <xf numFmtId="0" fontId="2" fillId="5" borderId="1" xfId="0" applyFont="1" applyFill="1" applyBorder="1"/>
    <xf numFmtId="0" fontId="3" fillId="5" borderId="13" xfId="0" applyFont="1" applyFill="1" applyBorder="1"/>
    <xf numFmtId="168" fontId="8" fillId="4" borderId="0" xfId="0" applyNumberFormat="1" applyFont="1" applyFill="1"/>
    <xf numFmtId="0" fontId="1" fillId="0" borderId="6" xfId="0" applyFont="1" applyFill="1" applyBorder="1" applyAlignment="1" applyProtection="1">
      <alignment horizontal="center" vertical="center"/>
    </xf>
    <xf numFmtId="0" fontId="1" fillId="2" borderId="6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164" fontId="8" fillId="4" borderId="4" xfId="0" applyNumberFormat="1" applyFont="1" applyFill="1" applyBorder="1" applyAlignment="1" applyProtection="1">
      <alignment horizontal="center" vertical="center"/>
    </xf>
    <xf numFmtId="164" fontId="8" fillId="4" borderId="3" xfId="0" applyNumberFormat="1" applyFont="1" applyFill="1" applyBorder="1" applyAlignment="1" applyProtection="1">
      <alignment horizontal="center" vertical="center"/>
    </xf>
    <xf numFmtId="2" fontId="8" fillId="4" borderId="4" xfId="0" applyNumberFormat="1" applyFont="1" applyFill="1" applyBorder="1" applyAlignment="1">
      <alignment horizontal="center" vertical="center"/>
    </xf>
    <xf numFmtId="2" fontId="8" fillId="4" borderId="3" xfId="0" applyNumberFormat="1" applyFont="1" applyFill="1" applyBorder="1" applyAlignment="1">
      <alignment horizontal="center" vertical="center"/>
    </xf>
    <xf numFmtId="165" fontId="8" fillId="4" borderId="4" xfId="0" applyNumberFormat="1" applyFont="1" applyFill="1" applyBorder="1" applyAlignment="1" applyProtection="1">
      <alignment horizontal="center" vertical="center"/>
    </xf>
    <xf numFmtId="165" fontId="8" fillId="4" borderId="2" xfId="0" applyNumberFormat="1" applyFont="1" applyFill="1" applyBorder="1" applyAlignment="1" applyProtection="1">
      <alignment horizontal="center" vertical="center"/>
    </xf>
    <xf numFmtId="165" fontId="8" fillId="4" borderId="3" xfId="0" applyNumberFormat="1" applyFont="1" applyFill="1" applyBorder="1" applyAlignment="1" applyProtection="1">
      <alignment horizontal="center" vertical="center"/>
    </xf>
    <xf numFmtId="164" fontId="8" fillId="4" borderId="4" xfId="0" applyNumberFormat="1" applyFont="1" applyFill="1" applyBorder="1" applyAlignment="1" applyProtection="1">
      <alignment horizontal="center" vertical="center"/>
      <protection locked="0"/>
    </xf>
    <xf numFmtId="164" fontId="8" fillId="4" borderId="3" xfId="0" applyNumberFormat="1" applyFont="1" applyFill="1" applyBorder="1" applyAlignment="1" applyProtection="1">
      <alignment horizontal="center" vertical="center"/>
      <protection locked="0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3" xfId="0" applyFont="1" applyFill="1" applyBorder="1" applyAlignment="1" applyProtection="1">
      <alignment horizontal="center" vertical="center"/>
    </xf>
    <xf numFmtId="0" fontId="8" fillId="4" borderId="0" xfId="0" applyFont="1" applyFill="1" applyAlignment="1">
      <alignment horizontal="center"/>
    </xf>
    <xf numFmtId="0" fontId="8" fillId="4" borderId="7" xfId="0" quotePrefix="1" applyFont="1" applyFill="1" applyBorder="1" applyAlignment="1" applyProtection="1">
      <alignment horizontal="center"/>
    </xf>
    <xf numFmtId="0" fontId="8" fillId="4" borderId="10" xfId="0" quotePrefix="1" applyFont="1" applyFill="1" applyBorder="1" applyAlignment="1" applyProtection="1">
      <alignment horizontal="center"/>
    </xf>
    <xf numFmtId="164" fontId="12" fillId="3" borderId="4" xfId="0" applyNumberFormat="1" applyFont="1" applyFill="1" applyBorder="1" applyAlignment="1" applyProtection="1">
      <alignment horizontal="center" vertical="center" wrapText="1"/>
    </xf>
    <xf numFmtId="164" fontId="12" fillId="3" borderId="3" xfId="0" applyNumberFormat="1" applyFont="1" applyFill="1" applyBorder="1" applyAlignment="1" applyProtection="1">
      <alignment horizontal="center" vertical="center" wrapText="1"/>
    </xf>
    <xf numFmtId="164" fontId="12" fillId="3" borderId="8" xfId="0" applyNumberFormat="1" applyFont="1" applyFill="1" applyBorder="1" applyAlignment="1" applyProtection="1">
      <alignment horizontal="center" vertical="center" wrapText="1"/>
    </xf>
    <xf numFmtId="164" fontId="12" fillId="3" borderId="0" xfId="0" applyNumberFormat="1" applyFont="1" applyFill="1" applyBorder="1" applyAlignment="1" applyProtection="1">
      <alignment horizontal="center" vertical="center" wrapText="1"/>
    </xf>
    <xf numFmtId="165" fontId="13" fillId="4" borderId="4" xfId="0" applyNumberFormat="1" applyFont="1" applyFill="1" applyBorder="1" applyAlignment="1" applyProtection="1">
      <alignment horizontal="center" vertical="center"/>
    </xf>
    <xf numFmtId="165" fontId="13" fillId="4" borderId="2" xfId="0" applyNumberFormat="1" applyFont="1" applyFill="1" applyBorder="1" applyAlignment="1" applyProtection="1">
      <alignment horizontal="center" vertical="center"/>
    </xf>
    <xf numFmtId="165" fontId="13" fillId="4" borderId="3" xfId="0" applyNumberFormat="1" applyFont="1" applyFill="1" applyBorder="1" applyAlignment="1" applyProtection="1">
      <alignment horizontal="center" vertical="center"/>
    </xf>
    <xf numFmtId="165" fontId="14" fillId="4" borderId="4" xfId="0" applyNumberFormat="1" applyFont="1" applyFill="1" applyBorder="1" applyAlignment="1" applyProtection="1">
      <alignment horizontal="center" vertical="center" wrapText="1"/>
    </xf>
    <xf numFmtId="165" fontId="14" fillId="4" borderId="2" xfId="0" applyNumberFormat="1" applyFont="1" applyFill="1" applyBorder="1" applyAlignment="1" applyProtection="1">
      <alignment horizontal="center" vertical="center" wrapText="1"/>
    </xf>
    <xf numFmtId="165" fontId="14" fillId="4" borderId="3" xfId="0" applyNumberFormat="1" applyFont="1" applyFill="1" applyBorder="1" applyAlignment="1" applyProtection="1">
      <alignment horizontal="center" vertical="center" wrapText="1"/>
    </xf>
    <xf numFmtId="0" fontId="8" fillId="4" borderId="7" xfId="0" applyFont="1" applyFill="1" applyBorder="1" applyAlignment="1" applyProtection="1">
      <alignment horizontal="center"/>
    </xf>
    <xf numFmtId="0" fontId="8" fillId="4" borderId="10" xfId="0" applyFont="1" applyFill="1" applyBorder="1" applyAlignment="1" applyProtection="1">
      <alignment horizontal="center"/>
    </xf>
    <xf numFmtId="0" fontId="8" fillId="4" borderId="13" xfId="0" applyFont="1" applyFill="1" applyBorder="1" applyAlignment="1" applyProtection="1">
      <alignment horizontal="center"/>
    </xf>
    <xf numFmtId="0" fontId="8" fillId="4" borderId="14" xfId="0" applyFont="1" applyFill="1" applyBorder="1" applyAlignment="1" applyProtection="1">
      <alignment horizontal="center"/>
    </xf>
    <xf numFmtId="0" fontId="7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 vertical="center"/>
    </xf>
    <xf numFmtId="14" fontId="12" fillId="3" borderId="4" xfId="0" quotePrefix="1" applyNumberFormat="1" applyFont="1" applyFill="1" applyBorder="1" applyAlignment="1">
      <alignment horizontal="left"/>
    </xf>
    <xf numFmtId="0" fontId="12" fillId="3" borderId="2" xfId="0" applyFont="1" applyFill="1" applyBorder="1" applyAlignment="1">
      <alignment horizontal="left"/>
    </xf>
    <xf numFmtId="0" fontId="12" fillId="3" borderId="3" xfId="0" applyFont="1" applyFill="1" applyBorder="1" applyAlignment="1">
      <alignment horizontal="left"/>
    </xf>
    <xf numFmtId="14" fontId="12" fillId="3" borderId="4" xfId="0" applyNumberFormat="1" applyFont="1" applyFill="1" applyBorder="1" applyAlignment="1">
      <alignment horizontal="left"/>
    </xf>
    <xf numFmtId="0" fontId="15" fillId="4" borderId="0" xfId="0" applyFont="1" applyFill="1" applyAlignment="1">
      <alignment horizontal="center" vertical="top"/>
    </xf>
    <xf numFmtId="167" fontId="4" fillId="4" borderId="4" xfId="0" applyNumberFormat="1" applyFont="1" applyFill="1" applyBorder="1" applyAlignment="1">
      <alignment horizontal="left" vertical="center" indent="1"/>
    </xf>
    <xf numFmtId="167" fontId="4" fillId="4" borderId="2" xfId="0" applyNumberFormat="1" applyFont="1" applyFill="1" applyBorder="1" applyAlignment="1">
      <alignment horizontal="left" vertical="center" indent="1"/>
    </xf>
  </cellXfs>
  <cellStyles count="1">
    <cellStyle name="Normal" xfId="0" builtinId="0"/>
  </cellStyles>
  <dxfs count="7"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L"/>
              <a:t>Relación  Nº Ciclos v/s Indice Durabilidad
</a:t>
            </a:r>
          </a:p>
        </c:rich>
      </c:tx>
      <c:layout>
        <c:manualLayout>
          <c:xMode val="edge"/>
          <c:yMode val="edge"/>
          <c:x val="0.30353452180223833"/>
          <c:y val="1.34952766531713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50333677105328"/>
          <c:y val="0.2807021794340484"/>
          <c:w val="0.8108116338962954"/>
          <c:h val="0.5452100268842913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'6'!$B$26:$B$28</c:f>
              <c:numCache>
                <c:formatCode>0.00_)</c:formatCode>
                <c:ptCount val="3"/>
                <c:pt idx="0">
                  <c:v>100</c:v>
                </c:pt>
                <c:pt idx="1">
                  <c:v>99.001191636875717</c:v>
                </c:pt>
                <c:pt idx="2">
                  <c:v>98.281876286426211</c:v>
                </c:pt>
              </c:numCache>
            </c:numRef>
          </c:xVal>
          <c:yVal>
            <c:numRef>
              <c:f>'6'!$A$26:$A$28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B2-46CC-89B4-AE25762F1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358880"/>
        <c:axId val="1710364320"/>
      </c:scatterChart>
      <c:valAx>
        <c:axId val="1710358880"/>
        <c:scaling>
          <c:orientation val="minMax"/>
          <c:max val="100"/>
          <c:min val="98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Indice Durabilidad</a:t>
                </a:r>
              </a:p>
            </c:rich>
          </c:tx>
          <c:layout>
            <c:manualLayout>
              <c:xMode val="edge"/>
              <c:yMode val="edge"/>
              <c:x val="0.41995885649428955"/>
              <c:y val="0.897437597628231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710364320"/>
        <c:crosses val="autoZero"/>
        <c:crossBetween val="midCat"/>
      </c:valAx>
      <c:valAx>
        <c:axId val="1710364320"/>
        <c:scaling>
          <c:orientation val="minMax"/>
          <c:max val="2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Nº Ciclos</a:t>
                </a:r>
              </a:p>
            </c:rich>
          </c:tx>
          <c:layout>
            <c:manualLayout>
              <c:xMode val="edge"/>
              <c:yMode val="edge"/>
              <c:x val="1.9404019404019403E-2"/>
              <c:y val="0.375169541054331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710358880"/>
        <c:crossesAt val="92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4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5</xdr:row>
      <xdr:rowOff>85725</xdr:rowOff>
    </xdr:from>
    <xdr:to>
      <xdr:col>8</xdr:col>
      <xdr:colOff>0</xdr:colOff>
      <xdr:row>9</xdr:row>
      <xdr:rowOff>0</xdr:rowOff>
    </xdr:to>
    <xdr:sp macro="[0]!Módulo1.CrearHojas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72075" y="895350"/>
          <a:ext cx="1600200" cy="561975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800" b="1" i="0"/>
            <a:t>CREAR HOJAS</a:t>
          </a:r>
        </a:p>
      </xdr:txBody>
    </xdr:sp>
    <xdr:clientData/>
  </xdr:twoCellAnchor>
  <xdr:twoCellAnchor>
    <xdr:from>
      <xdr:col>8</xdr:col>
      <xdr:colOff>447675</xdr:colOff>
      <xdr:row>5</xdr:row>
      <xdr:rowOff>90488</xdr:rowOff>
    </xdr:from>
    <xdr:to>
      <xdr:col>10</xdr:col>
      <xdr:colOff>542925</xdr:colOff>
      <xdr:row>9</xdr:row>
      <xdr:rowOff>0</xdr:rowOff>
    </xdr:to>
    <xdr:sp macro="[0]!Módulo1.CambiaNombres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7219950" y="900113"/>
          <a:ext cx="1771650" cy="557212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400" b="1" i="1"/>
            <a:t>CAMBIAR</a:t>
          </a:r>
          <a:r>
            <a:rPr lang="es-ES" sz="1400" b="1" i="1" baseline="0"/>
            <a:t> NOMBRE HOJAS</a:t>
          </a:r>
          <a:endParaRPr lang="es-ES" sz="14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3477875" y="276224"/>
    <xdr:ext cx="4581525" cy="2520000"/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13506450" y="3047999"/>
    <xdr:ext cx="4533900" cy="3060000"/>
    <xdr:sp macro="" textlink="">
      <xdr:nvSpPr>
        <xdr:cNvPr id="3" name="Rectangle 7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13506450" y="3047999"/>
          <a:ext cx="4533900" cy="306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absoluteAnchor>
  <xdr:oneCellAnchor>
    <xdr:from>
      <xdr:col>17</xdr:col>
      <xdr:colOff>428624</xdr:colOff>
      <xdr:row>32</xdr:row>
      <xdr:rowOff>28575</xdr:rowOff>
    </xdr:from>
    <xdr:ext cx="1933575" cy="228600"/>
    <xdr:sp macro="" textlink="">
      <xdr:nvSpPr>
        <xdr:cNvPr id="4" name="Text Box 10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12896849" y="4886325"/>
          <a:ext cx="19335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/>
              <a:cs typeface="Arial"/>
            </a:rPr>
            <a:t>ANTES DEL ENSAYO</a:t>
          </a:r>
        </a:p>
      </xdr:txBody>
    </xdr:sp>
    <xdr:clientData/>
  </xdr:oneCellAnchor>
  <xdr:twoCellAnchor>
    <xdr:from>
      <xdr:col>16</xdr:col>
      <xdr:colOff>504825</xdr:colOff>
      <xdr:row>2</xdr:row>
      <xdr:rowOff>66675</xdr:rowOff>
    </xdr:from>
    <xdr:to>
      <xdr:col>21</xdr:col>
      <xdr:colOff>619125</xdr:colOff>
      <xdr:row>3</xdr:row>
      <xdr:rowOff>66675</xdr:rowOff>
    </xdr:to>
    <xdr:sp macro="" textlink="$X$2">
      <xdr:nvSpPr>
        <xdr:cNvPr id="5" name="Cuadro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239625" y="390525"/>
          <a:ext cx="3781425" cy="161925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33253EA8-308F-4E1B-9BAC-DC268DF66B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PROYECTO  :  C2BH-L10-SCA-0+419-HR</a:t>
          </a:fld>
          <a:endParaRPr lang="es-CL" sz="1100"/>
        </a:p>
      </xdr:txBody>
    </xdr:sp>
    <xdr:clientData/>
  </xdr:twoCellAnchor>
  <xdr:twoCellAnchor>
    <xdr:from>
      <xdr:col>16</xdr:col>
      <xdr:colOff>600075</xdr:colOff>
      <xdr:row>3</xdr:row>
      <xdr:rowOff>28576</xdr:rowOff>
    </xdr:from>
    <xdr:to>
      <xdr:col>21</xdr:col>
      <xdr:colOff>533400</xdr:colOff>
      <xdr:row>4</xdr:row>
      <xdr:rowOff>28576</xdr:rowOff>
    </xdr:to>
    <xdr:sp macro="" textlink="$X$3">
      <xdr:nvSpPr>
        <xdr:cNvPr id="6" name="Cuadro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4020800" y="600076"/>
          <a:ext cx="3810000" cy="190500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3F33F38E-CAE6-4109-BAF0-5336731BF89F}" type="TxLink">
            <a:rPr lang="en-US" sz="8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MUESTRA : C2BH-L10-SCA-0+419-HR (02,00-02,20)</a:t>
          </a:fld>
          <a:endParaRPr lang="es-C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114301</xdr:colOff>
      <xdr:row>32</xdr:row>
      <xdr:rowOff>180974</xdr:rowOff>
    </xdr:from>
    <xdr:to>
      <xdr:col>21</xdr:col>
      <xdr:colOff>638176</xdr:colOff>
      <xdr:row>34</xdr:row>
      <xdr:rowOff>28575</xdr:rowOff>
    </xdr:to>
    <xdr:sp macro="" textlink="$X$2">
      <xdr:nvSpPr>
        <xdr:cNvPr id="7" name="Cuadro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3535026" y="5895974"/>
          <a:ext cx="4400550" cy="228601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157C153-7526-495B-B88B-009FAFF2202F}" type="TxLink">
            <a:rPr lang="en-US" sz="8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PROYECTO  :  C2BH-L10-SCA-0+419-HR</a:t>
          </a:fld>
          <a:endParaRPr lang="es-CL" sz="7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123825</xdr:colOff>
      <xdr:row>33</xdr:row>
      <xdr:rowOff>169767</xdr:rowOff>
    </xdr:from>
    <xdr:to>
      <xdr:col>21</xdr:col>
      <xdr:colOff>676276</xdr:colOff>
      <xdr:row>34</xdr:row>
      <xdr:rowOff>180975</xdr:rowOff>
    </xdr:to>
    <xdr:sp macro="" textlink="$AB$2">
      <xdr:nvSpPr>
        <xdr:cNvPr id="8" name="CuadroText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3544550" y="6075267"/>
          <a:ext cx="4429126" cy="201708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533CB0A-8F1C-4847-9F9D-49160E9F64A4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C2BH-L10-SCA-0+419-HR (02,00-02,20)</a:t>
          </a:fld>
          <a:endParaRPr lang="es-CL" sz="800"/>
        </a:p>
      </xdr:txBody>
    </xdr:sp>
    <xdr:clientData/>
  </xdr:twoCellAnchor>
  <xdr:absoluteAnchor>
    <xdr:pos x="13573125" y="6877050"/>
    <xdr:ext cx="4533900" cy="3060000"/>
    <xdr:sp macro="" textlink="">
      <xdr:nvSpPr>
        <xdr:cNvPr id="9" name="Rectangle 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rrowheads="1"/>
        </xdr:cNvSpPr>
      </xdr:nvSpPr>
      <xdr:spPr bwMode="auto">
        <a:xfrm>
          <a:off x="13573125" y="6877050"/>
          <a:ext cx="4533900" cy="306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absoluteAnchor>
  <xdr:oneCellAnchor>
    <xdr:from>
      <xdr:col>17</xdr:col>
      <xdr:colOff>466724</xdr:colOff>
      <xdr:row>50</xdr:row>
      <xdr:rowOff>180975</xdr:rowOff>
    </xdr:from>
    <xdr:ext cx="1933575" cy="228600"/>
    <xdr:sp macro="" textlink="">
      <xdr:nvSpPr>
        <xdr:cNvPr id="10" name="Text Box 10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12934949" y="7934325"/>
          <a:ext cx="19335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/>
              <a:cs typeface="Arial"/>
            </a:rPr>
            <a:t>PRIMER</a:t>
          </a:r>
          <a:r>
            <a:rPr lang="es-CL" sz="800" b="0" i="0" strike="noStrike" baseline="0">
              <a:solidFill>
                <a:srgbClr val="000000"/>
              </a:solidFill>
              <a:latin typeface="Arial"/>
              <a:cs typeface="Arial"/>
            </a:rPr>
            <a:t> CICLO</a:t>
          </a:r>
          <a:endParaRPr lang="es-CL" sz="8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16</xdr:col>
      <xdr:colOff>161925</xdr:colOff>
      <xdr:row>51</xdr:row>
      <xdr:rowOff>133349</xdr:rowOff>
    </xdr:from>
    <xdr:to>
      <xdr:col>23</xdr:col>
      <xdr:colOff>104775</xdr:colOff>
      <xdr:row>53</xdr:row>
      <xdr:rowOff>9525</xdr:rowOff>
    </xdr:to>
    <xdr:sp macro="" textlink="$X$2">
      <xdr:nvSpPr>
        <xdr:cNvPr id="11" name="Cuadro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3582650" y="10144124"/>
          <a:ext cx="6143625" cy="257176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9D1EEC3C-D6B8-45F1-8289-142311E90080}" type="TxLink">
            <a:rPr lang="en-US" sz="8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PROYECTO  :  C2BH-L10-SCA-0+419-HR</a:t>
          </a:fld>
          <a:endParaRPr lang="es-CL" sz="7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161924</xdr:colOff>
      <xdr:row>52</xdr:row>
      <xdr:rowOff>122142</xdr:rowOff>
    </xdr:from>
    <xdr:to>
      <xdr:col>23</xdr:col>
      <xdr:colOff>61166</xdr:colOff>
      <xdr:row>53</xdr:row>
      <xdr:rowOff>133349</xdr:rowOff>
    </xdr:to>
    <xdr:sp macro="" textlink="$AB$2">
      <xdr:nvSpPr>
        <xdr:cNvPr id="12" name="Cuadro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13582649" y="10323417"/>
          <a:ext cx="6100017" cy="201707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43B1C71-14D7-487B-9CF6-B4A3AFA96590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C2BH-L10-SCA-0+419-HR (02,00-02,20)</a:t>
          </a:fld>
          <a:endParaRPr lang="es-CL" sz="800"/>
        </a:p>
      </xdr:txBody>
    </xdr:sp>
    <xdr:clientData/>
  </xdr:twoCellAnchor>
  <xdr:absoluteAnchor>
    <xdr:pos x="13573125" y="10706100"/>
    <xdr:ext cx="4533900" cy="3190875"/>
    <xdr:sp macro="" textlink="">
      <xdr:nvSpPr>
        <xdr:cNvPr id="13" name="Rectangle 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/>
        </xdr:cNvSpPr>
      </xdr:nvSpPr>
      <xdr:spPr bwMode="auto">
        <a:xfrm>
          <a:off x="13573125" y="10706100"/>
          <a:ext cx="4533900" cy="3190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absoluteAnchor>
  <xdr:oneCellAnchor>
    <xdr:from>
      <xdr:col>17</xdr:col>
      <xdr:colOff>476249</xdr:colOff>
      <xdr:row>71</xdr:row>
      <xdr:rowOff>85725</xdr:rowOff>
    </xdr:from>
    <xdr:ext cx="1933575" cy="228600"/>
    <xdr:sp macro="" textlink="">
      <xdr:nvSpPr>
        <xdr:cNvPr id="14" name="Text Box 10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>
          <a:spLocks noChangeArrowheads="1"/>
        </xdr:cNvSpPr>
      </xdr:nvSpPr>
      <xdr:spPr bwMode="auto">
        <a:xfrm>
          <a:off x="12944474" y="11258550"/>
          <a:ext cx="193357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/>
              <a:cs typeface="Arial"/>
            </a:rPr>
            <a:t>SEGUNDO</a:t>
          </a:r>
          <a:r>
            <a:rPr lang="es-CL" sz="800" b="0" i="0" strike="noStrike" baseline="0">
              <a:solidFill>
                <a:srgbClr val="000000"/>
              </a:solidFill>
              <a:latin typeface="Arial"/>
              <a:cs typeface="Arial"/>
            </a:rPr>
            <a:t> CICLO</a:t>
          </a:r>
          <a:endParaRPr lang="es-CL" sz="8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  <xdr:twoCellAnchor>
    <xdr:from>
      <xdr:col>16</xdr:col>
      <xdr:colOff>180975</xdr:colOff>
      <xdr:row>72</xdr:row>
      <xdr:rowOff>38099</xdr:rowOff>
    </xdr:from>
    <xdr:to>
      <xdr:col>23</xdr:col>
      <xdr:colOff>123825</xdr:colOff>
      <xdr:row>73</xdr:row>
      <xdr:rowOff>57150</xdr:rowOff>
    </xdr:to>
    <xdr:sp macro="" textlink="$X$2">
      <xdr:nvSpPr>
        <xdr:cNvPr id="15" name="Cuadro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13601700" y="14049374"/>
          <a:ext cx="6143625" cy="209551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8B5A4FB-BF33-450B-9486-172B68822092}" type="TxLink">
            <a:rPr lang="en-US" sz="8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PROYECTO  :  C2BH-L10-SCA-0+419-HR</a:t>
          </a:fld>
          <a:endParaRPr lang="es-CL" sz="7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180974</xdr:colOff>
      <xdr:row>73</xdr:row>
      <xdr:rowOff>26892</xdr:rowOff>
    </xdr:from>
    <xdr:to>
      <xdr:col>23</xdr:col>
      <xdr:colOff>80216</xdr:colOff>
      <xdr:row>74</xdr:row>
      <xdr:rowOff>38099</xdr:rowOff>
    </xdr:to>
    <xdr:sp macro="" textlink="$AB$2">
      <xdr:nvSpPr>
        <xdr:cNvPr id="16" name="CuadroText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3601699" y="14228667"/>
          <a:ext cx="6100017" cy="201707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6E2AB24-B644-4989-AC31-D070B2967BB9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C2BH-L10-SCA-0+419-HR (02,00-02,20)</a:t>
          </a:fld>
          <a:endParaRPr lang="es-CL" sz="800"/>
        </a:p>
      </xdr:txBody>
    </xdr:sp>
    <xdr:clientData/>
  </xdr:twoCellAnchor>
  <xdr:twoCellAnchor editAs="oneCell">
    <xdr:from>
      <xdr:col>16</xdr:col>
      <xdr:colOff>57150</xdr:colOff>
      <xdr:row>16</xdr:row>
      <xdr:rowOff>0</xdr:rowOff>
    </xdr:from>
    <xdr:to>
      <xdr:col>21</xdr:col>
      <xdr:colOff>742951</xdr:colOff>
      <xdr:row>32</xdr:row>
      <xdr:rowOff>19050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487400" y="3048000"/>
          <a:ext cx="4562476" cy="3067050"/>
        </a:xfrm>
        <a:prstGeom prst="rect">
          <a:avLst/>
        </a:prstGeom>
      </xdr:spPr>
    </xdr:pic>
    <xdr:clientData/>
  </xdr:twoCellAnchor>
  <xdr:twoCellAnchor editAs="oneCell">
    <xdr:from>
      <xdr:col>16</xdr:col>
      <xdr:colOff>133350</xdr:colOff>
      <xdr:row>36</xdr:row>
      <xdr:rowOff>19050</xdr:rowOff>
    </xdr:from>
    <xdr:to>
      <xdr:col>22</xdr:col>
      <xdr:colOff>28575</xdr:colOff>
      <xdr:row>50</xdr:row>
      <xdr:rowOff>122057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563600" y="6877050"/>
          <a:ext cx="4552950" cy="3065282"/>
        </a:xfrm>
        <a:prstGeom prst="rect">
          <a:avLst/>
        </a:prstGeom>
      </xdr:spPr>
    </xdr:pic>
    <xdr:clientData/>
  </xdr:twoCellAnchor>
  <xdr:twoCellAnchor editAs="oneCell">
    <xdr:from>
      <xdr:col>16</xdr:col>
      <xdr:colOff>123825</xdr:colOff>
      <xdr:row>54</xdr:row>
      <xdr:rowOff>123825</xdr:rowOff>
    </xdr:from>
    <xdr:to>
      <xdr:col>22</xdr:col>
      <xdr:colOff>38100</xdr:colOff>
      <xdr:row>71</xdr:row>
      <xdr:rowOff>84859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554075" y="10706100"/>
          <a:ext cx="4572000" cy="31995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H11"/>
  <sheetViews>
    <sheetView showGridLines="0" workbookViewId="0">
      <selection activeCell="B7" sqref="B7:D7"/>
    </sheetView>
  </sheetViews>
  <sheetFormatPr baseColWidth="10" defaultRowHeight="12.75" x14ac:dyDescent="0.15"/>
  <cols>
    <col min="1" max="1" width="6.125" style="5" customWidth="1"/>
    <col min="2" max="2" width="12.875" style="5" bestFit="1" customWidth="1"/>
    <col min="3" max="3" width="12.375" style="5" customWidth="1"/>
    <col min="4" max="8" width="11.5" style="5" customWidth="1"/>
    <col min="9" max="16384" width="11" style="5"/>
  </cols>
  <sheetData>
    <row r="2" spans="2:8" ht="12.75" customHeight="1" x14ac:dyDescent="0.15">
      <c r="B2" s="1" t="s">
        <v>0</v>
      </c>
      <c r="C2" s="2" t="s">
        <v>88</v>
      </c>
      <c r="D2" s="3"/>
      <c r="E2" s="3"/>
      <c r="F2" s="3"/>
      <c r="G2" s="3"/>
      <c r="H2" s="4"/>
    </row>
    <row r="3" spans="2:8" x14ac:dyDescent="0.15">
      <c r="B3" s="6" t="s">
        <v>7</v>
      </c>
      <c r="C3" s="2" t="s">
        <v>90</v>
      </c>
      <c r="D3" s="3"/>
      <c r="E3" s="3"/>
      <c r="F3" s="3"/>
      <c r="G3" s="3"/>
      <c r="H3" s="4"/>
    </row>
    <row r="4" spans="2:8" x14ac:dyDescent="0.15">
      <c r="B4" s="7" t="s">
        <v>1</v>
      </c>
      <c r="C4" s="2" t="s">
        <v>87</v>
      </c>
      <c r="D4" s="3"/>
      <c r="E4" s="3"/>
      <c r="F4" s="3"/>
      <c r="G4" s="3"/>
      <c r="H4" s="4"/>
    </row>
    <row r="6" spans="2:8" x14ac:dyDescent="0.15">
      <c r="B6" s="100" t="s">
        <v>8</v>
      </c>
      <c r="C6" s="100"/>
      <c r="D6" s="100"/>
    </row>
    <row r="7" spans="2:8" x14ac:dyDescent="0.15">
      <c r="B7" s="101">
        <v>1</v>
      </c>
      <c r="C7" s="101"/>
      <c r="D7" s="101"/>
    </row>
    <row r="10" spans="2:8" x14ac:dyDescent="0.15">
      <c r="B10" s="8" t="s">
        <v>9</v>
      </c>
      <c r="C10" s="8" t="s">
        <v>10</v>
      </c>
    </row>
    <row r="11" spans="2:8" x14ac:dyDescent="0.15">
      <c r="B11" s="9">
        <v>1</v>
      </c>
      <c r="C11" s="10">
        <v>6</v>
      </c>
    </row>
  </sheetData>
  <sheetProtection formatCells="0" formatColumns="0" formatRows="0"/>
  <protectedRanges>
    <protectedRange sqref="C2:H4 B7 B10:D11 B37:H110 D12:D18 D19:H36 B12:C36 G10:H18" name="Rango1"/>
  </protectedRanges>
  <mergeCells count="2">
    <mergeCell ref="B6:D6"/>
    <mergeCell ref="B7:D7"/>
  </mergeCells>
  <dataValidations count="1">
    <dataValidation type="whole" allowBlank="1" showInputMessage="1" showErrorMessage="1" error="ELEGIR ENTRE 01 A 20 HOJAS" promptTitle="CANTIDAD DE ENSAYOS" prompt="INGRESAR LA CANTIDAD DE HOJAS DE CÁLCULO" sqref="B7:D7">
      <formula1>1</formula1>
      <formula2>30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D1" transitionEvaluation="1" codeName="Hoja1">
    <tabColor rgb="FF92D050"/>
  </sheetPr>
  <dimension ref="A1:AE83"/>
  <sheetViews>
    <sheetView showGridLines="0" tabSelected="1" topLeftCell="D1" zoomScaleNormal="100" workbookViewId="0">
      <selection activeCell="M14" sqref="M14"/>
    </sheetView>
  </sheetViews>
  <sheetFormatPr baseColWidth="10" defaultColWidth="9.625" defaultRowHeight="15" customHeight="1" x14ac:dyDescent="0.2"/>
  <cols>
    <col min="1" max="1" width="14" style="11" customWidth="1"/>
    <col min="2" max="7" width="9.625" style="11"/>
    <col min="8" max="8" width="22" style="12" customWidth="1"/>
    <col min="9" max="10" width="10.875" style="12" customWidth="1"/>
    <col min="11" max="12" width="9.75" style="12" customWidth="1"/>
    <col min="13" max="13" width="10.125" style="12" customWidth="1"/>
    <col min="14" max="14" width="9.625" style="11"/>
    <col min="15" max="15" width="5.875" style="11" customWidth="1"/>
    <col min="16" max="16" width="15.625" style="12" customWidth="1"/>
    <col min="17" max="17" width="12.375" style="12" customWidth="1"/>
    <col min="18" max="20" width="9.625" style="12"/>
    <col min="21" max="21" width="9.625" style="11"/>
    <col min="22" max="22" width="10.25" style="11" customWidth="1"/>
    <col min="23" max="23" width="15.625" style="11" customWidth="1"/>
    <col min="24" max="26" width="9.625" style="11"/>
    <col min="27" max="31" width="0" style="11" hidden="1" customWidth="1"/>
    <col min="32" max="33" width="9.625" style="11"/>
    <col min="34" max="38" width="0" style="11" hidden="1" customWidth="1"/>
    <col min="39" max="16384" width="9.625" style="11"/>
  </cols>
  <sheetData>
    <row r="1" spans="1:31" ht="15" customHeight="1" x14ac:dyDescent="0.2">
      <c r="A1" s="98" t="s">
        <v>81</v>
      </c>
      <c r="B1" s="97"/>
      <c r="C1" s="97"/>
      <c r="D1" s="97"/>
      <c r="E1" s="96"/>
      <c r="F1" s="95"/>
      <c r="G1" s="95"/>
      <c r="H1" s="91" t="s">
        <v>80</v>
      </c>
      <c r="N1" s="12"/>
      <c r="O1" s="12"/>
      <c r="P1" s="116"/>
      <c r="Q1" s="116"/>
      <c r="R1" s="116"/>
      <c r="S1" s="116"/>
      <c r="T1" s="116"/>
      <c r="U1" s="116"/>
      <c r="V1" s="116"/>
      <c r="W1" s="116"/>
      <c r="AB1" s="90" t="e">
        <f>+CONCATENATE(#REF!,"  ",":","  ",#REF!)</f>
        <v>#REF!</v>
      </c>
    </row>
    <row r="2" spans="1:31" ht="15" customHeight="1" x14ac:dyDescent="0.2">
      <c r="A2" s="94" t="s">
        <v>79</v>
      </c>
      <c r="B2" s="93"/>
      <c r="C2" s="93"/>
      <c r="D2" s="93"/>
      <c r="E2" s="92"/>
      <c r="F2" s="12"/>
      <c r="G2" s="12"/>
      <c r="H2" s="91"/>
      <c r="N2" s="12"/>
      <c r="O2" s="12"/>
      <c r="X2" s="83" t="str">
        <f>+CONCATENATE("PROYECTO","  ",":","  ",I3)</f>
        <v>PROYECTO  :  C2BH-L10-SCA-0+419-HR</v>
      </c>
      <c r="Y2" s="82"/>
      <c r="Z2" s="82"/>
      <c r="AA2" s="82"/>
      <c r="AB2" s="90" t="str">
        <f>+CONCATENATE(A9,"  ",":","  ",B9)</f>
        <v>MUESTRA  :  C2BH-L10-SCA-0+419-HR (02,00-02,20)</v>
      </c>
      <c r="AC2" s="82"/>
      <c r="AD2" s="82"/>
      <c r="AE2" s="82"/>
    </row>
    <row r="3" spans="1:31" ht="15" customHeight="1" x14ac:dyDescent="0.2">
      <c r="A3" s="89" t="s">
        <v>78</v>
      </c>
      <c r="B3" s="88"/>
      <c r="C3" s="88"/>
      <c r="D3" s="88"/>
      <c r="E3" s="87"/>
      <c r="F3" s="12"/>
      <c r="G3" s="12"/>
      <c r="H3" s="86" t="s">
        <v>0</v>
      </c>
      <c r="I3" s="85" t="str">
        <f>+'Ingreso Datos'!C2</f>
        <v>C2BH-L10-SCA-0+419-HR</v>
      </c>
      <c r="J3" s="84"/>
      <c r="K3" s="46"/>
      <c r="L3" s="33"/>
      <c r="M3" s="62"/>
      <c r="N3" s="48"/>
      <c r="O3" s="12"/>
      <c r="X3" s="83" t="str">
        <f>+CONCATENATE("MUESTRA"," ",":"," ",B9)</f>
        <v>MUESTRA : C2BH-L10-SCA-0+419-HR (02,00-02,20)</v>
      </c>
      <c r="Y3" s="82"/>
      <c r="Z3" s="82"/>
      <c r="AA3" s="82"/>
      <c r="AB3" s="82"/>
      <c r="AC3" s="82"/>
      <c r="AD3" s="82"/>
      <c r="AE3" s="82"/>
    </row>
    <row r="4" spans="1:31" ht="15" customHeight="1" x14ac:dyDescent="0.2">
      <c r="F4" s="12"/>
      <c r="G4" s="12"/>
      <c r="H4" s="75" t="s">
        <v>77</v>
      </c>
      <c r="I4" s="81" t="str">
        <f>+'Ingreso Datos'!C3</f>
        <v>1.914.546-E</v>
      </c>
      <c r="J4" s="68"/>
      <c r="K4" s="33"/>
      <c r="L4" s="33"/>
      <c r="M4" s="62"/>
      <c r="N4" s="48"/>
      <c r="O4" s="12"/>
    </row>
    <row r="5" spans="1:31" ht="15" customHeight="1" x14ac:dyDescent="0.2">
      <c r="F5" s="12"/>
      <c r="G5" s="12"/>
      <c r="H5" s="75" t="s">
        <v>1</v>
      </c>
      <c r="I5" s="80" t="str">
        <f>+'Ingreso Datos'!C4</f>
        <v>-</v>
      </c>
      <c r="J5" s="68"/>
      <c r="K5" s="33"/>
      <c r="L5" s="56"/>
      <c r="M5" s="79"/>
      <c r="N5" s="78"/>
      <c r="O5" s="12"/>
    </row>
    <row r="6" spans="1:31" ht="15" customHeight="1" x14ac:dyDescent="0.2">
      <c r="A6" s="61" t="s">
        <v>76</v>
      </c>
      <c r="B6" s="59"/>
      <c r="C6" s="135">
        <v>45412</v>
      </c>
      <c r="D6" s="136"/>
      <c r="E6" s="137"/>
      <c r="G6" s="12"/>
      <c r="H6" s="70" t="s">
        <v>75</v>
      </c>
      <c r="I6" s="140">
        <f>C6</f>
        <v>45412</v>
      </c>
      <c r="J6" s="141"/>
      <c r="K6" s="56"/>
      <c r="L6" s="56"/>
      <c r="M6" s="62"/>
      <c r="N6" s="78"/>
      <c r="O6" s="12"/>
    </row>
    <row r="7" spans="1:31" ht="15" customHeight="1" x14ac:dyDescent="0.2">
      <c r="A7" s="61" t="s">
        <v>74</v>
      </c>
      <c r="B7" s="59"/>
      <c r="C7" s="138">
        <v>45415</v>
      </c>
      <c r="D7" s="136"/>
      <c r="E7" s="137"/>
      <c r="G7" s="12"/>
      <c r="H7" s="70" t="s">
        <v>73</v>
      </c>
      <c r="I7" s="140">
        <f>C7</f>
        <v>45415</v>
      </c>
      <c r="J7" s="141"/>
      <c r="K7" s="56"/>
      <c r="L7" s="56"/>
      <c r="M7" s="62"/>
      <c r="N7" s="78"/>
      <c r="O7" s="12"/>
    </row>
    <row r="8" spans="1:31" ht="15" customHeight="1" x14ac:dyDescent="0.2">
      <c r="A8" s="12"/>
      <c r="B8" s="12"/>
      <c r="C8" s="12"/>
      <c r="D8" s="12"/>
      <c r="E8" s="12"/>
      <c r="H8" s="16"/>
      <c r="I8" s="77"/>
      <c r="J8" s="77"/>
      <c r="N8" s="12"/>
    </row>
    <row r="9" spans="1:31" ht="15" customHeight="1" x14ac:dyDescent="0.2">
      <c r="A9" s="76" t="s">
        <v>11</v>
      </c>
      <c r="B9" s="121" t="s">
        <v>83</v>
      </c>
      <c r="C9" s="122"/>
      <c r="D9" s="122"/>
      <c r="E9" s="12"/>
      <c r="H9" s="75" t="s">
        <v>11</v>
      </c>
      <c r="I9" s="74" t="str">
        <f>B9</f>
        <v>C2BH-L10-SCA-0+419-HR (02,00-02,20)</v>
      </c>
      <c r="J9" s="68"/>
      <c r="K9" s="62"/>
      <c r="L9" s="73"/>
      <c r="M9" s="62"/>
      <c r="N9" s="59"/>
    </row>
    <row r="10" spans="1:31" ht="15" customHeight="1" x14ac:dyDescent="0.2">
      <c r="A10" s="72" t="s">
        <v>3</v>
      </c>
      <c r="B10" s="119" t="s">
        <v>89</v>
      </c>
      <c r="C10" s="120" t="s">
        <v>84</v>
      </c>
      <c r="D10" s="12"/>
      <c r="E10" s="12"/>
      <c r="H10" s="70" t="s">
        <v>72</v>
      </c>
      <c r="I10" s="69" t="str">
        <f>B10</f>
        <v>Toba de lapilli lítica</v>
      </c>
      <c r="J10" s="68"/>
      <c r="K10" s="62"/>
      <c r="L10" s="62"/>
      <c r="M10" s="62"/>
      <c r="N10" s="59"/>
    </row>
    <row r="11" spans="1:31" ht="15" customHeight="1" x14ac:dyDescent="0.2">
      <c r="A11" s="71" t="s">
        <v>4</v>
      </c>
      <c r="B11" s="119" t="s">
        <v>85</v>
      </c>
      <c r="C11" s="120" t="s">
        <v>85</v>
      </c>
      <c r="D11" s="12"/>
      <c r="E11" s="12"/>
      <c r="H11" s="70" t="s">
        <v>71</v>
      </c>
      <c r="I11" s="69" t="str">
        <f>B11</f>
        <v>No presenta</v>
      </c>
      <c r="J11" s="68"/>
      <c r="K11" s="62"/>
      <c r="L11" s="62"/>
      <c r="M11" s="62"/>
      <c r="N11" s="59"/>
    </row>
    <row r="12" spans="1:31" ht="15" customHeight="1" x14ac:dyDescent="0.2">
      <c r="A12" s="71" t="s">
        <v>5</v>
      </c>
      <c r="B12" s="119" t="s">
        <v>86</v>
      </c>
      <c r="C12" s="120" t="s">
        <v>86</v>
      </c>
      <c r="D12" s="12"/>
      <c r="E12" s="12"/>
      <c r="H12" s="70" t="s">
        <v>70</v>
      </c>
      <c r="I12" s="69" t="str">
        <f>B12</f>
        <v>Oxidación y zeolitización</v>
      </c>
      <c r="J12" s="68"/>
      <c r="K12" s="62"/>
      <c r="L12" s="62"/>
      <c r="M12" s="62"/>
      <c r="N12" s="59"/>
    </row>
    <row r="13" spans="1:31" ht="15" customHeight="1" x14ac:dyDescent="0.2">
      <c r="A13" s="66" t="s">
        <v>69</v>
      </c>
      <c r="B13" s="119">
        <v>0.72</v>
      </c>
      <c r="C13" s="120"/>
      <c r="D13" s="12" t="s">
        <v>6</v>
      </c>
      <c r="E13" s="12"/>
      <c r="N13" s="67"/>
      <c r="O13" s="67"/>
    </row>
    <row r="14" spans="1:31" ht="15" customHeight="1" x14ac:dyDescent="0.2">
      <c r="A14" s="66" t="s">
        <v>68</v>
      </c>
      <c r="B14" s="119">
        <v>110</v>
      </c>
      <c r="C14" s="120"/>
      <c r="D14" s="12" t="s">
        <v>67</v>
      </c>
      <c r="E14" s="12"/>
      <c r="L14" s="64"/>
    </row>
    <row r="15" spans="1:31" ht="15" customHeight="1" x14ac:dyDescent="0.2">
      <c r="A15" s="61" t="s">
        <v>66</v>
      </c>
      <c r="B15" s="62"/>
      <c r="C15" s="59"/>
      <c r="D15" s="58">
        <v>1639.18</v>
      </c>
      <c r="E15" s="12"/>
      <c r="H15" s="65" t="s">
        <v>65</v>
      </c>
      <c r="L15" s="64"/>
    </row>
    <row r="16" spans="1:31" ht="15" customHeight="1" x14ac:dyDescent="0.2">
      <c r="A16" s="61" t="s">
        <v>64</v>
      </c>
      <c r="B16" s="62"/>
      <c r="C16" s="59"/>
      <c r="D16" s="58">
        <v>2100.73</v>
      </c>
      <c r="E16" s="12"/>
      <c r="H16" s="63" t="s">
        <v>63</v>
      </c>
      <c r="I16" s="46"/>
      <c r="J16" s="55" t="s">
        <v>82</v>
      </c>
      <c r="K16" s="112">
        <f>D15</f>
        <v>1639.18</v>
      </c>
      <c r="L16" s="113"/>
      <c r="Q16" s="139" t="s">
        <v>62</v>
      </c>
      <c r="R16" s="139"/>
      <c r="S16" s="139"/>
      <c r="T16" s="139"/>
      <c r="U16" s="139"/>
      <c r="V16" s="139"/>
    </row>
    <row r="17" spans="1:21" ht="15" customHeight="1" x14ac:dyDescent="0.2">
      <c r="A17" s="61" t="s">
        <v>61</v>
      </c>
      <c r="B17" s="62"/>
      <c r="C17" s="59"/>
      <c r="D17" s="58">
        <v>2096.12</v>
      </c>
      <c r="E17" s="12"/>
      <c r="H17" s="45" t="s">
        <v>60</v>
      </c>
      <c r="I17" s="33"/>
      <c r="J17" s="55" t="s">
        <v>82</v>
      </c>
      <c r="K17" s="112">
        <f>D16</f>
        <v>2100.73</v>
      </c>
      <c r="L17" s="113"/>
      <c r="M17" s="64"/>
    </row>
    <row r="18" spans="1:21" ht="15" customHeight="1" x14ac:dyDescent="0.2">
      <c r="A18" s="61" t="s">
        <v>59</v>
      </c>
      <c r="B18" s="60"/>
      <c r="C18" s="59"/>
      <c r="D18" s="58">
        <v>2092.8000000000002</v>
      </c>
      <c r="E18" s="12"/>
      <c r="H18" s="57" t="s">
        <v>58</v>
      </c>
      <c r="I18" s="56"/>
      <c r="J18" s="55" t="s">
        <v>82</v>
      </c>
      <c r="K18" s="112">
        <f>D17</f>
        <v>2096.12</v>
      </c>
      <c r="L18" s="113"/>
      <c r="O18" s="54"/>
    </row>
    <row r="19" spans="1:21" ht="15" customHeight="1" x14ac:dyDescent="0.2">
      <c r="A19" s="12"/>
      <c r="B19" s="12"/>
      <c r="C19" s="12"/>
      <c r="D19" s="12"/>
      <c r="E19" s="12"/>
      <c r="H19" s="53" t="s">
        <v>57</v>
      </c>
      <c r="I19" s="33"/>
      <c r="J19" s="44" t="s">
        <v>82</v>
      </c>
      <c r="K19" s="112">
        <f>D18</f>
        <v>2092.8000000000002</v>
      </c>
      <c r="L19" s="113"/>
      <c r="M19" s="99"/>
      <c r="O19" s="52"/>
    </row>
    <row r="20" spans="1:21" ht="15" customHeight="1" x14ac:dyDescent="0.2">
      <c r="A20" s="12"/>
      <c r="B20" s="12"/>
      <c r="C20" s="12"/>
      <c r="D20" s="12"/>
      <c r="E20" s="12"/>
      <c r="H20" s="16"/>
      <c r="I20" s="16"/>
      <c r="J20" s="16"/>
      <c r="K20" s="16"/>
      <c r="L20" s="16"/>
      <c r="O20" s="47"/>
    </row>
    <row r="21" spans="1:21" ht="15" customHeight="1" x14ac:dyDescent="0.2">
      <c r="A21" s="134" t="s">
        <v>56</v>
      </c>
      <c r="B21" s="12" t="s">
        <v>55</v>
      </c>
      <c r="C21" s="49" t="str">
        <f>IF(K32&lt;60,"Extrem. Baja",IF(K32&lt;85,"Baja",IF(K32&lt;95,"media",IF(K32&lt;98,"Media alta",IF(K32&lt;99,"Alta",IF(K32&gt;99,"Extremadamente Alta"))))))</f>
        <v>Extremadamente Alta</v>
      </c>
      <c r="D21" s="12"/>
      <c r="E21" s="12"/>
      <c r="H21" s="51" t="s">
        <v>54</v>
      </c>
      <c r="I21" s="16"/>
      <c r="J21" s="16"/>
      <c r="K21" s="50"/>
      <c r="L21" s="16"/>
      <c r="O21" s="47"/>
      <c r="R21" s="16"/>
      <c r="S21" s="16"/>
      <c r="T21" s="16"/>
      <c r="U21" s="16"/>
    </row>
    <row r="22" spans="1:21" ht="15" customHeight="1" x14ac:dyDescent="0.2">
      <c r="A22" s="134"/>
      <c r="B22" s="12" t="s">
        <v>53</v>
      </c>
      <c r="C22" s="49" t="str">
        <f>IF(K33&lt;30,"Extremadamente Baja",IF(K33&lt;60,"Baja",IF(K33&lt;85,"Media",IF(K33&lt;95,"Media Alta",IF(K33&lt;98,"Alta",IF(K33&gt;98,"Extremadamente Alta"))))))</f>
        <v>Extremadamente Alta</v>
      </c>
      <c r="D22" s="12"/>
      <c r="E22" s="12"/>
      <c r="H22" s="45" t="s">
        <v>52</v>
      </c>
      <c r="I22" s="33"/>
      <c r="J22" s="48"/>
      <c r="K22" s="114" t="s">
        <v>51</v>
      </c>
      <c r="L22" s="115"/>
      <c r="O22" s="47"/>
      <c r="R22" s="16"/>
      <c r="S22" s="16"/>
      <c r="T22" s="16"/>
      <c r="U22" s="16"/>
    </row>
    <row r="23" spans="1:21" ht="15" customHeight="1" x14ac:dyDescent="0.2">
      <c r="H23" s="45" t="s">
        <v>50</v>
      </c>
      <c r="I23" s="33"/>
      <c r="J23" s="44" t="s">
        <v>41</v>
      </c>
      <c r="K23" s="114">
        <v>20</v>
      </c>
      <c r="L23" s="115"/>
      <c r="O23" s="47"/>
      <c r="P23" s="23"/>
      <c r="R23" s="16"/>
      <c r="S23" s="16"/>
      <c r="T23" s="16"/>
      <c r="U23" s="16"/>
    </row>
    <row r="24" spans="1:21" ht="15" customHeight="1" x14ac:dyDescent="0.2">
      <c r="A24" s="133" t="s">
        <v>49</v>
      </c>
      <c r="B24" s="133"/>
      <c r="H24" s="45" t="s">
        <v>48</v>
      </c>
      <c r="I24" s="33"/>
      <c r="J24" s="44" t="s">
        <v>47</v>
      </c>
      <c r="K24" s="114">
        <v>10</v>
      </c>
      <c r="L24" s="115"/>
      <c r="R24" s="16"/>
      <c r="S24" s="16"/>
      <c r="T24" s="16"/>
      <c r="U24" s="16"/>
    </row>
    <row r="25" spans="1:21" ht="15" customHeight="1" x14ac:dyDescent="0.2">
      <c r="A25" s="43" t="s">
        <v>46</v>
      </c>
      <c r="B25" s="43" t="s">
        <v>45</v>
      </c>
      <c r="H25" s="45" t="s">
        <v>44</v>
      </c>
      <c r="I25" s="46"/>
      <c r="J25" s="44" t="s">
        <v>43</v>
      </c>
      <c r="K25" s="114">
        <v>20</v>
      </c>
      <c r="L25" s="115"/>
      <c r="R25" s="16"/>
      <c r="S25" s="16"/>
      <c r="T25" s="16"/>
      <c r="U25" s="16"/>
    </row>
    <row r="26" spans="1:21" ht="15" customHeight="1" x14ac:dyDescent="0.2">
      <c r="A26" s="43">
        <v>0</v>
      </c>
      <c r="B26" s="42">
        <f>K31</f>
        <v>100</v>
      </c>
      <c r="H26" s="45" t="s">
        <v>42</v>
      </c>
      <c r="I26" s="33"/>
      <c r="J26" s="44" t="s">
        <v>41</v>
      </c>
      <c r="K26" s="114">
        <f>B14</f>
        <v>110</v>
      </c>
      <c r="L26" s="115"/>
      <c r="R26" s="16"/>
      <c r="S26" s="16"/>
      <c r="T26" s="16"/>
      <c r="U26" s="16"/>
    </row>
    <row r="27" spans="1:21" ht="15" customHeight="1" x14ac:dyDescent="0.2">
      <c r="A27" s="43">
        <v>1</v>
      </c>
      <c r="B27" s="42">
        <f>K32</f>
        <v>99.001191636875717</v>
      </c>
      <c r="R27" s="16"/>
      <c r="S27" s="16"/>
      <c r="T27" s="16"/>
      <c r="U27" s="16"/>
    </row>
    <row r="28" spans="1:21" ht="15" customHeight="1" x14ac:dyDescent="0.2">
      <c r="A28" s="43">
        <v>2</v>
      </c>
      <c r="B28" s="42">
        <f>K33</f>
        <v>98.281876286426211</v>
      </c>
      <c r="H28" s="41" t="s">
        <v>40</v>
      </c>
      <c r="R28" s="16"/>
      <c r="S28" s="16"/>
      <c r="T28" s="16"/>
      <c r="U28" s="16"/>
    </row>
    <row r="29" spans="1:21" ht="15" customHeight="1" x14ac:dyDescent="0.2">
      <c r="H29" s="40" t="s">
        <v>39</v>
      </c>
      <c r="I29" s="131" t="s">
        <v>38</v>
      </c>
      <c r="J29" s="132"/>
      <c r="K29" s="131" t="s">
        <v>37</v>
      </c>
      <c r="L29" s="132"/>
      <c r="R29" s="16"/>
      <c r="S29" s="16"/>
      <c r="T29" s="16"/>
      <c r="U29" s="16"/>
    </row>
    <row r="30" spans="1:21" ht="15" customHeight="1" x14ac:dyDescent="0.2">
      <c r="H30" s="39" t="s">
        <v>36</v>
      </c>
      <c r="I30" s="129" t="s">
        <v>6</v>
      </c>
      <c r="J30" s="130"/>
      <c r="K30" s="117" t="s">
        <v>6</v>
      </c>
      <c r="L30" s="118"/>
      <c r="R30" s="16"/>
      <c r="S30" s="16"/>
      <c r="T30" s="16"/>
      <c r="U30" s="16"/>
    </row>
    <row r="31" spans="1:21" ht="15" customHeight="1" x14ac:dyDescent="0.2">
      <c r="H31" s="38">
        <v>0</v>
      </c>
      <c r="I31" s="105">
        <f>100-K31</f>
        <v>0</v>
      </c>
      <c r="J31" s="106"/>
      <c r="K31" s="105">
        <f>((K17-K$16)/(K$17-K$16))*100</f>
        <v>100</v>
      </c>
      <c r="L31" s="106"/>
      <c r="R31" s="16"/>
      <c r="S31" s="16"/>
      <c r="T31" s="16"/>
      <c r="U31" s="16"/>
    </row>
    <row r="32" spans="1:21" ht="15" customHeight="1" x14ac:dyDescent="0.2">
      <c r="H32" s="38">
        <v>1</v>
      </c>
      <c r="I32" s="105">
        <f>100-K32</f>
        <v>0.99880836312428301</v>
      </c>
      <c r="J32" s="106"/>
      <c r="K32" s="105">
        <f>((K18-K$16)/(K$17-K$16))*100</f>
        <v>99.001191636875717</v>
      </c>
      <c r="L32" s="106"/>
      <c r="R32" s="31"/>
      <c r="S32" s="31"/>
      <c r="T32" s="31"/>
      <c r="U32" s="30"/>
    </row>
    <row r="33" spans="8:28" ht="15" customHeight="1" x14ac:dyDescent="0.2">
      <c r="H33" s="38">
        <v>2</v>
      </c>
      <c r="I33" s="105">
        <f>K32-K33</f>
        <v>0.71931535044950579</v>
      </c>
      <c r="J33" s="106"/>
      <c r="K33" s="105">
        <f>((K19-K$16)/(K$17-K$16))*100</f>
        <v>98.281876286426211</v>
      </c>
      <c r="L33" s="106"/>
      <c r="R33" s="16"/>
      <c r="S33" s="16"/>
      <c r="T33" s="16"/>
      <c r="U33" s="16"/>
    </row>
    <row r="34" spans="8:28" ht="15" customHeight="1" x14ac:dyDescent="0.2">
      <c r="H34" s="37"/>
      <c r="I34" s="36"/>
      <c r="J34" s="36"/>
      <c r="K34" s="16"/>
      <c r="L34" s="35"/>
      <c r="R34" s="16"/>
      <c r="S34" s="16"/>
      <c r="T34" s="16"/>
      <c r="U34" s="16"/>
      <c r="X34" s="21"/>
      <c r="Y34" s="21"/>
    </row>
    <row r="35" spans="8:28" ht="15" customHeight="1" x14ac:dyDescent="0.2">
      <c r="H35" s="34" t="s">
        <v>35</v>
      </c>
      <c r="I35" s="33"/>
      <c r="J35" s="33"/>
      <c r="K35" s="102">
        <f>B13</f>
        <v>0.72</v>
      </c>
      <c r="L35" s="104"/>
      <c r="P35" s="23"/>
      <c r="R35" s="16"/>
      <c r="S35" s="16"/>
      <c r="T35" s="16"/>
      <c r="U35" s="16"/>
      <c r="Z35" s="22"/>
      <c r="AA35" s="21"/>
      <c r="AB35" s="21"/>
    </row>
    <row r="36" spans="8:28" ht="15" customHeight="1" x14ac:dyDescent="0.2">
      <c r="H36" s="34" t="s">
        <v>34</v>
      </c>
      <c r="I36" s="33"/>
      <c r="J36" s="33"/>
      <c r="K36" s="107">
        <f>K33</f>
        <v>98.281876286426211</v>
      </c>
      <c r="L36" s="108"/>
      <c r="P36" s="116"/>
      <c r="Q36" s="116"/>
      <c r="R36" s="116"/>
      <c r="S36" s="116"/>
      <c r="T36" s="116"/>
      <c r="U36" s="116"/>
      <c r="V36" s="116"/>
      <c r="W36" s="116"/>
      <c r="Z36" s="22"/>
      <c r="AA36" s="21"/>
      <c r="AB36" s="21"/>
    </row>
    <row r="37" spans="8:28" ht="15" customHeight="1" x14ac:dyDescent="0.2">
      <c r="H37" s="34" t="s">
        <v>33</v>
      </c>
      <c r="I37" s="33"/>
      <c r="J37" s="33"/>
      <c r="K37" s="102" t="str">
        <f>C22</f>
        <v>Extremadamente Alta</v>
      </c>
      <c r="L37" s="104"/>
      <c r="R37" s="16"/>
      <c r="S37" s="16"/>
      <c r="T37" s="16"/>
      <c r="U37" s="16"/>
      <c r="Z37" s="22"/>
      <c r="AA37" s="21"/>
      <c r="AB37" s="21"/>
    </row>
    <row r="38" spans="8:28" ht="15" customHeight="1" x14ac:dyDescent="0.2">
      <c r="L38" s="32"/>
      <c r="R38" s="16"/>
      <c r="S38" s="16"/>
      <c r="T38" s="16"/>
      <c r="U38" s="16"/>
      <c r="Z38" s="22"/>
      <c r="AA38" s="21"/>
      <c r="AB38" s="21"/>
    </row>
    <row r="39" spans="8:28" ht="15" customHeight="1" x14ac:dyDescent="0.2">
      <c r="H39" s="126" t="s">
        <v>32</v>
      </c>
      <c r="I39" s="127"/>
      <c r="J39" s="127"/>
      <c r="K39" s="127"/>
      <c r="L39" s="128"/>
      <c r="R39" s="16"/>
      <c r="S39" s="16"/>
      <c r="T39" s="16"/>
      <c r="U39" s="16"/>
      <c r="Z39" s="22"/>
      <c r="AA39" s="21"/>
      <c r="AB39" s="21"/>
    </row>
    <row r="40" spans="8:28" ht="38.25" customHeight="1" x14ac:dyDescent="0.2">
      <c r="H40" s="123" t="s">
        <v>31</v>
      </c>
      <c r="I40" s="124"/>
      <c r="J40" s="125"/>
      <c r="K40" s="29" t="s">
        <v>30</v>
      </c>
      <c r="L40" s="29" t="s">
        <v>29</v>
      </c>
      <c r="R40" s="16"/>
      <c r="S40" s="16"/>
      <c r="T40" s="16"/>
      <c r="U40" s="16"/>
      <c r="Z40" s="22"/>
      <c r="AA40" s="21"/>
      <c r="AB40" s="21"/>
    </row>
    <row r="41" spans="8:28" ht="15" customHeight="1" x14ac:dyDescent="0.2">
      <c r="H41" s="109" t="s">
        <v>28</v>
      </c>
      <c r="I41" s="110"/>
      <c r="J41" s="111"/>
      <c r="K41" s="26" t="s">
        <v>27</v>
      </c>
      <c r="L41" s="28" t="s">
        <v>26</v>
      </c>
      <c r="N41" s="27"/>
      <c r="O41" s="27"/>
      <c r="R41" s="16"/>
      <c r="S41" s="16"/>
      <c r="T41" s="16"/>
      <c r="U41" s="16"/>
      <c r="Z41" s="22"/>
      <c r="AA41" s="21"/>
      <c r="AB41" s="21"/>
    </row>
    <row r="42" spans="8:28" ht="15" customHeight="1" x14ac:dyDescent="0.2">
      <c r="H42" s="109" t="s">
        <v>25</v>
      </c>
      <c r="I42" s="110"/>
      <c r="J42" s="111"/>
      <c r="K42" s="26" t="s">
        <v>24</v>
      </c>
      <c r="L42" s="25" t="s">
        <v>22</v>
      </c>
      <c r="N42" s="24"/>
      <c r="O42" s="24"/>
      <c r="R42" s="31"/>
      <c r="S42" s="31"/>
      <c r="T42" s="31"/>
      <c r="U42" s="30"/>
      <c r="Z42" s="22"/>
      <c r="AA42" s="21"/>
      <c r="AB42" s="21"/>
    </row>
    <row r="43" spans="8:28" ht="15" customHeight="1" x14ac:dyDescent="0.2">
      <c r="H43" s="109" t="s">
        <v>23</v>
      </c>
      <c r="I43" s="110"/>
      <c r="J43" s="111"/>
      <c r="K43" s="19" t="s">
        <v>22</v>
      </c>
      <c r="L43" s="18" t="s">
        <v>20</v>
      </c>
      <c r="R43" s="16"/>
      <c r="S43" s="16"/>
      <c r="T43" s="16"/>
      <c r="U43" s="16"/>
      <c r="X43" s="15"/>
      <c r="Z43" s="22"/>
      <c r="AA43" s="21"/>
      <c r="AB43" s="21"/>
    </row>
    <row r="44" spans="8:28" ht="15" customHeight="1" x14ac:dyDescent="0.2">
      <c r="H44" s="102" t="s">
        <v>21</v>
      </c>
      <c r="I44" s="103"/>
      <c r="J44" s="104"/>
      <c r="K44" s="19" t="s">
        <v>20</v>
      </c>
      <c r="L44" s="18" t="s">
        <v>18</v>
      </c>
      <c r="P44" s="23"/>
      <c r="R44" s="16"/>
      <c r="S44" s="16"/>
      <c r="T44" s="16"/>
      <c r="U44" s="16"/>
      <c r="X44" s="15"/>
      <c r="Z44" s="22"/>
      <c r="AA44" s="21"/>
      <c r="AB44" s="21"/>
    </row>
    <row r="45" spans="8:28" ht="15" customHeight="1" x14ac:dyDescent="0.2">
      <c r="H45" s="102" t="s">
        <v>19</v>
      </c>
      <c r="I45" s="103"/>
      <c r="J45" s="104"/>
      <c r="K45" s="19" t="s">
        <v>18</v>
      </c>
      <c r="L45" s="18" t="s">
        <v>17</v>
      </c>
      <c r="N45" s="20"/>
      <c r="O45" s="20"/>
      <c r="R45" s="16"/>
      <c r="S45" s="16"/>
      <c r="T45" s="16"/>
      <c r="U45" s="16"/>
    </row>
    <row r="46" spans="8:28" ht="15" customHeight="1" x14ac:dyDescent="0.2">
      <c r="H46" s="102" t="s">
        <v>16</v>
      </c>
      <c r="I46" s="103"/>
      <c r="J46" s="104"/>
      <c r="K46" s="19" t="s">
        <v>15</v>
      </c>
      <c r="L46" s="18" t="s">
        <v>14</v>
      </c>
      <c r="R46" s="16"/>
      <c r="S46" s="16"/>
      <c r="T46" s="16"/>
      <c r="U46" s="16"/>
      <c r="Y46" s="15"/>
    </row>
    <row r="47" spans="8:28" ht="15" customHeight="1" x14ac:dyDescent="0.2">
      <c r="R47" s="16"/>
      <c r="S47" s="16"/>
      <c r="T47" s="16"/>
      <c r="U47" s="16"/>
      <c r="Y47" s="15"/>
    </row>
    <row r="48" spans="8:28" ht="15" customHeight="1" x14ac:dyDescent="0.2">
      <c r="H48" s="17" t="s">
        <v>2</v>
      </c>
      <c r="R48" s="16"/>
      <c r="S48" s="16"/>
      <c r="T48" s="16"/>
      <c r="U48" s="16"/>
    </row>
    <row r="49" spans="8:22" ht="15" customHeight="1" x14ac:dyDescent="0.2">
      <c r="H49" s="14" t="s">
        <v>13</v>
      </c>
      <c r="R49" s="16"/>
      <c r="S49" s="16"/>
      <c r="T49" s="16"/>
      <c r="U49" s="16"/>
    </row>
    <row r="50" spans="8:22" ht="15" customHeight="1" x14ac:dyDescent="0.2">
      <c r="H50" s="14" t="s">
        <v>12</v>
      </c>
      <c r="R50" s="16"/>
      <c r="S50" s="16"/>
      <c r="T50" s="16"/>
      <c r="U50" s="16"/>
    </row>
    <row r="51" spans="8:22" ht="15" customHeight="1" x14ac:dyDescent="0.2">
      <c r="R51" s="16"/>
      <c r="S51" s="16"/>
      <c r="T51" s="16"/>
      <c r="U51" s="16"/>
      <c r="V51" s="15"/>
    </row>
    <row r="52" spans="8:22" ht="15" customHeight="1" x14ac:dyDescent="0.2">
      <c r="H52" s="13"/>
      <c r="V52" s="15"/>
    </row>
    <row r="53" spans="8:22" ht="15" customHeight="1" x14ac:dyDescent="0.2">
      <c r="H53" s="14" t="str">
        <f>IF((K17-K16)&lt;450,"a. Muestra no cumple con peso minimo requerido para el ensayo.",IF((K17-K16)&gt;550,"a. Muestra excede el peso maximo requerido para el ensayo.",""))</f>
        <v/>
      </c>
    </row>
    <row r="54" spans="8:22" ht="15" customHeight="1" x14ac:dyDescent="0.2">
      <c r="N54" s="12"/>
    </row>
    <row r="55" spans="8:22" ht="15" customHeight="1" x14ac:dyDescent="0.2">
      <c r="N55" s="12"/>
    </row>
    <row r="56" spans="8:22" ht="15" customHeight="1" x14ac:dyDescent="0.2">
      <c r="N56" s="12"/>
    </row>
    <row r="57" spans="8:22" ht="15" customHeight="1" x14ac:dyDescent="0.2">
      <c r="N57" s="12"/>
    </row>
    <row r="58" spans="8:22" ht="15" customHeight="1" x14ac:dyDescent="0.2">
      <c r="N58" s="12"/>
    </row>
    <row r="83" spans="8:13" ht="15" customHeight="1" x14ac:dyDescent="0.2">
      <c r="H83" s="11"/>
      <c r="I83" s="11"/>
      <c r="J83" s="11"/>
      <c r="K83" s="11"/>
      <c r="L83" s="11"/>
      <c r="M83" s="11"/>
    </row>
  </sheetData>
  <sheetProtection formatCells="0" formatColumns="0" formatRows="0"/>
  <mergeCells count="45">
    <mergeCell ref="I6:J6"/>
    <mergeCell ref="I7:J7"/>
    <mergeCell ref="K16:L16"/>
    <mergeCell ref="K17:L17"/>
    <mergeCell ref="C6:E6"/>
    <mergeCell ref="C7:E7"/>
    <mergeCell ref="B10:C10"/>
    <mergeCell ref="B11:C11"/>
    <mergeCell ref="B12:C12"/>
    <mergeCell ref="B13:C13"/>
    <mergeCell ref="B14:C14"/>
    <mergeCell ref="B9:D9"/>
    <mergeCell ref="H44:J44"/>
    <mergeCell ref="H41:J41"/>
    <mergeCell ref="H40:J40"/>
    <mergeCell ref="H39:L39"/>
    <mergeCell ref="K26:L26"/>
    <mergeCell ref="I30:J30"/>
    <mergeCell ref="I29:J29"/>
    <mergeCell ref="K29:L29"/>
    <mergeCell ref="A24:B24"/>
    <mergeCell ref="K25:L25"/>
    <mergeCell ref="K18:L18"/>
    <mergeCell ref="A21:A22"/>
    <mergeCell ref="K22:L22"/>
    <mergeCell ref="K19:L19"/>
    <mergeCell ref="K24:L24"/>
    <mergeCell ref="K23:L23"/>
    <mergeCell ref="P1:W1"/>
    <mergeCell ref="P36:W36"/>
    <mergeCell ref="K30:L30"/>
    <mergeCell ref="Q16:V16"/>
    <mergeCell ref="H46:J46"/>
    <mergeCell ref="I31:J31"/>
    <mergeCell ref="K31:L31"/>
    <mergeCell ref="H45:J45"/>
    <mergeCell ref="K35:L35"/>
    <mergeCell ref="K36:L36"/>
    <mergeCell ref="H42:J42"/>
    <mergeCell ref="H43:J43"/>
    <mergeCell ref="K33:L33"/>
    <mergeCell ref="I33:J33"/>
    <mergeCell ref="I32:J32"/>
    <mergeCell ref="K37:L37"/>
    <mergeCell ref="K32:L32"/>
  </mergeCells>
  <conditionalFormatting sqref="C6:E6">
    <cfRule type="cellIs" dxfId="6" priority="7" stopIfTrue="1" operator="greaterThan">
      <formula>0</formula>
    </cfRule>
  </conditionalFormatting>
  <conditionalFormatting sqref="C7:E7">
    <cfRule type="cellIs" dxfId="5" priority="6" stopIfTrue="1" operator="greaterThan">
      <formula>0</formula>
    </cfRule>
  </conditionalFormatting>
  <conditionalFormatting sqref="B9">
    <cfRule type="cellIs" dxfId="4" priority="5" stopIfTrue="1" operator="greaterThan">
      <formula>0</formula>
    </cfRule>
  </conditionalFormatting>
  <conditionalFormatting sqref="B10:C13">
    <cfRule type="cellIs" dxfId="3" priority="4" stopIfTrue="1" operator="greaterThan">
      <formula>0</formula>
    </cfRule>
  </conditionalFormatting>
  <conditionalFormatting sqref="B14:C14">
    <cfRule type="cellIs" dxfId="2" priority="3" stopIfTrue="1" operator="greaterThan">
      <formula>0</formula>
    </cfRule>
  </conditionalFormatting>
  <conditionalFormatting sqref="D15">
    <cfRule type="cellIs" dxfId="1" priority="2" stopIfTrue="1" operator="greaterThan">
      <formula>0</formula>
    </cfRule>
  </conditionalFormatting>
  <conditionalFormatting sqref="D16:D18">
    <cfRule type="cellIs" dxfId="0" priority="1" stopIfTrue="1" operator="greaterThan">
      <formula>0</formula>
    </cfRule>
  </conditionalFormatting>
  <printOptions horizontalCentered="1" verticalCentered="1"/>
  <pageMargins left="0.75" right="0.75" top="1" bottom="1" header="0" footer="0"/>
  <pageSetup orientation="portrait" horizontalDpi="300" verticalDpi="300" r:id="rId1"/>
  <headerFooter alignWithMargins="0"/>
  <ignoredErrors>
    <ignoredError sqref="K16:L19" unlockedFormula="1"/>
    <ignoredError sqref="I31:L33 K36:L37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Ingreso Datos</vt:lpstr>
      <vt:lpstr>6</vt:lpstr>
      <vt:lpstr>'6'!Área_de_impresión</vt:lpstr>
    </vt:vector>
  </TitlesOfParts>
  <Company>Universidad De Chile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POBLETE OLAVE</dc:creator>
  <cp:lastModifiedBy>Francisco Gonzalez</cp:lastModifiedBy>
  <cp:lastPrinted>2009-11-19T16:40:44Z</cp:lastPrinted>
  <dcterms:created xsi:type="dcterms:W3CDTF">1999-10-13T14:07:43Z</dcterms:created>
  <dcterms:modified xsi:type="dcterms:W3CDTF">2024-06-27T23:37:35Z</dcterms:modified>
</cp:coreProperties>
</file>