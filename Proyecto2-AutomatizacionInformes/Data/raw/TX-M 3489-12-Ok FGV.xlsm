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C1BH-L12-L10-3+823-HL (3489)\03 ENSAYOS\Informe D\"/>
    </mc:Choice>
  </mc:AlternateContent>
  <bookViews>
    <workbookView xWindow="-120" yWindow="-120" windowWidth="20730" windowHeight="11160" tabRatio="858" activeTab="1"/>
  </bookViews>
  <sheets>
    <sheet name="Ingreso Datos" sheetId="206" r:id="rId1"/>
    <sheet name="12A" sheetId="207" r:id="rId2"/>
    <sheet name="12B" sheetId="208" r:id="rId3"/>
    <sheet name="12C" sheetId="209" r:id="rId4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08" l="1"/>
  <c r="D2" i="209"/>
  <c r="D2" i="207"/>
  <c r="AA5" i="209"/>
  <c r="O19" i="209"/>
  <c r="O18" i="209"/>
  <c r="O19" i="208"/>
  <c r="O18" i="208"/>
  <c r="O19" i="207"/>
  <c r="O18" i="207"/>
  <c r="M28" i="209" l="1"/>
  <c r="M29" i="209"/>
  <c r="M30" i="209"/>
  <c r="M31" i="209"/>
  <c r="M32" i="209"/>
  <c r="M33" i="209"/>
  <c r="M34" i="209"/>
  <c r="M35" i="209"/>
  <c r="M36" i="209"/>
  <c r="M37" i="209"/>
  <c r="M38" i="209"/>
  <c r="M39" i="209"/>
  <c r="M40" i="209"/>
  <c r="M41" i="209"/>
  <c r="M42" i="209"/>
  <c r="M43" i="209"/>
  <c r="M44" i="209"/>
  <c r="M45" i="209"/>
  <c r="M46" i="209"/>
  <c r="M47" i="209"/>
  <c r="M48" i="209"/>
  <c r="M49" i="209"/>
  <c r="M50" i="209"/>
  <c r="M51" i="209"/>
  <c r="M52" i="209"/>
  <c r="M53" i="209"/>
  <c r="M54" i="209"/>
  <c r="M55" i="209"/>
  <c r="M56" i="209"/>
  <c r="M57" i="209"/>
  <c r="M58" i="209"/>
  <c r="M59" i="209"/>
  <c r="M27" i="209"/>
  <c r="L28" i="209"/>
  <c r="L29" i="209"/>
  <c r="L30" i="209"/>
  <c r="L31" i="209"/>
  <c r="L32" i="209"/>
  <c r="L33" i="209"/>
  <c r="L34" i="209"/>
  <c r="L35" i="209"/>
  <c r="L36" i="209"/>
  <c r="L37" i="209"/>
  <c r="L38" i="209"/>
  <c r="L39" i="209"/>
  <c r="L40" i="209"/>
  <c r="L41" i="209"/>
  <c r="L42" i="209"/>
  <c r="L43" i="209"/>
  <c r="L44" i="209"/>
  <c r="L45" i="209"/>
  <c r="L46" i="209"/>
  <c r="L47" i="209"/>
  <c r="L48" i="209"/>
  <c r="L49" i="209"/>
  <c r="L50" i="209"/>
  <c r="L51" i="209"/>
  <c r="L52" i="209"/>
  <c r="L53" i="209"/>
  <c r="L54" i="209"/>
  <c r="L55" i="209"/>
  <c r="L56" i="209"/>
  <c r="L57" i="209"/>
  <c r="L58" i="209"/>
  <c r="L59" i="209"/>
  <c r="L27" i="209"/>
  <c r="M28" i="208"/>
  <c r="M29" i="208"/>
  <c r="M30" i="208"/>
  <c r="M31" i="208"/>
  <c r="M32" i="208"/>
  <c r="M33" i="208"/>
  <c r="M34" i="208"/>
  <c r="M35" i="208"/>
  <c r="M36" i="208"/>
  <c r="M37" i="208"/>
  <c r="M38" i="208"/>
  <c r="M39" i="208"/>
  <c r="M40" i="208"/>
  <c r="M41" i="208"/>
  <c r="M42" i="208"/>
  <c r="M43" i="208"/>
  <c r="M44" i="208"/>
  <c r="M45" i="208"/>
  <c r="M46" i="208"/>
  <c r="M47" i="208"/>
  <c r="M48" i="208"/>
  <c r="M49" i="208"/>
  <c r="M50" i="208"/>
  <c r="M51" i="208"/>
  <c r="M52" i="208"/>
  <c r="M53" i="208"/>
  <c r="M54" i="208"/>
  <c r="M55" i="208"/>
  <c r="M56" i="208"/>
  <c r="M57" i="208"/>
  <c r="M58" i="208"/>
  <c r="M59" i="208"/>
  <c r="M27" i="208"/>
  <c r="L28" i="208"/>
  <c r="L29" i="208"/>
  <c r="L30" i="208"/>
  <c r="L31" i="208"/>
  <c r="L32" i="208"/>
  <c r="L33" i="208"/>
  <c r="L34" i="208"/>
  <c r="L35" i="208"/>
  <c r="L36" i="208"/>
  <c r="L37" i="208"/>
  <c r="L38" i="208"/>
  <c r="L39" i="208"/>
  <c r="L40" i="208"/>
  <c r="L41" i="208"/>
  <c r="L42" i="208"/>
  <c r="L43" i="208"/>
  <c r="L44" i="208"/>
  <c r="L45" i="208"/>
  <c r="L46" i="208"/>
  <c r="L47" i="208"/>
  <c r="L48" i="208"/>
  <c r="L49" i="208"/>
  <c r="L50" i="208"/>
  <c r="L51" i="208"/>
  <c r="L52" i="208"/>
  <c r="L53" i="208"/>
  <c r="L54" i="208"/>
  <c r="L55" i="208"/>
  <c r="L56" i="208"/>
  <c r="L57" i="208"/>
  <c r="L58" i="208"/>
  <c r="L59" i="208"/>
  <c r="L27" i="208"/>
  <c r="M28" i="207"/>
  <c r="M29" i="207"/>
  <c r="M30" i="207"/>
  <c r="M31" i="207"/>
  <c r="M32" i="207"/>
  <c r="M33" i="207"/>
  <c r="M34" i="207"/>
  <c r="M35" i="207"/>
  <c r="M36" i="207"/>
  <c r="M37" i="207"/>
  <c r="M38" i="207"/>
  <c r="M39" i="207"/>
  <c r="M40" i="207"/>
  <c r="M41" i="207"/>
  <c r="M42" i="207"/>
  <c r="M43" i="207"/>
  <c r="M44" i="207"/>
  <c r="M45" i="207"/>
  <c r="M46" i="207"/>
  <c r="M47" i="207"/>
  <c r="M48" i="207"/>
  <c r="M49" i="207"/>
  <c r="M50" i="207"/>
  <c r="M51" i="207"/>
  <c r="M52" i="207"/>
  <c r="M53" i="207"/>
  <c r="M54" i="207"/>
  <c r="M55" i="207"/>
  <c r="M56" i="207"/>
  <c r="M57" i="207"/>
  <c r="M58" i="207"/>
  <c r="M59" i="207"/>
  <c r="M27" i="207"/>
  <c r="L28" i="207"/>
  <c r="L29" i="207"/>
  <c r="L30" i="207"/>
  <c r="L31" i="207"/>
  <c r="L32" i="207"/>
  <c r="L33" i="207"/>
  <c r="L34" i="207"/>
  <c r="L35" i="207"/>
  <c r="L36" i="207"/>
  <c r="L37" i="207"/>
  <c r="L38" i="207"/>
  <c r="L39" i="207"/>
  <c r="L40" i="207"/>
  <c r="L41" i="207"/>
  <c r="L42" i="207"/>
  <c r="L43" i="207"/>
  <c r="L44" i="207"/>
  <c r="L45" i="207"/>
  <c r="L46" i="207"/>
  <c r="L47" i="207"/>
  <c r="L48" i="207"/>
  <c r="L49" i="207"/>
  <c r="L50" i="207"/>
  <c r="L51" i="207"/>
  <c r="L52" i="207"/>
  <c r="L53" i="207"/>
  <c r="L54" i="207"/>
  <c r="L55" i="207"/>
  <c r="L56" i="207"/>
  <c r="L57" i="207"/>
  <c r="L58" i="207"/>
  <c r="L59" i="207"/>
  <c r="L27" i="207"/>
  <c r="K67" i="209" l="1"/>
  <c r="K59" i="209"/>
  <c r="K58" i="209"/>
  <c r="B58" i="209"/>
  <c r="K57" i="209"/>
  <c r="B57" i="209"/>
  <c r="K56" i="209"/>
  <c r="B56" i="209"/>
  <c r="K55" i="209"/>
  <c r="B55" i="209"/>
  <c r="K54" i="209"/>
  <c r="B54" i="209"/>
  <c r="K53" i="209"/>
  <c r="B53" i="209"/>
  <c r="K52" i="209"/>
  <c r="B52" i="209"/>
  <c r="K51" i="209"/>
  <c r="B51" i="209"/>
  <c r="K50" i="209"/>
  <c r="B50" i="209"/>
  <c r="K49" i="209"/>
  <c r="B49" i="209"/>
  <c r="K48" i="209"/>
  <c r="B48" i="209"/>
  <c r="K47" i="209"/>
  <c r="B47" i="209"/>
  <c r="K46" i="209"/>
  <c r="B46" i="209"/>
  <c r="K45" i="209"/>
  <c r="B45" i="209"/>
  <c r="K44" i="209"/>
  <c r="B44" i="209"/>
  <c r="K43" i="209"/>
  <c r="B43" i="209"/>
  <c r="K42" i="209"/>
  <c r="B42" i="209"/>
  <c r="K41" i="209"/>
  <c r="B41" i="209"/>
  <c r="K40" i="209"/>
  <c r="B40" i="209"/>
  <c r="K39" i="209"/>
  <c r="B39" i="209"/>
  <c r="K38" i="209"/>
  <c r="B38" i="209"/>
  <c r="K37" i="209"/>
  <c r="B37" i="209"/>
  <c r="K36" i="209"/>
  <c r="B36" i="209"/>
  <c r="K35" i="209"/>
  <c r="B35" i="209"/>
  <c r="K34" i="209"/>
  <c r="B34" i="209"/>
  <c r="K33" i="209"/>
  <c r="B33" i="209"/>
  <c r="K32" i="209"/>
  <c r="B32" i="209"/>
  <c r="K31" i="209"/>
  <c r="B31" i="209"/>
  <c r="K30" i="209"/>
  <c r="B30" i="209"/>
  <c r="K29" i="209"/>
  <c r="B29" i="209"/>
  <c r="K28" i="209"/>
  <c r="B28" i="209"/>
  <c r="K27" i="209"/>
  <c r="B27" i="209"/>
  <c r="B26" i="209"/>
  <c r="L21" i="209"/>
  <c r="D21" i="209"/>
  <c r="O20" i="209"/>
  <c r="I20" i="209"/>
  <c r="L18" i="209"/>
  <c r="L17" i="209"/>
  <c r="O16" i="209"/>
  <c r="H13" i="209"/>
  <c r="L12" i="209"/>
  <c r="H12" i="209"/>
  <c r="L11" i="209"/>
  <c r="H11" i="209"/>
  <c r="L10" i="209"/>
  <c r="H10" i="209"/>
  <c r="K69" i="209" s="1"/>
  <c r="L9" i="209"/>
  <c r="G9" i="209"/>
  <c r="H9" i="209" s="1"/>
  <c r="N26" i="209" s="1"/>
  <c r="L7" i="209"/>
  <c r="AA6" i="209"/>
  <c r="L6" i="209"/>
  <c r="L5" i="209"/>
  <c r="L4" i="209"/>
  <c r="L3" i="209"/>
  <c r="K67" i="208"/>
  <c r="K59" i="208"/>
  <c r="K58" i="208"/>
  <c r="B58" i="208"/>
  <c r="K57" i="208"/>
  <c r="B57" i="208"/>
  <c r="K56" i="208"/>
  <c r="B56" i="208"/>
  <c r="K55" i="208"/>
  <c r="B55" i="208"/>
  <c r="K54" i="208"/>
  <c r="B54" i="208"/>
  <c r="K53" i="208"/>
  <c r="B53" i="208"/>
  <c r="K52" i="208"/>
  <c r="B52" i="208"/>
  <c r="K51" i="208"/>
  <c r="B51" i="208"/>
  <c r="K50" i="208"/>
  <c r="B50" i="208"/>
  <c r="K49" i="208"/>
  <c r="B49" i="208"/>
  <c r="K48" i="208"/>
  <c r="B48" i="208"/>
  <c r="K47" i="208"/>
  <c r="B47" i="208"/>
  <c r="K46" i="208"/>
  <c r="B46" i="208"/>
  <c r="K45" i="208"/>
  <c r="B45" i="208"/>
  <c r="K44" i="208"/>
  <c r="B44" i="208"/>
  <c r="K43" i="208"/>
  <c r="B43" i="208"/>
  <c r="K42" i="208"/>
  <c r="B42" i="208"/>
  <c r="K41" i="208"/>
  <c r="B41" i="208"/>
  <c r="K40" i="208"/>
  <c r="B40" i="208"/>
  <c r="K39" i="208"/>
  <c r="B39" i="208"/>
  <c r="K38" i="208"/>
  <c r="B38" i="208"/>
  <c r="K37" i="208"/>
  <c r="B37" i="208"/>
  <c r="K36" i="208"/>
  <c r="B36" i="208"/>
  <c r="K35" i="208"/>
  <c r="B35" i="208"/>
  <c r="K34" i="208"/>
  <c r="B34" i="208"/>
  <c r="K33" i="208"/>
  <c r="B33" i="208"/>
  <c r="K32" i="208"/>
  <c r="B32" i="208"/>
  <c r="K31" i="208"/>
  <c r="B31" i="208"/>
  <c r="K30" i="208"/>
  <c r="B30" i="208"/>
  <c r="K29" i="208"/>
  <c r="B29" i="208"/>
  <c r="K28" i="208"/>
  <c r="B28" i="208"/>
  <c r="K27" i="208"/>
  <c r="B27" i="208"/>
  <c r="B26" i="208"/>
  <c r="L21" i="208"/>
  <c r="D21" i="208"/>
  <c r="O20" i="208"/>
  <c r="I20" i="208"/>
  <c r="L18" i="208"/>
  <c r="L17" i="208"/>
  <c r="O16" i="208"/>
  <c r="H13" i="208"/>
  <c r="L12" i="208"/>
  <c r="H12" i="208"/>
  <c r="L11" i="208"/>
  <c r="H11" i="208"/>
  <c r="L10" i="208"/>
  <c r="H10" i="208"/>
  <c r="K69" i="208" s="1"/>
  <c r="L9" i="208"/>
  <c r="G9" i="208"/>
  <c r="H9" i="208" s="1"/>
  <c r="N26" i="208" s="1"/>
  <c r="L7" i="208"/>
  <c r="AA6" i="208"/>
  <c r="L6" i="208"/>
  <c r="AA5" i="208"/>
  <c r="L5" i="208"/>
  <c r="L4" i="208"/>
  <c r="L3" i="208"/>
  <c r="L16" i="209" l="1"/>
  <c r="H14" i="208"/>
  <c r="E56" i="208" s="1"/>
  <c r="H22" i="208"/>
  <c r="H15" i="208"/>
  <c r="H16" i="208" s="1"/>
  <c r="L19" i="208" s="1"/>
  <c r="H22" i="209"/>
  <c r="H14" i="209"/>
  <c r="H15" i="209"/>
  <c r="H16" i="209" s="1"/>
  <c r="L16" i="208"/>
  <c r="B27" i="207"/>
  <c r="B28" i="207"/>
  <c r="B29" i="207"/>
  <c r="B30" i="207"/>
  <c r="B31" i="207"/>
  <c r="B32" i="207"/>
  <c r="B33" i="207"/>
  <c r="B34" i="207"/>
  <c r="B35" i="207"/>
  <c r="B36" i="207"/>
  <c r="B37" i="207"/>
  <c r="B38" i="207"/>
  <c r="B39" i="207"/>
  <c r="B40" i="207"/>
  <c r="B41" i="207"/>
  <c r="B42" i="207"/>
  <c r="B43" i="207"/>
  <c r="B44" i="207"/>
  <c r="B45" i="207"/>
  <c r="B46" i="207"/>
  <c r="B47" i="207"/>
  <c r="B48" i="207"/>
  <c r="B49" i="207"/>
  <c r="B50" i="207"/>
  <c r="B51" i="207"/>
  <c r="B52" i="207"/>
  <c r="B53" i="207"/>
  <c r="B54" i="207"/>
  <c r="B55" i="207"/>
  <c r="B56" i="207"/>
  <c r="B57" i="207"/>
  <c r="B58" i="207"/>
  <c r="B26" i="207"/>
  <c r="H17" i="208" l="1"/>
  <c r="L20" i="208" s="1"/>
  <c r="E34" i="208"/>
  <c r="F34" i="208" s="1"/>
  <c r="E30" i="208"/>
  <c r="F30" i="208" s="1"/>
  <c r="E45" i="208"/>
  <c r="F45" i="208" s="1"/>
  <c r="E55" i="208"/>
  <c r="E58" i="208"/>
  <c r="E26" i="208"/>
  <c r="E49" i="208"/>
  <c r="E29" i="208"/>
  <c r="E32" i="208"/>
  <c r="F32" i="208" s="1"/>
  <c r="E28" i="208"/>
  <c r="E52" i="208"/>
  <c r="F52" i="208" s="1"/>
  <c r="N53" i="208" s="1"/>
  <c r="E48" i="208"/>
  <c r="E50" i="208"/>
  <c r="F50" i="208" s="1"/>
  <c r="E33" i="208"/>
  <c r="E44" i="208"/>
  <c r="E43" i="208"/>
  <c r="E46" i="208"/>
  <c r="F46" i="208" s="1"/>
  <c r="G46" i="208" s="1"/>
  <c r="O47" i="208" s="1"/>
  <c r="E53" i="208"/>
  <c r="E37" i="208"/>
  <c r="F37" i="208" s="1"/>
  <c r="N38" i="208" s="1"/>
  <c r="E54" i="208"/>
  <c r="E57" i="208"/>
  <c r="E40" i="208"/>
  <c r="E39" i="208"/>
  <c r="E42" i="208"/>
  <c r="E41" i="208"/>
  <c r="F41" i="208" s="1"/>
  <c r="E31" i="208"/>
  <c r="F31" i="208" s="1"/>
  <c r="E27" i="208"/>
  <c r="F27" i="208" s="1"/>
  <c r="E51" i="208"/>
  <c r="E47" i="208"/>
  <c r="E36" i="208"/>
  <c r="E35" i="208"/>
  <c r="F35" i="208" s="1"/>
  <c r="E38" i="208"/>
  <c r="F39" i="208"/>
  <c r="G39" i="208" s="1"/>
  <c r="O40" i="208" s="1"/>
  <c r="F33" i="208"/>
  <c r="N34" i="208" s="1"/>
  <c r="F51" i="208"/>
  <c r="G51" i="208" s="1"/>
  <c r="O52" i="208" s="1"/>
  <c r="F29" i="208"/>
  <c r="N30" i="208" s="1"/>
  <c r="F48" i="208"/>
  <c r="N49" i="208" s="1"/>
  <c r="F54" i="208"/>
  <c r="G54" i="208" s="1"/>
  <c r="O55" i="208" s="1"/>
  <c r="F40" i="208"/>
  <c r="N41" i="208" s="1"/>
  <c r="F47" i="208"/>
  <c r="N48" i="208" s="1"/>
  <c r="F57" i="208"/>
  <c r="N58" i="208" s="1"/>
  <c r="F56" i="208"/>
  <c r="N57" i="208" s="1"/>
  <c r="F44" i="208"/>
  <c r="G44" i="208" s="1"/>
  <c r="O45" i="208" s="1"/>
  <c r="F49" i="208"/>
  <c r="G49" i="208" s="1"/>
  <c r="O50" i="208" s="1"/>
  <c r="F38" i="208"/>
  <c r="N39" i="208" s="1"/>
  <c r="F28" i="208"/>
  <c r="G28" i="208" s="1"/>
  <c r="O29" i="208" s="1"/>
  <c r="F26" i="208"/>
  <c r="G26" i="208" s="1"/>
  <c r="O27" i="208" s="1"/>
  <c r="F55" i="208"/>
  <c r="F36" i="208"/>
  <c r="G36" i="208" s="1"/>
  <c r="O37" i="208" s="1"/>
  <c r="F43" i="208"/>
  <c r="G43" i="208" s="1"/>
  <c r="O44" i="208" s="1"/>
  <c r="F58" i="208"/>
  <c r="G58" i="208" s="1"/>
  <c r="O59" i="208" s="1"/>
  <c r="F42" i="208"/>
  <c r="N43" i="208" s="1"/>
  <c r="F53" i="208"/>
  <c r="N54" i="208" s="1"/>
  <c r="H17" i="209"/>
  <c r="L20" i="209" s="1"/>
  <c r="L19" i="209"/>
  <c r="E56" i="209"/>
  <c r="E52" i="209"/>
  <c r="E48" i="209"/>
  <c r="F48" i="209" s="1"/>
  <c r="E44" i="209"/>
  <c r="E40" i="209"/>
  <c r="E36" i="209"/>
  <c r="F36" i="209" s="1"/>
  <c r="E32" i="209"/>
  <c r="F32" i="209" s="1"/>
  <c r="E28" i="209"/>
  <c r="F28" i="209" s="1"/>
  <c r="E55" i="209"/>
  <c r="F55" i="209" s="1"/>
  <c r="E51" i="209"/>
  <c r="F51" i="209" s="1"/>
  <c r="G51" i="209" s="1"/>
  <c r="O52" i="209" s="1"/>
  <c r="E47" i="209"/>
  <c r="F47" i="209" s="1"/>
  <c r="G47" i="209" s="1"/>
  <c r="O48" i="209" s="1"/>
  <c r="E43" i="209"/>
  <c r="F43" i="209" s="1"/>
  <c r="G43" i="209" s="1"/>
  <c r="O44" i="209" s="1"/>
  <c r="E39" i="209"/>
  <c r="F39" i="209" s="1"/>
  <c r="E35" i="209"/>
  <c r="F35" i="209" s="1"/>
  <c r="E31" i="209"/>
  <c r="F31" i="209" s="1"/>
  <c r="N32" i="209" s="1"/>
  <c r="E27" i="209"/>
  <c r="F27" i="209" s="1"/>
  <c r="G27" i="209" s="1"/>
  <c r="O28" i="209" s="1"/>
  <c r="E58" i="209"/>
  <c r="F58" i="209" s="1"/>
  <c r="E54" i="209"/>
  <c r="F54" i="209" s="1"/>
  <c r="G54" i="209" s="1"/>
  <c r="O55" i="209" s="1"/>
  <c r="E50" i="209"/>
  <c r="F50" i="209" s="1"/>
  <c r="G50" i="209" s="1"/>
  <c r="O51" i="209" s="1"/>
  <c r="E46" i="209"/>
  <c r="F46" i="209" s="1"/>
  <c r="E42" i="209"/>
  <c r="F42" i="209" s="1"/>
  <c r="G42" i="209" s="1"/>
  <c r="O43" i="209" s="1"/>
  <c r="E38" i="209"/>
  <c r="F38" i="209" s="1"/>
  <c r="E34" i="209"/>
  <c r="F34" i="209" s="1"/>
  <c r="G34" i="209" s="1"/>
  <c r="O35" i="209" s="1"/>
  <c r="E30" i="209"/>
  <c r="F30" i="209" s="1"/>
  <c r="E26" i="209"/>
  <c r="F26" i="209" s="1"/>
  <c r="E45" i="209"/>
  <c r="F45" i="209" s="1"/>
  <c r="N46" i="209" s="1"/>
  <c r="E29" i="209"/>
  <c r="F29" i="209" s="1"/>
  <c r="E57" i="209"/>
  <c r="F57" i="209" s="1"/>
  <c r="E41" i="209"/>
  <c r="F41" i="209" s="1"/>
  <c r="N42" i="209" s="1"/>
  <c r="E53" i="209"/>
  <c r="F53" i="209" s="1"/>
  <c r="E37" i="209"/>
  <c r="F37" i="209" s="1"/>
  <c r="E49" i="209"/>
  <c r="F49" i="209" s="1"/>
  <c r="N50" i="209" s="1"/>
  <c r="E33" i="209"/>
  <c r="F33" i="209" s="1"/>
  <c r="G33" i="209" s="1"/>
  <c r="O34" i="209" s="1"/>
  <c r="F44" i="209"/>
  <c r="F56" i="209"/>
  <c r="F40" i="209"/>
  <c r="F52" i="209"/>
  <c r="N50" i="208"/>
  <c r="N40" i="208"/>
  <c r="G42" i="208"/>
  <c r="O43" i="208" s="1"/>
  <c r="G40" i="208"/>
  <c r="O41" i="208" s="1"/>
  <c r="K28" i="207"/>
  <c r="K29" i="207"/>
  <c r="K30" i="207"/>
  <c r="K31" i="207"/>
  <c r="K32" i="207"/>
  <c r="K33" i="207"/>
  <c r="K34" i="207"/>
  <c r="K35" i="207"/>
  <c r="K36" i="207"/>
  <c r="K37" i="207"/>
  <c r="K38" i="207"/>
  <c r="K39" i="207"/>
  <c r="K40" i="207"/>
  <c r="K41" i="207"/>
  <c r="K42" i="207"/>
  <c r="K43" i="207"/>
  <c r="K44" i="207"/>
  <c r="K45" i="207"/>
  <c r="K46" i="207"/>
  <c r="K47" i="207"/>
  <c r="K48" i="207"/>
  <c r="K49" i="207"/>
  <c r="K50" i="207"/>
  <c r="K51" i="207"/>
  <c r="K52" i="207"/>
  <c r="K53" i="207"/>
  <c r="K54" i="207"/>
  <c r="K55" i="207"/>
  <c r="K56" i="207"/>
  <c r="K57" i="207"/>
  <c r="K58" i="207"/>
  <c r="K59" i="207"/>
  <c r="N51" i="208" l="1"/>
  <c r="G50" i="208"/>
  <c r="O51" i="208" s="1"/>
  <c r="N32" i="208"/>
  <c r="G31" i="208"/>
  <c r="O32" i="208" s="1"/>
  <c r="G32" i="208"/>
  <c r="O33" i="208" s="1"/>
  <c r="N33" i="208"/>
  <c r="G41" i="208"/>
  <c r="O42" i="208" s="1"/>
  <c r="N42" i="208"/>
  <c r="G58" i="209"/>
  <c r="O59" i="209" s="1"/>
  <c r="N59" i="209"/>
  <c r="N52" i="208"/>
  <c r="N54" i="209"/>
  <c r="G53" i="209"/>
  <c r="O54" i="209" s="1"/>
  <c r="N39" i="209"/>
  <c r="G38" i="209"/>
  <c r="O39" i="209" s="1"/>
  <c r="G26" i="209"/>
  <c r="O27" i="209" s="1"/>
  <c r="N27" i="209"/>
  <c r="N56" i="209"/>
  <c r="G55" i="209"/>
  <c r="O56" i="209" s="1"/>
  <c r="N36" i="209"/>
  <c r="G35" i="209"/>
  <c r="O36" i="209" s="1"/>
  <c r="N47" i="209"/>
  <c r="G46" i="209"/>
  <c r="O47" i="209" s="1"/>
  <c r="G30" i="209"/>
  <c r="O31" i="209" s="1"/>
  <c r="N31" i="209"/>
  <c r="N40" i="209"/>
  <c r="G39" i="209"/>
  <c r="O40" i="209" s="1"/>
  <c r="G57" i="209"/>
  <c r="O58" i="209" s="1"/>
  <c r="N58" i="209"/>
  <c r="G29" i="209"/>
  <c r="O30" i="209" s="1"/>
  <c r="N30" i="209"/>
  <c r="N38" i="209"/>
  <c r="G37" i="209"/>
  <c r="O38" i="209" s="1"/>
  <c r="G45" i="209"/>
  <c r="O46" i="209" s="1"/>
  <c r="N43" i="209"/>
  <c r="G27" i="208"/>
  <c r="O28" i="208" s="1"/>
  <c r="N28" i="208"/>
  <c r="N46" i="208"/>
  <c r="G45" i="208"/>
  <c r="O46" i="208" s="1"/>
  <c r="N36" i="208"/>
  <c r="G35" i="208"/>
  <c r="O36" i="208" s="1"/>
  <c r="N31" i="208"/>
  <c r="G30" i="208"/>
  <c r="O31" i="208" s="1"/>
  <c r="G34" i="208"/>
  <c r="O35" i="208" s="1"/>
  <c r="N35" i="208"/>
  <c r="G52" i="208"/>
  <c r="O53" i="208" s="1"/>
  <c r="G37" i="208"/>
  <c r="O38" i="208" s="1"/>
  <c r="N45" i="208"/>
  <c r="N48" i="209"/>
  <c r="N52" i="209"/>
  <c r="G41" i="209"/>
  <c r="O42" i="209" s="1"/>
  <c r="N34" i="209"/>
  <c r="N44" i="209"/>
  <c r="N55" i="209"/>
  <c r="G49" i="209"/>
  <c r="O50" i="209" s="1"/>
  <c r="N35" i="209"/>
  <c r="N51" i="209"/>
  <c r="N28" i="209"/>
  <c r="N47" i="208"/>
  <c r="G47" i="208"/>
  <c r="O48" i="208" s="1"/>
  <c r="G53" i="208"/>
  <c r="O54" i="208" s="1"/>
  <c r="N29" i="208"/>
  <c r="N37" i="208"/>
  <c r="N44" i="208"/>
  <c r="G38" i="208"/>
  <c r="O39" i="208" s="1"/>
  <c r="N59" i="208"/>
  <c r="G48" i="208"/>
  <c r="O49" i="208" s="1"/>
  <c r="G57" i="208"/>
  <c r="O58" i="208" s="1"/>
  <c r="G31" i="209"/>
  <c r="O32" i="209" s="1"/>
  <c r="G29" i="208"/>
  <c r="O30" i="208" s="1"/>
  <c r="G33" i="208"/>
  <c r="O34" i="208" s="1"/>
  <c r="N27" i="208"/>
  <c r="G56" i="208"/>
  <c r="O57" i="208" s="1"/>
  <c r="N55" i="208"/>
  <c r="G55" i="208"/>
  <c r="O56" i="208" s="1"/>
  <c r="N56" i="208"/>
  <c r="N45" i="209"/>
  <c r="G44" i="209"/>
  <c r="O45" i="209" s="1"/>
  <c r="N41" i="209"/>
  <c r="G40" i="209"/>
  <c r="O41" i="209" s="1"/>
  <c r="N33" i="209"/>
  <c r="G32" i="209"/>
  <c r="O33" i="209" s="1"/>
  <c r="N57" i="209"/>
  <c r="G56" i="209"/>
  <c r="O57" i="209" s="1"/>
  <c r="N49" i="209"/>
  <c r="G48" i="209"/>
  <c r="O49" i="209" s="1"/>
  <c r="N53" i="209"/>
  <c r="G52" i="209"/>
  <c r="O53" i="209" s="1"/>
  <c r="N37" i="209"/>
  <c r="G36" i="209"/>
  <c r="O37" i="209" s="1"/>
  <c r="N29" i="209"/>
  <c r="G28" i="209"/>
  <c r="O29" i="209" s="1"/>
  <c r="L5" i="207"/>
  <c r="L4" i="207"/>
  <c r="L3" i="207"/>
  <c r="L6" i="207"/>
  <c r="AA6" i="207"/>
  <c r="L7" i="207"/>
  <c r="G9" i="207"/>
  <c r="H9" i="207" s="1"/>
  <c r="N26" i="207" s="1"/>
  <c r="L9" i="207"/>
  <c r="H10" i="207"/>
  <c r="K69" i="207" s="1"/>
  <c r="L10" i="207"/>
  <c r="H11" i="207"/>
  <c r="L11" i="207"/>
  <c r="H12" i="207"/>
  <c r="L12" i="207"/>
  <c r="H13" i="207"/>
  <c r="O16" i="207"/>
  <c r="L17" i="207"/>
  <c r="L18" i="207"/>
  <c r="O20" i="207"/>
  <c r="I20" i="207"/>
  <c r="L21" i="207"/>
  <c r="D21" i="207"/>
  <c r="K27" i="207"/>
  <c r="K67" i="207"/>
  <c r="O17" i="209" l="1"/>
  <c r="O17" i="208"/>
  <c r="L16" i="207"/>
  <c r="H14" i="207"/>
  <c r="E54" i="207" s="1"/>
  <c r="F54" i="207" s="1"/>
  <c r="N55" i="207" s="1"/>
  <c r="AA5" i="207"/>
  <c r="H22" i="207"/>
  <c r="H15" i="207"/>
  <c r="H16" i="207" s="1"/>
  <c r="E39" i="207" l="1"/>
  <c r="E38" i="207"/>
  <c r="F38" i="207" s="1"/>
  <c r="G38" i="207" s="1"/>
  <c r="O39" i="207" s="1"/>
  <c r="E35" i="207"/>
  <c r="F35" i="207" s="1"/>
  <c r="G35" i="207" s="1"/>
  <c r="O36" i="207" s="1"/>
  <c r="E31" i="207"/>
  <c r="E58" i="207"/>
  <c r="F58" i="207" s="1"/>
  <c r="E53" i="207"/>
  <c r="F53" i="207" s="1"/>
  <c r="E50" i="207"/>
  <c r="F50" i="207" s="1"/>
  <c r="G50" i="207" s="1"/>
  <c r="O51" i="207" s="1"/>
  <c r="E30" i="207"/>
  <c r="F30" i="207" s="1"/>
  <c r="G30" i="207" s="1"/>
  <c r="O31" i="207" s="1"/>
  <c r="E47" i="207"/>
  <c r="E27" i="207"/>
  <c r="E46" i="207"/>
  <c r="F46" i="207" s="1"/>
  <c r="N47" i="207" s="1"/>
  <c r="E43" i="207"/>
  <c r="E42" i="207"/>
  <c r="F42" i="207" s="1"/>
  <c r="N43" i="207" s="1"/>
  <c r="E34" i="207"/>
  <c r="F34" i="207" s="1"/>
  <c r="G34" i="207" s="1"/>
  <c r="O35" i="207" s="1"/>
  <c r="E26" i="207"/>
  <c r="F26" i="207" s="1"/>
  <c r="G26" i="207" s="1"/>
  <c r="O27" i="207" s="1"/>
  <c r="E57" i="207"/>
  <c r="F57" i="207" s="1"/>
  <c r="E49" i="207"/>
  <c r="F49" i="207" s="1"/>
  <c r="E45" i="207"/>
  <c r="F45" i="207" s="1"/>
  <c r="N46" i="207" s="1"/>
  <c r="E41" i="207"/>
  <c r="F41" i="207" s="1"/>
  <c r="N42" i="207" s="1"/>
  <c r="E37" i="207"/>
  <c r="F37" i="207" s="1"/>
  <c r="G37" i="207" s="1"/>
  <c r="O38" i="207" s="1"/>
  <c r="E33" i="207"/>
  <c r="F33" i="207" s="1"/>
  <c r="N34" i="207" s="1"/>
  <c r="E29" i="207"/>
  <c r="F29" i="207" s="1"/>
  <c r="N30" i="207" s="1"/>
  <c r="G54" i="207"/>
  <c r="O55" i="207" s="1"/>
  <c r="E56" i="207"/>
  <c r="F56" i="207" s="1"/>
  <c r="E52" i="207"/>
  <c r="E48" i="207"/>
  <c r="E44" i="207"/>
  <c r="F44" i="207" s="1"/>
  <c r="N45" i="207" s="1"/>
  <c r="E40" i="207"/>
  <c r="F40" i="207" s="1"/>
  <c r="N41" i="207" s="1"/>
  <c r="E36" i="207"/>
  <c r="F36" i="207" s="1"/>
  <c r="N37" i="207" s="1"/>
  <c r="E32" i="207"/>
  <c r="F32" i="207" s="1"/>
  <c r="N33" i="207" s="1"/>
  <c r="E28" i="207"/>
  <c r="F28" i="207" s="1"/>
  <c r="N29" i="207" s="1"/>
  <c r="E55" i="207"/>
  <c r="F55" i="207" s="1"/>
  <c r="G55" i="207" s="1"/>
  <c r="O56" i="207" s="1"/>
  <c r="E51" i="207"/>
  <c r="F51" i="207" s="1"/>
  <c r="G51" i="207" s="1"/>
  <c r="O52" i="207" s="1"/>
  <c r="F47" i="207"/>
  <c r="N48" i="207" s="1"/>
  <c r="F43" i="207"/>
  <c r="N44" i="207" s="1"/>
  <c r="F39" i="207"/>
  <c r="N40" i="207" s="1"/>
  <c r="F31" i="207"/>
  <c r="N32" i="207" s="1"/>
  <c r="F27" i="207"/>
  <c r="N28" i="207" s="1"/>
  <c r="F52" i="207"/>
  <c r="F48" i="207"/>
  <c r="H17" i="207"/>
  <c r="L20" i="207" s="1"/>
  <c r="L19" i="207"/>
  <c r="N39" i="207"/>
  <c r="G58" i="207" l="1"/>
  <c r="O59" i="207" s="1"/>
  <c r="N59" i="207"/>
  <c r="N51" i="207"/>
  <c r="N27" i="207"/>
  <c r="G31" i="207"/>
  <c r="O32" i="207" s="1"/>
  <c r="N52" i="207"/>
  <c r="G46" i="207"/>
  <c r="O47" i="207" s="1"/>
  <c r="G41" i="207"/>
  <c r="O42" i="207" s="1"/>
  <c r="N31" i="207"/>
  <c r="G44" i="207"/>
  <c r="O45" i="207" s="1"/>
  <c r="N35" i="207"/>
  <c r="N36" i="207"/>
  <c r="G42" i="207"/>
  <c r="O43" i="207" s="1"/>
  <c r="G40" i="207"/>
  <c r="O41" i="207" s="1"/>
  <c r="G33" i="207"/>
  <c r="O34" i="207" s="1"/>
  <c r="G47" i="207"/>
  <c r="O48" i="207" s="1"/>
  <c r="N38" i="207"/>
  <c r="G36" i="207"/>
  <c r="O37" i="207" s="1"/>
  <c r="G27" i="207"/>
  <c r="O28" i="207" s="1"/>
  <c r="G32" i="207"/>
  <c r="O33" i="207" s="1"/>
  <c r="G43" i="207"/>
  <c r="O44" i="207" s="1"/>
  <c r="G39" i="207"/>
  <c r="O40" i="207" s="1"/>
  <c r="G28" i="207"/>
  <c r="O29" i="207" s="1"/>
  <c r="G29" i="207"/>
  <c r="O30" i="207" s="1"/>
  <c r="G45" i="207"/>
  <c r="O46" i="207" s="1"/>
  <c r="N56" i="207"/>
  <c r="G56" i="207"/>
  <c r="O57" i="207" s="1"/>
  <c r="N57" i="207"/>
  <c r="G49" i="207"/>
  <c r="O50" i="207" s="1"/>
  <c r="N50" i="207"/>
  <c r="G53" i="207"/>
  <c r="O54" i="207" s="1"/>
  <c r="N54" i="207"/>
  <c r="G48" i="207"/>
  <c r="O49" i="207" s="1"/>
  <c r="N49" i="207"/>
  <c r="N58" i="207"/>
  <c r="G57" i="207"/>
  <c r="O58" i="207" s="1"/>
  <c r="G52" i="207"/>
  <c r="O53" i="207" s="1"/>
  <c r="N53" i="207"/>
  <c r="O17" i="207" l="1"/>
</calcChain>
</file>

<file path=xl/sharedStrings.xml><?xml version="1.0" encoding="utf-8"?>
<sst xmlns="http://schemas.openxmlformats.org/spreadsheetml/2006/main" count="429" uniqueCount="119">
  <si>
    <t>Proyecto</t>
  </si>
  <si>
    <t>Peso Natural</t>
  </si>
  <si>
    <t>Volumen</t>
  </si>
  <si>
    <t>Densidad Seca</t>
  </si>
  <si>
    <t>Deformación</t>
  </si>
  <si>
    <t>Densidad Húmeda</t>
  </si>
  <si>
    <t>Orden de Trabajo</t>
  </si>
  <si>
    <t>[Mpa]</t>
  </si>
  <si>
    <t>Fecha</t>
  </si>
  <si>
    <t>Humedad</t>
  </si>
  <si>
    <t>Tipo de Roca</t>
  </si>
  <si>
    <t>Fracturas / Vetillas</t>
  </si>
  <si>
    <t>Alteraciones</t>
  </si>
  <si>
    <t>Diámetro Superior 1</t>
  </si>
  <si>
    <t>Diámetro Superior 2</t>
  </si>
  <si>
    <t>Diámetro Superior 3</t>
  </si>
  <si>
    <t>Área Promedio</t>
  </si>
  <si>
    <t>Diámetro Medio    1</t>
  </si>
  <si>
    <t>Diámetro Medio    2</t>
  </si>
  <si>
    <t>Diámetro Medio    3</t>
  </si>
  <si>
    <t>Diámetro Inferior 1</t>
  </si>
  <si>
    <t>Diámetro Inferior 2</t>
  </si>
  <si>
    <t>Diámetro Inferior 3</t>
  </si>
  <si>
    <t>Tensión</t>
  </si>
  <si>
    <t>Tensión Axial</t>
  </si>
  <si>
    <t>cm</t>
  </si>
  <si>
    <t>g</t>
  </si>
  <si>
    <t>%</t>
  </si>
  <si>
    <t>mm</t>
  </si>
  <si>
    <t>cm³</t>
  </si>
  <si>
    <t>g/cm³</t>
  </si>
  <si>
    <t>[KN]</t>
  </si>
  <si>
    <t>ELASTICIDAD Y RAZON DE POISSON</t>
  </si>
  <si>
    <t xml:space="preserve">FOTOGRAFIAS (50% VGA). CALCULAR MODULO DE </t>
  </si>
  <si>
    <t>Relacion Esbeltez</t>
  </si>
  <si>
    <t>D50</t>
  </si>
  <si>
    <t>Diametro</t>
  </si>
  <si>
    <t>Velocidad de ensayo</t>
  </si>
  <si>
    <t>Nº INFORME</t>
  </si>
  <si>
    <t>CANTIDAD DE HOJAS (01 HASTA 30)</t>
  </si>
  <si>
    <t>Hoja Nº</t>
  </si>
  <si>
    <t>Nombre Hoja</t>
  </si>
  <si>
    <t>PROYECTO</t>
  </si>
  <si>
    <t>MUESTRA</t>
  </si>
  <si>
    <t xml:space="preserve">b. Módulo de Deformación y Razón de Poisson estimados en el 50% de carga máxima. </t>
  </si>
  <si>
    <t>Observaciones:</t>
  </si>
  <si>
    <t>3. Determinación de Humedad según SLG-PP-07 basado en ASTM D2216-05</t>
  </si>
  <si>
    <t>2. ASTM D 4543-08</t>
  </si>
  <si>
    <t>Referencia:</t>
  </si>
  <si>
    <r>
      <t>[</t>
    </r>
    <r>
      <rPr>
        <sz val="9"/>
        <rFont val="Arial"/>
        <family val="2"/>
      </rPr>
      <t>με</t>
    </r>
    <r>
      <rPr>
        <sz val="9"/>
        <rFont val="Arial"/>
        <family val="2"/>
      </rPr>
      <t>]</t>
    </r>
  </si>
  <si>
    <t>Axial                                  [%]</t>
  </si>
  <si>
    <t>Lateral                    [%]</t>
  </si>
  <si>
    <t>Prensa</t>
  </si>
  <si>
    <t>Corregida</t>
  </si>
  <si>
    <t>Axial</t>
  </si>
  <si>
    <t>Lateral</t>
  </si>
  <si>
    <t>de Carga</t>
  </si>
  <si>
    <t xml:space="preserve">Carga </t>
  </si>
  <si>
    <t>Lectura</t>
  </si>
  <si>
    <t>Diametro promedio</t>
  </si>
  <si>
    <t>Altura promedio</t>
  </si>
  <si>
    <t>Humedad                               [%]</t>
  </si>
  <si>
    <t xml:space="preserve">Muestra falla por </t>
  </si>
  <si>
    <t>Altura 3</t>
  </si>
  <si>
    <r>
      <t>Desidad Seca                 [g/cm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] </t>
    </r>
  </si>
  <si>
    <t>Altura 2</t>
  </si>
  <si>
    <r>
      <t xml:space="preserve">Razón de Poisson  </t>
    </r>
    <r>
      <rPr>
        <sz val="9"/>
        <rFont val="Arial"/>
        <family val="2"/>
      </rPr>
      <t>ν</t>
    </r>
  </si>
  <si>
    <r>
      <t>Densidad Húmeda        [g/cm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] </t>
    </r>
  </si>
  <si>
    <t>Mpa</t>
  </si>
  <si>
    <t>Confinamiento</t>
  </si>
  <si>
    <t>Altura 1</t>
  </si>
  <si>
    <t xml:space="preserve">Peso                                       [g] </t>
  </si>
  <si>
    <t>Altura                                     [cm]</t>
  </si>
  <si>
    <t>Diámetro                               [cm]</t>
  </si>
  <si>
    <t>Resultados</t>
  </si>
  <si>
    <t>Datos Probeta</t>
  </si>
  <si>
    <t>mm2</t>
  </si>
  <si>
    <t>Diámetro Inferior promedio</t>
  </si>
  <si>
    <t>Diámetro Medio    promedio</t>
  </si>
  <si>
    <t>Diámetro Superior promedio</t>
  </si>
  <si>
    <t xml:space="preserve">Muestra    </t>
  </si>
  <si>
    <t>Fecha Término</t>
  </si>
  <si>
    <t>Fecha Inicio</t>
  </si>
  <si>
    <t>Fract / Vetillas</t>
  </si>
  <si>
    <t>Tipo de roca</t>
  </si>
  <si>
    <t>N° Informe</t>
  </si>
  <si>
    <t>INFORME DE ENSAYO TRIAXIAL CON MEDICIÓN DE DEFORMACIÓN</t>
  </si>
  <si>
    <t>CAMBIAR SOLO LOS VALORES EN VERDE Y AGREGAR</t>
  </si>
  <si>
    <r>
      <t>1.  ASTM D 7012-14</t>
    </r>
    <r>
      <rPr>
        <vertAlign val="superscript"/>
        <sz val="9"/>
        <rFont val="Arial"/>
        <family val="2"/>
      </rPr>
      <t>e1</t>
    </r>
  </si>
  <si>
    <r>
      <t>Lectura tiempo de arribo señal longitudinal (</t>
    </r>
    <r>
      <rPr>
        <sz val="9"/>
        <rFont val="Calibri"/>
        <family val="2"/>
      </rPr>
      <t>µ</t>
    </r>
    <r>
      <rPr>
        <sz val="9"/>
        <rFont val="Arial"/>
        <family val="2"/>
      </rPr>
      <t>s)</t>
    </r>
  </si>
  <si>
    <r>
      <t>lectura tiempo de arribo señal transversal (</t>
    </r>
    <r>
      <rPr>
        <sz val="9"/>
        <rFont val="Calibri"/>
        <family val="2"/>
      </rPr>
      <t>µ</t>
    </r>
    <r>
      <rPr>
        <sz val="9"/>
        <rFont val="Arial"/>
        <family val="2"/>
      </rPr>
      <t>s)</t>
    </r>
  </si>
  <si>
    <t>Tensión de Confinamiento [MPa]</t>
  </si>
  <si>
    <t>Resistencia Máx. D50 [MPa]</t>
  </si>
  <si>
    <r>
      <t>Módulo de Deformación E</t>
    </r>
    <r>
      <rPr>
        <vertAlign val="subscript"/>
        <sz val="9"/>
        <rFont val="Arial"/>
        <family val="2"/>
      </rPr>
      <t>t</t>
    </r>
    <r>
      <rPr>
        <sz val="9"/>
        <rFont val="Arial"/>
        <family val="2"/>
      </rPr>
      <t xml:space="preserve"> [MPa]</t>
    </r>
  </si>
  <si>
    <t>[kN]</t>
  </si>
  <si>
    <t>[MPa]</t>
  </si>
  <si>
    <t xml:space="preserve"> MPa/s</t>
  </si>
  <si>
    <t>de Carga (Cal)</t>
  </si>
  <si>
    <t>Fallas</t>
  </si>
  <si>
    <t>Matriz (Tipo A)</t>
  </si>
  <si>
    <t>Mixta (Tipo B1)</t>
  </si>
  <si>
    <t>Mixta (Tipo B2)</t>
  </si>
  <si>
    <t>Estructura (Tipo C)</t>
  </si>
  <si>
    <t>Estructura (Tipo D1)</t>
  </si>
  <si>
    <t>Estructura (Tipo D2)</t>
  </si>
  <si>
    <t>Anómala (Tipo E)</t>
  </si>
  <si>
    <t>Observaciones</t>
  </si>
  <si>
    <t>12A</t>
  </si>
  <si>
    <t>12B</t>
  </si>
  <si>
    <t>12C</t>
  </si>
  <si>
    <t>C1BH-L12-L10-3+823-HL (02,84-03,33)</t>
  </si>
  <si>
    <t>Oxidación y zeolitización</t>
  </si>
  <si>
    <t>No presenta</t>
  </si>
  <si>
    <t>Toba lítica</t>
  </si>
  <si>
    <t>Fractura pre-existente</t>
  </si>
  <si>
    <t>1.914.753-D</t>
  </si>
  <si>
    <t>-</t>
  </si>
  <si>
    <t>C1BH-L12-L10-3+823-HL</t>
  </si>
  <si>
    <t>Textura homogénea y anisótropa. Anisotropía dada por fiammes orientados paralelamente al eje axial.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</si>
</sst>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_)"/>
    <numFmt numFmtId="165" formatCode="0.000"/>
    <numFmt numFmtId="166" formatCode="dd/mm/yyyy;@"/>
    <numFmt numFmtId="167" formatCode="0.0"/>
    <numFmt numFmtId="168" formatCode="0.0_)"/>
  </numFmts>
  <fonts count="18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b/>
      <u/>
      <sz val="9"/>
      <name val="Arial"/>
      <family val="2"/>
    </font>
    <font>
      <vertAlign val="superscript"/>
      <sz val="9"/>
      <name val="Arial"/>
      <family val="2"/>
    </font>
    <font>
      <sz val="9"/>
      <color indexed="10"/>
      <name val="Arial"/>
      <family val="2"/>
    </font>
    <font>
      <sz val="9"/>
      <color indexed="9"/>
      <name val="Arial"/>
      <family val="2"/>
    </font>
    <font>
      <b/>
      <sz val="9"/>
      <color indexed="10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12"/>
      <name val="Arial"/>
      <family val="2"/>
    </font>
    <font>
      <vertAlign val="subscript"/>
      <sz val="9"/>
      <name val="Arial"/>
      <family val="2"/>
    </font>
    <font>
      <sz val="9"/>
      <color indexed="8"/>
      <name val="Arial"/>
      <family val="2"/>
    </font>
    <font>
      <b/>
      <sz val="8"/>
      <name val="Arial"/>
      <family val="2"/>
    </font>
    <font>
      <b/>
      <sz val="8"/>
      <color theme="0"/>
      <name val="Arial"/>
      <family val="2"/>
    </font>
    <font>
      <sz val="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1" fillId="0" borderId="0"/>
    <xf numFmtId="0" fontId="9" fillId="0" borderId="0"/>
  </cellStyleXfs>
  <cellXfs count="131">
    <xf numFmtId="0" fontId="0" fillId="0" borderId="0" xfId="0"/>
    <xf numFmtId="0" fontId="2" fillId="0" borderId="13" xfId="0" applyFont="1" applyFill="1" applyBorder="1" applyAlignment="1" applyProtection="1">
      <alignment horizontal="left" vertical="center"/>
    </xf>
    <xf numFmtId="0" fontId="8" fillId="2" borderId="4" xfId="0" applyNumberFormat="1" applyFont="1" applyFill="1" applyBorder="1" applyAlignment="1" applyProtection="1">
      <alignment vertical="center"/>
    </xf>
    <xf numFmtId="0" fontId="8" fillId="2" borderId="2" xfId="0" applyNumberFormat="1" applyFont="1" applyFill="1" applyBorder="1" applyAlignment="1" applyProtection="1">
      <alignment vertical="center"/>
    </xf>
    <xf numFmtId="0" fontId="8" fillId="2" borderId="3" xfId="0" applyNumberFormat="1" applyFont="1" applyFill="1" applyBorder="1" applyAlignment="1" applyProtection="1">
      <alignment vertical="center"/>
    </xf>
    <xf numFmtId="0" fontId="9" fillId="0" borderId="0" xfId="0" applyFont="1" applyAlignment="1">
      <alignment vertical="center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10" fillId="0" borderId="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 wrapText="1"/>
    </xf>
    <xf numFmtId="0" fontId="2" fillId="4" borderId="0" xfId="1" applyFont="1" applyFill="1"/>
    <xf numFmtId="0" fontId="2" fillId="4" borderId="0" xfId="1" applyFont="1" applyFill="1" applyBorder="1"/>
    <xf numFmtId="0" fontId="2" fillId="4" borderId="0" xfId="1" applyFont="1" applyFill="1" applyAlignment="1">
      <alignment horizontal="left"/>
    </xf>
    <xf numFmtId="0" fontId="2" fillId="4" borderId="0" xfId="1" applyFont="1" applyFill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165" fontId="2" fillId="4" borderId="0" xfId="1" applyNumberFormat="1" applyFont="1" applyFill="1" applyBorder="1" applyAlignment="1">
      <alignment horizontal="center"/>
    </xf>
    <xf numFmtId="0" fontId="2" fillId="4" borderId="0" xfId="1" applyFont="1" applyFill="1" applyAlignment="1">
      <alignment horizontal="left" indent="1"/>
    </xf>
    <xf numFmtId="0" fontId="3" fillId="4" borderId="0" xfId="1" applyFont="1" applyFill="1"/>
    <xf numFmtId="0" fontId="2" fillId="4" borderId="0" xfId="1" applyFont="1" applyFill="1" applyBorder="1" applyAlignment="1">
      <alignment horizontal="left" vertical="center" indent="1"/>
    </xf>
    <xf numFmtId="2" fontId="2" fillId="4" borderId="6" xfId="1" applyNumberFormat="1" applyFont="1" applyFill="1" applyBorder="1" applyAlignment="1">
      <alignment horizontal="center" vertical="center"/>
    </xf>
    <xf numFmtId="165" fontId="2" fillId="4" borderId="6" xfId="1" applyNumberFormat="1" applyFont="1" applyFill="1" applyBorder="1" applyAlignment="1">
      <alignment horizontal="center" vertical="center"/>
    </xf>
    <xf numFmtId="2" fontId="2" fillId="4" borderId="0" xfId="1" applyNumberFormat="1" applyFont="1" applyFill="1" applyAlignment="1">
      <alignment horizontal="center"/>
    </xf>
    <xf numFmtId="2" fontId="2" fillId="4" borderId="0" xfId="1" applyNumberFormat="1" applyFont="1" applyFill="1" applyBorder="1" applyAlignment="1" applyProtection="1">
      <alignment horizontal="center"/>
    </xf>
    <xf numFmtId="0" fontId="2" fillId="4" borderId="0" xfId="1" applyFont="1" applyFill="1" applyBorder="1" applyAlignment="1">
      <alignment horizontal="left"/>
    </xf>
    <xf numFmtId="0" fontId="12" fillId="4" borderId="0" xfId="1" applyFont="1" applyFill="1" applyBorder="1" applyAlignment="1">
      <alignment horizontal="center"/>
    </xf>
    <xf numFmtId="0" fontId="2" fillId="4" borderId="0" xfId="1" applyFont="1" applyFill="1" applyBorder="1" applyAlignment="1"/>
    <xf numFmtId="0" fontId="3" fillId="4" borderId="0" xfId="1" quotePrefix="1" applyFont="1" applyFill="1" applyBorder="1" applyAlignment="1"/>
    <xf numFmtId="2" fontId="2" fillId="4" borderId="0" xfId="1" applyNumberFormat="1" applyFont="1" applyFill="1"/>
    <xf numFmtId="0" fontId="2" fillId="4" borderId="12" xfId="1" applyFont="1" applyFill="1" applyBorder="1" applyAlignment="1">
      <alignment horizontal="center" vertical="center"/>
    </xf>
    <xf numFmtId="164" fontId="2" fillId="4" borderId="12" xfId="1" applyNumberFormat="1" applyFont="1" applyFill="1" applyBorder="1" applyAlignment="1">
      <alignment horizontal="center" vertical="center"/>
    </xf>
    <xf numFmtId="0" fontId="2" fillId="4" borderId="12" xfId="1" applyFont="1" applyFill="1" applyBorder="1" applyAlignment="1" applyProtection="1">
      <alignment horizontal="center"/>
    </xf>
    <xf numFmtId="0" fontId="2" fillId="4" borderId="15" xfId="1" applyFont="1" applyFill="1" applyBorder="1" applyAlignment="1">
      <alignment horizontal="center" vertical="center"/>
    </xf>
    <xf numFmtId="0" fontId="2" fillId="4" borderId="15" xfId="1" applyFont="1" applyFill="1" applyBorder="1" applyAlignment="1">
      <alignment horizontal="center"/>
    </xf>
    <xf numFmtId="0" fontId="2" fillId="4" borderId="15" xfId="1" applyFont="1" applyFill="1" applyBorder="1" applyAlignment="1" applyProtection="1">
      <alignment horizontal="center"/>
    </xf>
    <xf numFmtId="0" fontId="2" fillId="4" borderId="15" xfId="1" quotePrefix="1" applyFont="1" applyFill="1" applyBorder="1" applyAlignment="1" applyProtection="1">
      <alignment horizontal="center"/>
    </xf>
    <xf numFmtId="0" fontId="2" fillId="4" borderId="9" xfId="1" applyFont="1" applyFill="1" applyBorder="1" applyAlignment="1">
      <alignment horizontal="center" vertical="center"/>
    </xf>
    <xf numFmtId="0" fontId="2" fillId="4" borderId="9" xfId="1" applyFont="1" applyFill="1" applyBorder="1" applyAlignment="1">
      <alignment horizontal="center"/>
    </xf>
    <xf numFmtId="0" fontId="2" fillId="4" borderId="9" xfId="1" applyFont="1" applyFill="1" applyBorder="1" applyAlignment="1" applyProtection="1">
      <alignment horizontal="center"/>
    </xf>
    <xf numFmtId="0" fontId="2" fillId="4" borderId="9" xfId="1" quotePrefix="1" applyFont="1" applyFill="1" applyBorder="1" applyAlignment="1" applyProtection="1">
      <alignment horizontal="center"/>
    </xf>
    <xf numFmtId="0" fontId="2" fillId="4" borderId="0" xfId="1" applyFont="1" applyFill="1" applyBorder="1" applyAlignment="1">
      <alignment horizontal="center" vertical="center"/>
    </xf>
    <xf numFmtId="0" fontId="2" fillId="4" borderId="3" xfId="1" applyFont="1" applyFill="1" applyBorder="1"/>
    <xf numFmtId="0" fontId="2" fillId="4" borderId="4" xfId="1" applyFont="1" applyFill="1" applyBorder="1" applyAlignment="1" applyProtection="1">
      <alignment horizontal="left"/>
    </xf>
    <xf numFmtId="164" fontId="2" fillId="4" borderId="0" xfId="1" applyNumberFormat="1" applyFont="1" applyFill="1"/>
    <xf numFmtId="2" fontId="2" fillId="4" borderId="6" xfId="1" applyNumberFormat="1" applyFont="1" applyFill="1" applyBorder="1" applyAlignment="1">
      <alignment horizontal="right" vertical="center"/>
    </xf>
    <xf numFmtId="164" fontId="6" fillId="4" borderId="0" xfId="1" applyNumberFormat="1" applyFont="1" applyFill="1" applyAlignment="1">
      <alignment horizontal="left"/>
    </xf>
    <xf numFmtId="0" fontId="2" fillId="4" borderId="4" xfId="1" applyFont="1" applyFill="1" applyBorder="1" applyAlignment="1">
      <alignment horizontal="left"/>
    </xf>
    <xf numFmtId="0" fontId="2" fillId="4" borderId="4" xfId="1" quotePrefix="1" applyFont="1" applyFill="1" applyBorder="1" applyAlignment="1" applyProtection="1">
      <alignment horizontal="left"/>
    </xf>
    <xf numFmtId="164" fontId="2" fillId="4" borderId="6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vertical="center"/>
    </xf>
    <xf numFmtId="1" fontId="2" fillId="4" borderId="0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left" vertical="center"/>
    </xf>
    <xf numFmtId="0" fontId="2" fillId="4" borderId="4" xfId="1" applyFont="1" applyFill="1" applyBorder="1"/>
    <xf numFmtId="0" fontId="1" fillId="4" borderId="0" xfId="1" applyFont="1" applyFill="1" applyBorder="1"/>
    <xf numFmtId="0" fontId="1" fillId="4" borderId="0" xfId="1" applyFont="1" applyFill="1"/>
    <xf numFmtId="0" fontId="2" fillId="4" borderId="15" xfId="2" applyFont="1" applyFill="1" applyBorder="1" applyAlignment="1">
      <alignment horizontal="left" vertical="center"/>
    </xf>
    <xf numFmtId="164" fontId="2" fillId="4" borderId="0" xfId="1" applyNumberFormat="1" applyFont="1" applyFill="1" applyBorder="1" applyAlignment="1" applyProtection="1">
      <alignment horizontal="left"/>
    </xf>
    <xf numFmtId="164" fontId="2" fillId="4" borderId="6" xfId="1" applyNumberFormat="1" applyFont="1" applyFill="1" applyBorder="1" applyProtection="1"/>
    <xf numFmtId="164" fontId="2" fillId="4" borderId="6" xfId="1" applyNumberFormat="1" applyFont="1" applyFill="1" applyBorder="1" applyAlignment="1">
      <alignment horizontal="right" vertical="center"/>
    </xf>
    <xf numFmtId="0" fontId="2" fillId="4" borderId="0" xfId="1" applyFont="1" applyFill="1" applyAlignment="1" applyProtection="1"/>
    <xf numFmtId="0" fontId="2" fillId="4" borderId="4" xfId="1" applyFont="1" applyFill="1" applyBorder="1" applyAlignment="1" applyProtection="1">
      <alignment horizontal="left" vertical="center"/>
    </xf>
    <xf numFmtId="0" fontId="1" fillId="4" borderId="0" xfId="1" applyFont="1" applyFill="1" applyAlignment="1">
      <alignment horizontal="left"/>
    </xf>
    <xf numFmtId="0" fontId="1" fillId="4" borderId="0" xfId="1" quotePrefix="1" applyFont="1" applyFill="1" applyAlignment="1">
      <alignment horizontal="left"/>
    </xf>
    <xf numFmtId="0" fontId="2" fillId="4" borderId="3" xfId="1" applyFont="1" applyFill="1" applyBorder="1" applyAlignment="1">
      <alignment horizontal="center"/>
    </xf>
    <xf numFmtId="0" fontId="2" fillId="4" borderId="2" xfId="1" applyFont="1" applyFill="1" applyBorder="1" applyAlignment="1">
      <alignment horizontal="center"/>
    </xf>
    <xf numFmtId="0" fontId="2" fillId="4" borderId="2" xfId="1" applyFont="1" applyFill="1" applyBorder="1" applyAlignment="1">
      <alignment horizontal="left" indent="2"/>
    </xf>
    <xf numFmtId="2" fontId="2" fillId="4" borderId="4" xfId="1" applyNumberFormat="1" applyFont="1" applyFill="1" applyBorder="1" applyAlignment="1">
      <alignment horizontal="left" vertical="center" indent="1"/>
    </xf>
    <xf numFmtId="0" fontId="1" fillId="4" borderId="4" xfId="1" applyFont="1" applyFill="1" applyBorder="1" applyAlignment="1">
      <alignment vertical="center"/>
    </xf>
    <xf numFmtId="164" fontId="2" fillId="4" borderId="2" xfId="1" applyNumberFormat="1" applyFont="1" applyFill="1" applyBorder="1" applyAlignment="1">
      <alignment horizontal="left" indent="2"/>
    </xf>
    <xf numFmtId="2" fontId="2" fillId="4" borderId="6" xfId="1" applyNumberFormat="1" applyFont="1" applyFill="1" applyBorder="1" applyAlignment="1">
      <alignment horizontal="right"/>
    </xf>
    <xf numFmtId="0" fontId="2" fillId="4" borderId="0" xfId="1" applyFont="1" applyFill="1" applyBorder="1" applyAlignment="1">
      <alignment vertical="center"/>
    </xf>
    <xf numFmtId="0" fontId="2" fillId="4" borderId="3" xfId="1" applyFont="1" applyFill="1" applyBorder="1" applyAlignment="1">
      <alignment vertical="center"/>
    </xf>
    <xf numFmtId="0" fontId="2" fillId="4" borderId="2" xfId="1" applyFont="1" applyFill="1" applyBorder="1" applyAlignment="1">
      <alignment vertical="center"/>
    </xf>
    <xf numFmtId="0" fontId="2" fillId="4" borderId="2" xfId="1" applyFont="1" applyFill="1" applyBorder="1" applyAlignment="1">
      <alignment horizontal="left" vertical="center" indent="1"/>
    </xf>
    <xf numFmtId="49" fontId="2" fillId="4" borderId="4" xfId="1" applyNumberFormat="1" applyFont="1" applyFill="1" applyBorder="1" applyAlignment="1">
      <alignment horizontal="left" vertical="center" indent="1"/>
    </xf>
    <xf numFmtId="164" fontId="2" fillId="4" borderId="6" xfId="1" applyNumberFormat="1" applyFont="1" applyFill="1" applyBorder="1" applyAlignment="1" applyProtection="1">
      <alignment horizontal="right"/>
      <protection locked="0"/>
    </xf>
    <xf numFmtId="0" fontId="2" fillId="4" borderId="0" xfId="1" applyFont="1" applyFill="1" applyAlignment="1">
      <alignment horizontal="left" vertical="center" indent="1"/>
    </xf>
    <xf numFmtId="0" fontId="2" fillId="4" borderId="0" xfId="1" applyFont="1" applyFill="1" applyAlignment="1">
      <alignment vertical="center"/>
    </xf>
    <xf numFmtId="2" fontId="2" fillId="4" borderId="4" xfId="1" applyNumberFormat="1" applyFont="1" applyFill="1" applyBorder="1"/>
    <xf numFmtId="0" fontId="15" fillId="4" borderId="0" xfId="1" applyFont="1" applyFill="1" applyBorder="1" applyAlignment="1"/>
    <xf numFmtId="0" fontId="16" fillId="4" borderId="0" xfId="1" applyFont="1" applyFill="1" applyBorder="1" applyAlignment="1"/>
    <xf numFmtId="0" fontId="1" fillId="4" borderId="4" xfId="1" applyFont="1" applyFill="1" applyBorder="1" applyAlignment="1" applyProtection="1">
      <alignment horizontal="left" vertical="center"/>
    </xf>
    <xf numFmtId="0" fontId="2" fillId="4" borderId="4" xfId="1" applyFont="1" applyFill="1" applyBorder="1" applyAlignment="1">
      <alignment horizontal="left" vertical="center" indent="1"/>
    </xf>
    <xf numFmtId="0" fontId="7" fillId="5" borderId="10" xfId="1" applyFont="1" applyFill="1" applyBorder="1" applyAlignment="1">
      <alignment horizontal="left"/>
    </xf>
    <xf numFmtId="0" fontId="7" fillId="5" borderId="5" xfId="1" applyFont="1" applyFill="1" applyBorder="1"/>
    <xf numFmtId="0" fontId="7" fillId="5" borderId="7" xfId="1" applyFont="1" applyFill="1" applyBorder="1"/>
    <xf numFmtId="2" fontId="2" fillId="4" borderId="13" xfId="1" applyNumberFormat="1" applyFont="1" applyFill="1" applyBorder="1" applyAlignment="1">
      <alignment horizontal="left" vertical="center" indent="1"/>
    </xf>
    <xf numFmtId="0" fontId="1" fillId="4" borderId="4" xfId="1" quotePrefix="1" applyFont="1" applyFill="1" applyBorder="1" applyAlignment="1" applyProtection="1">
      <alignment horizontal="left" vertical="center"/>
    </xf>
    <xf numFmtId="0" fontId="7" fillId="5" borderId="11" xfId="1" applyFont="1" applyFill="1" applyBorder="1" applyAlignment="1">
      <alignment horizontal="left"/>
    </xf>
    <xf numFmtId="0" fontId="7" fillId="5" borderId="0" xfId="1" applyFont="1" applyFill="1" applyBorder="1"/>
    <xf numFmtId="0" fontId="7" fillId="5" borderId="8" xfId="1" applyFont="1" applyFill="1" applyBorder="1"/>
    <xf numFmtId="0" fontId="7" fillId="5" borderId="14" xfId="1" applyFont="1" applyFill="1" applyBorder="1" applyAlignment="1">
      <alignment horizontal="left"/>
    </xf>
    <xf numFmtId="0" fontId="7" fillId="5" borderId="1" xfId="1" applyFont="1" applyFill="1" applyBorder="1"/>
    <xf numFmtId="0" fontId="7" fillId="5" borderId="13" xfId="1" applyFont="1" applyFill="1" applyBorder="1"/>
    <xf numFmtId="0" fontId="3" fillId="4" borderId="0" xfId="1" applyFont="1" applyFill="1" applyAlignment="1">
      <alignment horizontal="left"/>
    </xf>
    <xf numFmtId="0" fontId="5" fillId="3" borderId="6" xfId="1" applyFont="1" applyFill="1" applyBorder="1" applyAlignment="1">
      <alignment horizontal="center"/>
    </xf>
    <xf numFmtId="14" fontId="5" fillId="3" borderId="6" xfId="1" applyNumberFormat="1" applyFont="1" applyFill="1" applyBorder="1"/>
    <xf numFmtId="0" fontId="2" fillId="4" borderId="4" xfId="2" applyFont="1" applyFill="1" applyBorder="1" applyAlignment="1">
      <alignment horizontal="left"/>
    </xf>
    <xf numFmtId="0" fontId="2" fillId="4" borderId="3" xfId="2" applyFont="1" applyFill="1" applyBorder="1"/>
    <xf numFmtId="2" fontId="7" fillId="3" borderId="6" xfId="2" applyNumberFormat="1" applyFont="1" applyFill="1" applyBorder="1"/>
    <xf numFmtId="0" fontId="2" fillId="4" borderId="4" xfId="2" applyFont="1" applyFill="1" applyBorder="1" applyAlignment="1" applyProtection="1">
      <alignment horizontal="left"/>
    </xf>
    <xf numFmtId="2" fontId="2" fillId="4" borderId="2" xfId="1" applyNumberFormat="1" applyFont="1" applyFill="1" applyBorder="1"/>
    <xf numFmtId="0" fontId="2" fillId="4" borderId="2" xfId="1" applyFont="1" applyFill="1" applyBorder="1" applyAlignment="1" applyProtection="1">
      <alignment horizontal="left"/>
    </xf>
    <xf numFmtId="0" fontId="2" fillId="4" borderId="2" xfId="1" quotePrefix="1" applyFont="1" applyFill="1" applyBorder="1" applyAlignment="1" applyProtection="1">
      <alignment horizontal="left"/>
    </xf>
    <xf numFmtId="0" fontId="5" fillId="0" borderId="6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0" fontId="2" fillId="0" borderId="0" xfId="1" applyFont="1" applyFill="1"/>
    <xf numFmtId="0" fontId="9" fillId="0" borderId="6" xfId="0" applyFont="1" applyBorder="1" applyAlignment="1">
      <alignment vertical="center"/>
    </xf>
    <xf numFmtId="0" fontId="2" fillId="4" borderId="0" xfId="1" applyFont="1" applyFill="1" applyBorder="1" applyAlignment="1" applyProtection="1">
      <alignment horizontal="left" indent="1"/>
    </xf>
    <xf numFmtId="2" fontId="5" fillId="4" borderId="6" xfId="1" applyNumberFormat="1" applyFont="1" applyFill="1" applyBorder="1" applyAlignment="1"/>
    <xf numFmtId="167" fontId="2" fillId="4" borderId="6" xfId="1" applyNumberFormat="1" applyFont="1" applyFill="1" applyBorder="1" applyAlignment="1">
      <alignment horizontal="center" vertical="center"/>
    </xf>
    <xf numFmtId="1" fontId="2" fillId="4" borderId="6" xfId="1" applyNumberFormat="1" applyFont="1" applyFill="1" applyBorder="1" applyAlignment="1">
      <alignment horizontal="center" vertical="center"/>
    </xf>
    <xf numFmtId="168" fontId="2" fillId="4" borderId="6" xfId="1" quotePrefix="1" applyNumberFormat="1" applyFont="1" applyFill="1" applyBorder="1" applyAlignment="1" applyProtection="1">
      <alignment horizontal="center" vertical="center"/>
    </xf>
    <xf numFmtId="168" fontId="14" fillId="4" borderId="6" xfId="1" applyNumberFormat="1" applyFont="1" applyFill="1" applyBorder="1" applyAlignment="1">
      <alignment horizontal="center" vertical="center"/>
    </xf>
    <xf numFmtId="167" fontId="2" fillId="4" borderId="12" xfId="1" applyNumberFormat="1" applyFont="1" applyFill="1" applyBorder="1" applyAlignment="1">
      <alignment horizontal="center" vertical="center"/>
    </xf>
    <xf numFmtId="2" fontId="5" fillId="4" borderId="6" xfId="1" applyNumberFormat="1" applyFont="1" applyFill="1" applyBorder="1" applyAlignment="1">
      <alignment wrapText="1"/>
    </xf>
    <xf numFmtId="0" fontId="1" fillId="0" borderId="6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2" fillId="4" borderId="0" xfId="1" applyFont="1" applyFill="1" applyBorder="1" applyAlignment="1">
      <alignment horizontal="center"/>
    </xf>
    <xf numFmtId="0" fontId="2" fillId="4" borderId="2" xfId="1" applyFont="1" applyFill="1" applyBorder="1" applyAlignment="1">
      <alignment horizontal="center" vertical="center"/>
    </xf>
    <xf numFmtId="0" fontId="2" fillId="4" borderId="3" xfId="1" applyFont="1" applyFill="1" applyBorder="1" applyAlignment="1">
      <alignment horizontal="center" vertical="center"/>
    </xf>
    <xf numFmtId="0" fontId="2" fillId="4" borderId="14" xfId="1" applyFont="1" applyFill="1" applyBorder="1" applyAlignment="1">
      <alignment horizontal="center" vertical="center" wrapText="1"/>
    </xf>
    <xf numFmtId="0" fontId="2" fillId="4" borderId="10" xfId="1" applyFont="1" applyFill="1" applyBorder="1" applyAlignment="1">
      <alignment horizontal="center" vertical="center" wrapText="1"/>
    </xf>
    <xf numFmtId="0" fontId="2" fillId="4" borderId="9" xfId="1" applyFont="1" applyFill="1" applyBorder="1" applyAlignment="1">
      <alignment horizontal="center" vertical="center" wrapText="1"/>
    </xf>
    <xf numFmtId="0" fontId="2" fillId="4" borderId="12" xfId="1" applyFont="1" applyFill="1" applyBorder="1" applyAlignment="1">
      <alignment horizontal="center" vertical="center" wrapText="1"/>
    </xf>
    <xf numFmtId="166" fontId="2" fillId="4" borderId="4" xfId="1" applyNumberFormat="1" applyFont="1" applyFill="1" applyBorder="1" applyAlignment="1">
      <alignment horizontal="left" vertical="center" indent="1"/>
    </xf>
    <xf numFmtId="166" fontId="2" fillId="4" borderId="2" xfId="1" applyNumberFormat="1" applyFont="1" applyFill="1" applyBorder="1" applyAlignment="1">
      <alignment horizontal="left" vertical="center" indent="1"/>
    </xf>
    <xf numFmtId="166" fontId="2" fillId="4" borderId="3" xfId="1" applyNumberFormat="1" applyFont="1" applyFill="1" applyBorder="1" applyAlignment="1">
      <alignment horizontal="left" vertical="center" indent="1"/>
    </xf>
    <xf numFmtId="2" fontId="2" fillId="4" borderId="4" xfId="1" applyNumberFormat="1" applyFont="1" applyFill="1" applyBorder="1" applyAlignment="1">
      <alignment horizontal="left" vertical="center" wrapText="1" indent="1"/>
    </xf>
    <xf numFmtId="2" fontId="2" fillId="4" borderId="2" xfId="1" applyNumberFormat="1" applyFont="1" applyFill="1" applyBorder="1" applyAlignment="1">
      <alignment horizontal="left" vertical="center" wrapText="1" indent="1"/>
    </xf>
    <xf numFmtId="2" fontId="2" fillId="4" borderId="3" xfId="1" applyNumberFormat="1" applyFont="1" applyFill="1" applyBorder="1" applyAlignment="1">
      <alignment horizontal="left" vertical="center" wrapText="1" indent="1"/>
    </xf>
  </cellXfs>
  <cellStyles count="3">
    <cellStyle name="Normal" xfId="0" builtinId="0"/>
    <cellStyle name="Normal 2" xfId="1"/>
    <cellStyle name="Normal 2 2" xfId="2"/>
  </cellStyles>
  <dxfs count="29"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1100"/>
              <a:t>Gráfico: Tensión-Deformación
</a:t>
            </a:r>
          </a:p>
        </c:rich>
      </c:tx>
      <c:layout>
        <c:manualLayout>
          <c:xMode val="edge"/>
          <c:yMode val="edge"/>
          <c:x val="0.32994184165871665"/>
          <c:y val="1.44293288604878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6390027038475477E-2"/>
          <c:y val="0.18621220958491336"/>
          <c:w val="0.88872123726895624"/>
          <c:h val="0.60255095141559634"/>
        </c:manualLayout>
      </c:layout>
      <c:scatterChart>
        <c:scatterStyle val="smoothMarker"/>
        <c:varyColors val="0"/>
        <c:ser>
          <c:idx val="0"/>
          <c:order val="0"/>
          <c:tx>
            <c:v>Def. Lateral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'12A'!$L$27:$L$59</c:f>
              <c:numCache>
                <c:formatCode>0.000</c:formatCode>
                <c:ptCount val="33"/>
                <c:pt idx="0">
                  <c:v>0</c:v>
                </c:pt>
                <c:pt idx="1">
                  <c:v>-2.4099999999999998E-3</c:v>
                </c:pt>
                <c:pt idx="2">
                  <c:v>-4.8999999999999998E-3</c:v>
                </c:pt>
                <c:pt idx="3">
                  <c:v>-8.77E-3</c:v>
                </c:pt>
                <c:pt idx="4">
                  <c:v>-1.1379999999999999E-2</c:v>
                </c:pt>
                <c:pt idx="5">
                  <c:v>-1.566E-2</c:v>
                </c:pt>
                <c:pt idx="6">
                  <c:v>-1.8489999999999999E-2</c:v>
                </c:pt>
                <c:pt idx="7">
                  <c:v>-2.2679999999999999E-2</c:v>
                </c:pt>
                <c:pt idx="8">
                  <c:v>-2.8979999999999999E-2</c:v>
                </c:pt>
                <c:pt idx="9">
                  <c:v>-3.2919999999999998E-2</c:v>
                </c:pt>
                <c:pt idx="10">
                  <c:v>-3.551E-2</c:v>
                </c:pt>
                <c:pt idx="11">
                  <c:v>-3.9210000000000002E-2</c:v>
                </c:pt>
                <c:pt idx="12">
                  <c:v>-4.4080000000000001E-2</c:v>
                </c:pt>
                <c:pt idx="13">
                  <c:v>-4.8160000000000001E-2</c:v>
                </c:pt>
                <c:pt idx="14">
                  <c:v>-5.253E-2</c:v>
                </c:pt>
                <c:pt idx="15">
                  <c:v>-5.8209999999999998E-2</c:v>
                </c:pt>
                <c:pt idx="16">
                  <c:v>-6.1690000000000002E-2</c:v>
                </c:pt>
                <c:pt idx="17">
                  <c:v>-6.4589999999999995E-2</c:v>
                </c:pt>
                <c:pt idx="18">
                  <c:v>-6.8879999999999997E-2</c:v>
                </c:pt>
                <c:pt idx="19">
                  <c:v>-7.5810000000000002E-2</c:v>
                </c:pt>
                <c:pt idx="20">
                  <c:v>-7.8E-2</c:v>
                </c:pt>
                <c:pt idx="21">
                  <c:v>-8.1350000000000006E-2</c:v>
                </c:pt>
                <c:pt idx="22">
                  <c:v>-8.6360000000000006E-2</c:v>
                </c:pt>
                <c:pt idx="23">
                  <c:v>-9.2289999999999997E-2</c:v>
                </c:pt>
                <c:pt idx="24">
                  <c:v>-9.8100000000000007E-2</c:v>
                </c:pt>
                <c:pt idx="25">
                  <c:v>-0.10299999999999999</c:v>
                </c:pt>
                <c:pt idx="26">
                  <c:v>-0.10667</c:v>
                </c:pt>
                <c:pt idx="27">
                  <c:v>-0.11185</c:v>
                </c:pt>
                <c:pt idx="28">
                  <c:v>-0.11491</c:v>
                </c:pt>
                <c:pt idx="29">
                  <c:v>-0.11731</c:v>
                </c:pt>
                <c:pt idx="30">
                  <c:v>-0.12134</c:v>
                </c:pt>
                <c:pt idx="31">
                  <c:v>-0.12741</c:v>
                </c:pt>
                <c:pt idx="32">
                  <c:v>-0.12884999999999999</c:v>
                </c:pt>
              </c:numCache>
            </c:numRef>
          </c:xVal>
          <c:yVal>
            <c:numRef>
              <c:f>'12A'!$O$27:$O$59</c:f>
              <c:numCache>
                <c:formatCode>0.0</c:formatCode>
                <c:ptCount val="33"/>
                <c:pt idx="0">
                  <c:v>0</c:v>
                </c:pt>
                <c:pt idx="1">
                  <c:v>5.2925992700052227</c:v>
                </c:pt>
                <c:pt idx="2">
                  <c:v>7.9746597108862476</c:v>
                </c:pt>
                <c:pt idx="3">
                  <c:v>12.158673998660646</c:v>
                </c:pt>
                <c:pt idx="4">
                  <c:v>14.912256051298497</c:v>
                </c:pt>
                <c:pt idx="5">
                  <c:v>19.167791950829727</c:v>
                </c:pt>
                <c:pt idx="6">
                  <c:v>21.992895615224402</c:v>
                </c:pt>
                <c:pt idx="7">
                  <c:v>26.176909902998805</c:v>
                </c:pt>
                <c:pt idx="8">
                  <c:v>32.828419796383741</c:v>
                </c:pt>
                <c:pt idx="9">
                  <c:v>37.334281337063864</c:v>
                </c:pt>
                <c:pt idx="10">
                  <c:v>40.552753866121101</c:v>
                </c:pt>
                <c:pt idx="11">
                  <c:v>45.165897824436456</c:v>
                </c:pt>
                <c:pt idx="12">
                  <c:v>51.495560464915677</c:v>
                </c:pt>
                <c:pt idx="13">
                  <c:v>56.859681346677732</c:v>
                </c:pt>
                <c:pt idx="14">
                  <c:v>62.402606257831849</c:v>
                </c:pt>
                <c:pt idx="15">
                  <c:v>69.554767433514584</c:v>
                </c:pt>
                <c:pt idx="16">
                  <c:v>73.84606413892422</c:v>
                </c:pt>
                <c:pt idx="17">
                  <c:v>77.42214472676558</c:v>
                </c:pt>
                <c:pt idx="18">
                  <c:v>82.607461579135574</c:v>
                </c:pt>
                <c:pt idx="19">
                  <c:v>91.082772572319612</c:v>
                </c:pt>
                <c:pt idx="20">
                  <c:v>93.979397848471109</c:v>
                </c:pt>
                <c:pt idx="21">
                  <c:v>98.091890524488676</c:v>
                </c:pt>
                <c:pt idx="22">
                  <c:v>104.171227523819</c:v>
                </c:pt>
                <c:pt idx="23">
                  <c:v>111.14458467010967</c:v>
                </c:pt>
                <c:pt idx="24">
                  <c:v>117.33120408707522</c:v>
                </c:pt>
                <c:pt idx="25">
                  <c:v>122.40923852180998</c:v>
                </c:pt>
                <c:pt idx="26">
                  <c:v>126.128362333165</c:v>
                </c:pt>
                <c:pt idx="27">
                  <c:v>131.8858520795896</c:v>
                </c:pt>
                <c:pt idx="28">
                  <c:v>135.21160702628205</c:v>
                </c:pt>
                <c:pt idx="29">
                  <c:v>137.85790666128466</c:v>
                </c:pt>
                <c:pt idx="30">
                  <c:v>142.11344256081591</c:v>
                </c:pt>
                <c:pt idx="31">
                  <c:v>148.1570187542678</c:v>
                </c:pt>
                <c:pt idx="32">
                  <c:v>149.73049421291802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FA-4A67-A9F1-A3B936307780}"/>
            </c:ext>
          </c:extLst>
        </c:ser>
        <c:ser>
          <c:idx val="0"/>
          <c:order val="1"/>
          <c:tx>
            <c:v>Def. Axial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'12A'!$M$27:$M$59</c:f>
              <c:numCache>
                <c:formatCode>0.000</c:formatCode>
                <c:ptCount val="33"/>
                <c:pt idx="0">
                  <c:v>0</c:v>
                </c:pt>
                <c:pt idx="1">
                  <c:v>1.0200000000000001E-2</c:v>
                </c:pt>
                <c:pt idx="2">
                  <c:v>2.051E-2</c:v>
                </c:pt>
                <c:pt idx="3">
                  <c:v>3.7060000000000003E-2</c:v>
                </c:pt>
                <c:pt idx="4">
                  <c:v>4.7969999999999999E-2</c:v>
                </c:pt>
                <c:pt idx="5">
                  <c:v>6.515E-2</c:v>
                </c:pt>
                <c:pt idx="6">
                  <c:v>7.6420000000000002E-2</c:v>
                </c:pt>
                <c:pt idx="7">
                  <c:v>9.2999999999999999E-2</c:v>
                </c:pt>
                <c:pt idx="8">
                  <c:v>0.11743000000000001</c:v>
                </c:pt>
                <c:pt idx="9">
                  <c:v>0.13231000000000001</c:v>
                </c:pt>
                <c:pt idx="10">
                  <c:v>0.14196</c:v>
                </c:pt>
                <c:pt idx="11">
                  <c:v>0.15551999999999999</c:v>
                </c:pt>
                <c:pt idx="12">
                  <c:v>0.17297000000000001</c:v>
                </c:pt>
                <c:pt idx="13">
                  <c:v>0.18737000000000001</c:v>
                </c:pt>
                <c:pt idx="14">
                  <c:v>0.20246</c:v>
                </c:pt>
                <c:pt idx="15">
                  <c:v>0.22178</c:v>
                </c:pt>
                <c:pt idx="16">
                  <c:v>0.23333000000000001</c:v>
                </c:pt>
                <c:pt idx="17">
                  <c:v>0.24284</c:v>
                </c:pt>
                <c:pt idx="18">
                  <c:v>0.25666</c:v>
                </c:pt>
                <c:pt idx="19">
                  <c:v>0.27844000000000002</c:v>
                </c:pt>
                <c:pt idx="20">
                  <c:v>0.28519</c:v>
                </c:pt>
                <c:pt idx="21">
                  <c:v>0.29535</c:v>
                </c:pt>
                <c:pt idx="22">
                  <c:v>0.31023000000000001</c:v>
                </c:pt>
                <c:pt idx="23">
                  <c:v>0.32734000000000002</c:v>
                </c:pt>
                <c:pt idx="24">
                  <c:v>0.34377999999999997</c:v>
                </c:pt>
                <c:pt idx="25">
                  <c:v>0.35719000000000001</c:v>
                </c:pt>
                <c:pt idx="26">
                  <c:v>0.36686000000000002</c:v>
                </c:pt>
                <c:pt idx="27">
                  <c:v>0.38012000000000001</c:v>
                </c:pt>
                <c:pt idx="28">
                  <c:v>0.38773000000000002</c:v>
                </c:pt>
                <c:pt idx="29">
                  <c:v>0.39352999999999999</c:v>
                </c:pt>
                <c:pt idx="30">
                  <c:v>0.40343000000000001</c:v>
                </c:pt>
                <c:pt idx="31">
                  <c:v>0.41798999999999997</c:v>
                </c:pt>
                <c:pt idx="32">
                  <c:v>0.42148999999999998</c:v>
                </c:pt>
              </c:numCache>
            </c:numRef>
          </c:xVal>
          <c:yVal>
            <c:numRef>
              <c:f>'12A'!$O$27:$O$59</c:f>
              <c:numCache>
                <c:formatCode>0.0</c:formatCode>
                <c:ptCount val="33"/>
                <c:pt idx="0">
                  <c:v>0</c:v>
                </c:pt>
                <c:pt idx="1">
                  <c:v>5.2925992700052227</c:v>
                </c:pt>
                <c:pt idx="2">
                  <c:v>7.9746597108862476</c:v>
                </c:pt>
                <c:pt idx="3">
                  <c:v>12.158673998660646</c:v>
                </c:pt>
                <c:pt idx="4">
                  <c:v>14.912256051298497</c:v>
                </c:pt>
                <c:pt idx="5">
                  <c:v>19.167791950829727</c:v>
                </c:pt>
                <c:pt idx="6">
                  <c:v>21.992895615224402</c:v>
                </c:pt>
                <c:pt idx="7">
                  <c:v>26.176909902998805</c:v>
                </c:pt>
                <c:pt idx="8">
                  <c:v>32.828419796383741</c:v>
                </c:pt>
                <c:pt idx="9">
                  <c:v>37.334281337063864</c:v>
                </c:pt>
                <c:pt idx="10">
                  <c:v>40.552753866121101</c:v>
                </c:pt>
                <c:pt idx="11">
                  <c:v>45.165897824436456</c:v>
                </c:pt>
                <c:pt idx="12">
                  <c:v>51.495560464915677</c:v>
                </c:pt>
                <c:pt idx="13">
                  <c:v>56.859681346677732</c:v>
                </c:pt>
                <c:pt idx="14">
                  <c:v>62.402606257831849</c:v>
                </c:pt>
                <c:pt idx="15">
                  <c:v>69.554767433514584</c:v>
                </c:pt>
                <c:pt idx="16">
                  <c:v>73.84606413892422</c:v>
                </c:pt>
                <c:pt idx="17">
                  <c:v>77.42214472676558</c:v>
                </c:pt>
                <c:pt idx="18">
                  <c:v>82.607461579135574</c:v>
                </c:pt>
                <c:pt idx="19">
                  <c:v>91.082772572319612</c:v>
                </c:pt>
                <c:pt idx="20">
                  <c:v>93.979397848471109</c:v>
                </c:pt>
                <c:pt idx="21">
                  <c:v>98.091890524488676</c:v>
                </c:pt>
                <c:pt idx="22">
                  <c:v>104.171227523819</c:v>
                </c:pt>
                <c:pt idx="23">
                  <c:v>111.14458467010967</c:v>
                </c:pt>
                <c:pt idx="24">
                  <c:v>117.33120408707522</c:v>
                </c:pt>
                <c:pt idx="25">
                  <c:v>122.40923852180998</c:v>
                </c:pt>
                <c:pt idx="26">
                  <c:v>126.128362333165</c:v>
                </c:pt>
                <c:pt idx="27">
                  <c:v>131.8858520795896</c:v>
                </c:pt>
                <c:pt idx="28">
                  <c:v>135.21160702628205</c:v>
                </c:pt>
                <c:pt idx="29">
                  <c:v>137.85790666128466</c:v>
                </c:pt>
                <c:pt idx="30">
                  <c:v>142.11344256081591</c:v>
                </c:pt>
                <c:pt idx="31">
                  <c:v>148.1570187542678</c:v>
                </c:pt>
                <c:pt idx="32">
                  <c:v>149.73049421291802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FA-4A67-A9F1-A3B936307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283104"/>
        <c:axId val="146286912"/>
      </c:scatterChart>
      <c:valAx>
        <c:axId val="1462831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L" sz="11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Deformación Unitaria</a:t>
                </a:r>
                <a:r>
                  <a:rPr lang="es-CL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[%]</a:t>
                </a:r>
              </a:p>
            </c:rich>
          </c:tx>
          <c:layout>
            <c:manualLayout>
              <c:xMode val="edge"/>
              <c:yMode val="edge"/>
              <c:x val="0.36513833960800146"/>
              <c:y val="0.866757072032662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46286912"/>
        <c:crossesAt val="0"/>
        <c:crossBetween val="midCat"/>
      </c:valAx>
      <c:valAx>
        <c:axId val="146286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Axial D50 ( MPa )</a:t>
                </a:r>
              </a:p>
            </c:rich>
          </c:tx>
          <c:layout>
            <c:manualLayout>
              <c:xMode val="edge"/>
              <c:yMode val="edge"/>
              <c:x val="1.056202816276927E-2"/>
              <c:y val="0.2388057742782151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46283104"/>
        <c:crossesAt val="0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2742366480208179"/>
          <c:y val="0.93395401963643465"/>
          <c:w val="0.31837040731899557"/>
          <c:h val="5.7937688344512614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12700">
      <a:solidFill>
        <a:srgbClr val="8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0000000000001" r="0.750000000000001" t="1" header="0" footer="0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1100"/>
              <a:t>Gráfico: Tensión-Deformación
</a:t>
            </a:r>
          </a:p>
        </c:rich>
      </c:tx>
      <c:layout>
        <c:manualLayout>
          <c:xMode val="edge"/>
          <c:yMode val="edge"/>
          <c:x val="0.32994184165871665"/>
          <c:y val="1.44293288604878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6390027038475477E-2"/>
          <c:y val="0.18621220958491336"/>
          <c:w val="0.88872123726895624"/>
          <c:h val="0.60255095141559634"/>
        </c:manualLayout>
      </c:layout>
      <c:scatterChart>
        <c:scatterStyle val="smoothMarker"/>
        <c:varyColors val="0"/>
        <c:ser>
          <c:idx val="0"/>
          <c:order val="0"/>
          <c:tx>
            <c:v>Def. Lateral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'12B'!$L$27:$L$59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-8.1999999999999998E-4</c:v>
                </c:pt>
                <c:pt idx="3">
                  <c:v>-1.97E-3</c:v>
                </c:pt>
                <c:pt idx="4">
                  <c:v>-3.0899999999999999E-3</c:v>
                </c:pt>
                <c:pt idx="5">
                  <c:v>-3.7299999999999998E-3</c:v>
                </c:pt>
                <c:pt idx="6">
                  <c:v>-3.8400000000000001E-3</c:v>
                </c:pt>
                <c:pt idx="7">
                  <c:v>-4.2199999999999998E-3</c:v>
                </c:pt>
                <c:pt idx="8">
                  <c:v>-5.0299999999999997E-3</c:v>
                </c:pt>
                <c:pt idx="9">
                  <c:v>-5.94E-3</c:v>
                </c:pt>
                <c:pt idx="10">
                  <c:v>-8.09E-3</c:v>
                </c:pt>
                <c:pt idx="11">
                  <c:v>-9.3100000000000006E-3</c:v>
                </c:pt>
                <c:pt idx="12">
                  <c:v>-1.1310000000000001E-2</c:v>
                </c:pt>
                <c:pt idx="13">
                  <c:v>-1.281E-2</c:v>
                </c:pt>
                <c:pt idx="14">
                  <c:v>-1.423E-2</c:v>
                </c:pt>
                <c:pt idx="15">
                  <c:v>-1.6879999999999999E-2</c:v>
                </c:pt>
                <c:pt idx="16">
                  <c:v>-1.9060000000000001E-2</c:v>
                </c:pt>
                <c:pt idx="17">
                  <c:v>-2.3730000000000001E-2</c:v>
                </c:pt>
                <c:pt idx="18">
                  <c:v>-2.5080000000000002E-2</c:v>
                </c:pt>
                <c:pt idx="19">
                  <c:v>-2.6700000000000002E-2</c:v>
                </c:pt>
                <c:pt idx="20">
                  <c:v>-2.8969999999999999E-2</c:v>
                </c:pt>
                <c:pt idx="21">
                  <c:v>-3.0280000000000001E-2</c:v>
                </c:pt>
                <c:pt idx="22">
                  <c:v>-3.2390000000000002E-2</c:v>
                </c:pt>
                <c:pt idx="23">
                  <c:v>-3.4439999999999998E-2</c:v>
                </c:pt>
                <c:pt idx="24">
                  <c:v>-3.7269999999999998E-2</c:v>
                </c:pt>
                <c:pt idx="25">
                  <c:v>-4.1169999999999998E-2</c:v>
                </c:pt>
                <c:pt idx="26">
                  <c:v>-4.3909999999999998E-2</c:v>
                </c:pt>
                <c:pt idx="27">
                  <c:v>-4.6420000000000003E-2</c:v>
                </c:pt>
                <c:pt idx="28">
                  <c:v>-5.1090000000000003E-2</c:v>
                </c:pt>
                <c:pt idx="29">
                  <c:v>-5.5480000000000002E-2</c:v>
                </c:pt>
                <c:pt idx="30">
                  <c:v>-6.3719999999999999E-2</c:v>
                </c:pt>
                <c:pt idx="31">
                  <c:v>-7.2639999999999996E-2</c:v>
                </c:pt>
                <c:pt idx="32">
                  <c:v>-7.7799999999999994E-2</c:v>
                </c:pt>
              </c:numCache>
            </c:numRef>
          </c:xVal>
          <c:yVal>
            <c:numRef>
              <c:f>'12B'!$O$27:$O$59</c:f>
              <c:numCache>
                <c:formatCode>0.0</c:formatCode>
                <c:ptCount val="33"/>
                <c:pt idx="0">
                  <c:v>0</c:v>
                </c:pt>
                <c:pt idx="1">
                  <c:v>5.644023229224846</c:v>
                </c:pt>
                <c:pt idx="2">
                  <c:v>9.9663448161628629</c:v>
                </c:pt>
                <c:pt idx="3">
                  <c:v>17.646503007829587</c:v>
                </c:pt>
                <c:pt idx="4">
                  <c:v>25.005166205426534</c:v>
                </c:pt>
                <c:pt idx="5">
                  <c:v>27.434239493953648</c:v>
                </c:pt>
                <c:pt idx="6">
                  <c:v>31.042127760736658</c:v>
                </c:pt>
                <c:pt idx="7">
                  <c:v>35.114397685620403</c:v>
                </c:pt>
                <c:pt idx="8">
                  <c:v>41.044194242907274</c:v>
                </c:pt>
                <c:pt idx="9">
                  <c:v>44.616360843682486</c:v>
                </c:pt>
                <c:pt idx="10">
                  <c:v>50.689044065000367</c:v>
                </c:pt>
                <c:pt idx="11">
                  <c:v>53.582499011628286</c:v>
                </c:pt>
                <c:pt idx="12">
                  <c:v>58.226315592636077</c:v>
                </c:pt>
                <c:pt idx="13">
                  <c:v>61.619873863372526</c:v>
                </c:pt>
                <c:pt idx="14">
                  <c:v>64.834823804070226</c:v>
                </c:pt>
                <c:pt idx="15">
                  <c:v>70.193073705233061</c:v>
                </c:pt>
                <c:pt idx="16">
                  <c:v>74.515395292171064</c:v>
                </c:pt>
                <c:pt idx="17">
                  <c:v>83.160038466047084</c:v>
                </c:pt>
                <c:pt idx="18">
                  <c:v>85.553390088566488</c:v>
                </c:pt>
                <c:pt idx="19">
                  <c:v>88.446845035194428</c:v>
                </c:pt>
                <c:pt idx="20">
                  <c:v>92.376228296047188</c:v>
                </c:pt>
                <c:pt idx="21">
                  <c:v>94.626693254535567</c:v>
                </c:pt>
                <c:pt idx="22">
                  <c:v>98.306024853334037</c:v>
                </c:pt>
                <c:pt idx="23">
                  <c:v>101.66386145806271</c:v>
                </c:pt>
                <c:pt idx="24">
                  <c:v>106.20051304104727</c:v>
                </c:pt>
                <c:pt idx="25">
                  <c:v>112.09458793232638</c:v>
                </c:pt>
                <c:pt idx="26">
                  <c:v>115.98824952717136</c:v>
                </c:pt>
                <c:pt idx="27">
                  <c:v>119.41752946391559</c:v>
                </c:pt>
                <c:pt idx="28">
                  <c:v>125.41876935321793</c:v>
                </c:pt>
                <c:pt idx="29">
                  <c:v>130.66985425635752</c:v>
                </c:pt>
                <c:pt idx="30">
                  <c:v>135.95666082550483</c:v>
                </c:pt>
                <c:pt idx="31">
                  <c:v>139.17161076620255</c:v>
                </c:pt>
                <c:pt idx="32">
                  <c:v>139.77887908833432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C4-4994-9D84-78A577F65C3D}"/>
            </c:ext>
          </c:extLst>
        </c:ser>
        <c:ser>
          <c:idx val="0"/>
          <c:order val="1"/>
          <c:tx>
            <c:v>Def. Axial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'12B'!$M$27:$M$59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4.8199999999999996E-3</c:v>
                </c:pt>
                <c:pt idx="3">
                  <c:v>1.1429999999999999E-2</c:v>
                </c:pt>
                <c:pt idx="4">
                  <c:v>1.7659999999999999E-2</c:v>
                </c:pt>
                <c:pt idx="5">
                  <c:v>2.0830000000000001E-2</c:v>
                </c:pt>
                <c:pt idx="6">
                  <c:v>2.351E-2</c:v>
                </c:pt>
                <c:pt idx="7">
                  <c:v>2.7959999999999999E-2</c:v>
                </c:pt>
                <c:pt idx="8">
                  <c:v>3.5060000000000001E-2</c:v>
                </c:pt>
                <c:pt idx="9">
                  <c:v>4.027E-2</c:v>
                </c:pt>
                <c:pt idx="10">
                  <c:v>5.0259999999999999E-2</c:v>
                </c:pt>
                <c:pt idx="11">
                  <c:v>5.5480000000000002E-2</c:v>
                </c:pt>
                <c:pt idx="12">
                  <c:v>6.3969999999999999E-2</c:v>
                </c:pt>
                <c:pt idx="13">
                  <c:v>7.0370000000000002E-2</c:v>
                </c:pt>
                <c:pt idx="14">
                  <c:v>7.6509999999999995E-2</c:v>
                </c:pt>
                <c:pt idx="15">
                  <c:v>8.7349999999999997E-2</c:v>
                </c:pt>
                <c:pt idx="16">
                  <c:v>9.6159999999999995E-2</c:v>
                </c:pt>
                <c:pt idx="17">
                  <c:v>0.11434999999999999</c:v>
                </c:pt>
                <c:pt idx="18">
                  <c:v>0.11952</c:v>
                </c:pt>
                <c:pt idx="19">
                  <c:v>0.12570999999999999</c:v>
                </c:pt>
                <c:pt idx="20">
                  <c:v>0.13425999999999999</c:v>
                </c:pt>
                <c:pt idx="21">
                  <c:v>0.13913</c:v>
                </c:pt>
                <c:pt idx="22">
                  <c:v>0.14693999999999999</c:v>
                </c:pt>
                <c:pt idx="23">
                  <c:v>0.15425</c:v>
                </c:pt>
                <c:pt idx="24">
                  <c:v>0.16400999999999999</c:v>
                </c:pt>
                <c:pt idx="25">
                  <c:v>0.17712</c:v>
                </c:pt>
                <c:pt idx="26">
                  <c:v>0.18626000000000001</c:v>
                </c:pt>
                <c:pt idx="27">
                  <c:v>0.19453999999999999</c:v>
                </c:pt>
                <c:pt idx="28">
                  <c:v>0.20945</c:v>
                </c:pt>
                <c:pt idx="29">
                  <c:v>0.22217999999999999</c:v>
                </c:pt>
                <c:pt idx="30">
                  <c:v>0.24274000000000001</c:v>
                </c:pt>
                <c:pt idx="31">
                  <c:v>0.26379000000000002</c:v>
                </c:pt>
                <c:pt idx="32">
                  <c:v>0.26578000000000002</c:v>
                </c:pt>
              </c:numCache>
            </c:numRef>
          </c:xVal>
          <c:yVal>
            <c:numRef>
              <c:f>'12B'!$O$27:$O$59</c:f>
              <c:numCache>
                <c:formatCode>0.0</c:formatCode>
                <c:ptCount val="33"/>
                <c:pt idx="0">
                  <c:v>0</c:v>
                </c:pt>
                <c:pt idx="1">
                  <c:v>5.644023229224846</c:v>
                </c:pt>
                <c:pt idx="2">
                  <c:v>9.9663448161628629</c:v>
                </c:pt>
                <c:pt idx="3">
                  <c:v>17.646503007829587</c:v>
                </c:pt>
                <c:pt idx="4">
                  <c:v>25.005166205426534</c:v>
                </c:pt>
                <c:pt idx="5">
                  <c:v>27.434239493953648</c:v>
                </c:pt>
                <c:pt idx="6">
                  <c:v>31.042127760736658</c:v>
                </c:pt>
                <c:pt idx="7">
                  <c:v>35.114397685620403</c:v>
                </c:pt>
                <c:pt idx="8">
                  <c:v>41.044194242907274</c:v>
                </c:pt>
                <c:pt idx="9">
                  <c:v>44.616360843682486</c:v>
                </c:pt>
                <c:pt idx="10">
                  <c:v>50.689044065000367</c:v>
                </c:pt>
                <c:pt idx="11">
                  <c:v>53.582499011628286</c:v>
                </c:pt>
                <c:pt idx="12">
                  <c:v>58.226315592636077</c:v>
                </c:pt>
                <c:pt idx="13">
                  <c:v>61.619873863372526</c:v>
                </c:pt>
                <c:pt idx="14">
                  <c:v>64.834823804070226</c:v>
                </c:pt>
                <c:pt idx="15">
                  <c:v>70.193073705233061</c:v>
                </c:pt>
                <c:pt idx="16">
                  <c:v>74.515395292171064</c:v>
                </c:pt>
                <c:pt idx="17">
                  <c:v>83.160038466047084</c:v>
                </c:pt>
                <c:pt idx="18">
                  <c:v>85.553390088566488</c:v>
                </c:pt>
                <c:pt idx="19">
                  <c:v>88.446845035194428</c:v>
                </c:pt>
                <c:pt idx="20">
                  <c:v>92.376228296047188</c:v>
                </c:pt>
                <c:pt idx="21">
                  <c:v>94.626693254535567</c:v>
                </c:pt>
                <c:pt idx="22">
                  <c:v>98.306024853334037</c:v>
                </c:pt>
                <c:pt idx="23">
                  <c:v>101.66386145806271</c:v>
                </c:pt>
                <c:pt idx="24">
                  <c:v>106.20051304104727</c:v>
                </c:pt>
                <c:pt idx="25">
                  <c:v>112.09458793232638</c:v>
                </c:pt>
                <c:pt idx="26">
                  <c:v>115.98824952717136</c:v>
                </c:pt>
                <c:pt idx="27">
                  <c:v>119.41752946391559</c:v>
                </c:pt>
                <c:pt idx="28">
                  <c:v>125.41876935321793</c:v>
                </c:pt>
                <c:pt idx="29">
                  <c:v>130.66985425635752</c:v>
                </c:pt>
                <c:pt idx="30">
                  <c:v>135.95666082550483</c:v>
                </c:pt>
                <c:pt idx="31">
                  <c:v>139.17161076620255</c:v>
                </c:pt>
                <c:pt idx="32">
                  <c:v>139.77887908833432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C4-4994-9D84-78A577F65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283104"/>
        <c:axId val="146286912"/>
      </c:scatterChart>
      <c:valAx>
        <c:axId val="1462831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L" sz="11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Deformación Unitaria</a:t>
                </a:r>
                <a:r>
                  <a:rPr lang="es-CL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[%]</a:t>
                </a:r>
              </a:p>
            </c:rich>
          </c:tx>
          <c:layout>
            <c:manualLayout>
              <c:xMode val="edge"/>
              <c:yMode val="edge"/>
              <c:x val="0.36513833960800146"/>
              <c:y val="0.866757072032662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46286912"/>
        <c:crossesAt val="0"/>
        <c:crossBetween val="midCat"/>
      </c:valAx>
      <c:valAx>
        <c:axId val="146286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Axial D50 ( MPa )</a:t>
                </a:r>
              </a:p>
            </c:rich>
          </c:tx>
          <c:layout>
            <c:manualLayout>
              <c:xMode val="edge"/>
              <c:yMode val="edge"/>
              <c:x val="1.056202816276927E-2"/>
              <c:y val="0.2388057742782151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46283104"/>
        <c:crossesAt val="0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2742366480208179"/>
          <c:y val="0.93395401963643465"/>
          <c:w val="0.31837040731899557"/>
          <c:h val="5.7937688344512614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12700">
      <a:solidFill>
        <a:srgbClr val="8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0000000000001" r="0.750000000000001" t="1" header="0" footer="0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1100"/>
              <a:t>Gráfico: Tensión-Deformación
</a:t>
            </a:r>
          </a:p>
        </c:rich>
      </c:tx>
      <c:layout>
        <c:manualLayout>
          <c:xMode val="edge"/>
          <c:yMode val="edge"/>
          <c:x val="0.32994184165871665"/>
          <c:y val="1.44293288604878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6390027038475477E-2"/>
          <c:y val="0.18621220958491336"/>
          <c:w val="0.88872123726895624"/>
          <c:h val="0.60255095141559634"/>
        </c:manualLayout>
      </c:layout>
      <c:scatterChart>
        <c:scatterStyle val="smoothMarker"/>
        <c:varyColors val="0"/>
        <c:ser>
          <c:idx val="0"/>
          <c:order val="0"/>
          <c:tx>
            <c:v>Def. Lateral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'12C'!$L$27:$L$59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-3.3500000000000001E-3</c:v>
                </c:pt>
                <c:pt idx="3">
                  <c:v>-5.4999999999999997E-3</c:v>
                </c:pt>
                <c:pt idx="4">
                  <c:v>-6.9499999999999996E-3</c:v>
                </c:pt>
                <c:pt idx="5">
                  <c:v>-1.06E-2</c:v>
                </c:pt>
                <c:pt idx="6">
                  <c:v>-1.2800000000000001E-2</c:v>
                </c:pt>
                <c:pt idx="7">
                  <c:v>-1.6209999999999999E-2</c:v>
                </c:pt>
                <c:pt idx="8">
                  <c:v>-1.8270000000000002E-2</c:v>
                </c:pt>
                <c:pt idx="9">
                  <c:v>-2.0879999999999999E-2</c:v>
                </c:pt>
                <c:pt idx="10">
                  <c:v>-2.5760000000000002E-2</c:v>
                </c:pt>
                <c:pt idx="11">
                  <c:v>-2.9149999999999999E-2</c:v>
                </c:pt>
                <c:pt idx="12">
                  <c:v>-3.4439999999999998E-2</c:v>
                </c:pt>
                <c:pt idx="13">
                  <c:v>-3.7420000000000002E-2</c:v>
                </c:pt>
                <c:pt idx="14">
                  <c:v>-4.0210000000000003E-2</c:v>
                </c:pt>
                <c:pt idx="15">
                  <c:v>-4.4540000000000003E-2</c:v>
                </c:pt>
                <c:pt idx="16">
                  <c:v>-4.8439999999999997E-2</c:v>
                </c:pt>
                <c:pt idx="17">
                  <c:v>-5.0750000000000003E-2</c:v>
                </c:pt>
                <c:pt idx="18">
                  <c:v>-5.3960000000000001E-2</c:v>
                </c:pt>
                <c:pt idx="19">
                  <c:v>-5.6820000000000002E-2</c:v>
                </c:pt>
                <c:pt idx="20">
                  <c:v>-6.0069999999999998E-2</c:v>
                </c:pt>
                <c:pt idx="21">
                  <c:v>-6.3729999999999995E-2</c:v>
                </c:pt>
                <c:pt idx="22">
                  <c:v>-6.9169999999999995E-2</c:v>
                </c:pt>
                <c:pt idx="23">
                  <c:v>-7.3139999999999997E-2</c:v>
                </c:pt>
                <c:pt idx="24">
                  <c:v>-7.8820000000000001E-2</c:v>
                </c:pt>
                <c:pt idx="25">
                  <c:v>-8.3559999999999995E-2</c:v>
                </c:pt>
                <c:pt idx="26">
                  <c:v>-8.8779999999999998E-2</c:v>
                </c:pt>
                <c:pt idx="27">
                  <c:v>-9.2749999999999999E-2</c:v>
                </c:pt>
                <c:pt idx="28">
                  <c:v>-9.6939999999999998E-2</c:v>
                </c:pt>
                <c:pt idx="29">
                  <c:v>-0.10181999999999999</c:v>
                </c:pt>
                <c:pt idx="30">
                  <c:v>-0.10919</c:v>
                </c:pt>
                <c:pt idx="31">
                  <c:v>-0.11394</c:v>
                </c:pt>
                <c:pt idx="32">
                  <c:v>-0.12066</c:v>
                </c:pt>
              </c:numCache>
            </c:numRef>
          </c:xVal>
          <c:yVal>
            <c:numRef>
              <c:f>'12C'!$O$27:$O$59</c:f>
              <c:numCache>
                <c:formatCode>0.0</c:formatCode>
                <c:ptCount val="33"/>
                <c:pt idx="0">
                  <c:v>0</c:v>
                </c:pt>
                <c:pt idx="1">
                  <c:v>7.8230448556977299</c:v>
                </c:pt>
                <c:pt idx="2">
                  <c:v>17.753668005852838</c:v>
                </c:pt>
                <c:pt idx="3">
                  <c:v>23.469134567093185</c:v>
                </c:pt>
                <c:pt idx="4">
                  <c:v>26.969857835852906</c:v>
                </c:pt>
                <c:pt idx="5">
                  <c:v>35.257284349651414</c:v>
                </c:pt>
                <c:pt idx="6">
                  <c:v>40.079709260697953</c:v>
                </c:pt>
                <c:pt idx="7">
                  <c:v>47.366929126279054</c:v>
                </c:pt>
                <c:pt idx="8">
                  <c:v>51.582085715194161</c:v>
                </c:pt>
                <c:pt idx="9">
                  <c:v>56.654562288294976</c:v>
                </c:pt>
                <c:pt idx="10">
                  <c:v>65.477813792209773</c:v>
                </c:pt>
                <c:pt idx="11">
                  <c:v>71.19328035345012</c:v>
                </c:pt>
                <c:pt idx="12">
                  <c:v>79.766480195310649</c:v>
                </c:pt>
                <c:pt idx="13">
                  <c:v>84.410296776318432</c:v>
                </c:pt>
                <c:pt idx="14">
                  <c:v>88.696896697248704</c:v>
                </c:pt>
                <c:pt idx="15">
                  <c:v>95.162518244651494</c:v>
                </c:pt>
                <c:pt idx="16">
                  <c:v>101.02087146992316</c:v>
                </c:pt>
                <c:pt idx="17">
                  <c:v>104.41442974065964</c:v>
                </c:pt>
                <c:pt idx="18">
                  <c:v>109.20113298569845</c:v>
                </c:pt>
                <c:pt idx="19">
                  <c:v>113.23768124457445</c:v>
                </c:pt>
                <c:pt idx="20">
                  <c:v>117.45283783348918</c:v>
                </c:pt>
                <c:pt idx="21">
                  <c:v>122.02521108248148</c:v>
                </c:pt>
                <c:pt idx="22">
                  <c:v>128.41938929786912</c:v>
                </c:pt>
                <c:pt idx="23">
                  <c:v>133.17037087690014</c:v>
                </c:pt>
                <c:pt idx="24">
                  <c:v>140.02893075038861</c:v>
                </c:pt>
                <c:pt idx="25">
                  <c:v>145.67295397961342</c:v>
                </c:pt>
                <c:pt idx="26">
                  <c:v>151.56702887089253</c:v>
                </c:pt>
                <c:pt idx="27">
                  <c:v>155.38924713372205</c:v>
                </c:pt>
                <c:pt idx="28">
                  <c:v>158.78280540445849</c:v>
                </c:pt>
                <c:pt idx="29">
                  <c:v>164.96265362379961</c:v>
                </c:pt>
                <c:pt idx="30">
                  <c:v>173.25008013759813</c:v>
                </c:pt>
                <c:pt idx="31">
                  <c:v>177.14374173244312</c:v>
                </c:pt>
                <c:pt idx="32">
                  <c:v>177.53668005852839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50-492A-A473-95383852196A}"/>
            </c:ext>
          </c:extLst>
        </c:ser>
        <c:ser>
          <c:idx val="0"/>
          <c:order val="1"/>
          <c:tx>
            <c:v>Def. Axial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'12C'!$M$27:$M$59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1.3469999999999999E-2</c:v>
                </c:pt>
                <c:pt idx="3">
                  <c:v>2.29E-2</c:v>
                </c:pt>
                <c:pt idx="4">
                  <c:v>2.9000000000000001E-2</c:v>
                </c:pt>
                <c:pt idx="5">
                  <c:v>4.4290000000000003E-2</c:v>
                </c:pt>
                <c:pt idx="6">
                  <c:v>5.3460000000000001E-2</c:v>
                </c:pt>
                <c:pt idx="7">
                  <c:v>6.7559999999999995E-2</c:v>
                </c:pt>
                <c:pt idx="8">
                  <c:v>7.5939999999999994E-2</c:v>
                </c:pt>
                <c:pt idx="9">
                  <c:v>8.6430000000000007E-2</c:v>
                </c:pt>
                <c:pt idx="10">
                  <c:v>0.10574</c:v>
                </c:pt>
                <c:pt idx="11">
                  <c:v>0.11894</c:v>
                </c:pt>
                <c:pt idx="12">
                  <c:v>0.13930999999999999</c:v>
                </c:pt>
                <c:pt idx="13">
                  <c:v>0.15060000000000001</c:v>
                </c:pt>
                <c:pt idx="14">
                  <c:v>0.16108</c:v>
                </c:pt>
                <c:pt idx="15">
                  <c:v>0.17721000000000001</c:v>
                </c:pt>
                <c:pt idx="16">
                  <c:v>0.19161</c:v>
                </c:pt>
                <c:pt idx="17">
                  <c:v>0.20008000000000001</c:v>
                </c:pt>
                <c:pt idx="18">
                  <c:v>0.21185000000000001</c:v>
                </c:pt>
                <c:pt idx="19">
                  <c:v>0.22214999999999999</c:v>
                </c:pt>
                <c:pt idx="20">
                  <c:v>0.23372999999999999</c:v>
                </c:pt>
                <c:pt idx="21">
                  <c:v>0.24668000000000001</c:v>
                </c:pt>
                <c:pt idx="22">
                  <c:v>0.26556000000000002</c:v>
                </c:pt>
                <c:pt idx="23">
                  <c:v>0.27909</c:v>
                </c:pt>
                <c:pt idx="24">
                  <c:v>0.29803000000000002</c:v>
                </c:pt>
                <c:pt idx="25">
                  <c:v>0.31353999999999999</c:v>
                </c:pt>
                <c:pt idx="26">
                  <c:v>0.32973000000000002</c:v>
                </c:pt>
                <c:pt idx="27">
                  <c:v>0.34281</c:v>
                </c:pt>
                <c:pt idx="28">
                  <c:v>0.35294999999999999</c:v>
                </c:pt>
                <c:pt idx="29">
                  <c:v>0.36303999999999997</c:v>
                </c:pt>
                <c:pt idx="30">
                  <c:v>0.38922000000000001</c:v>
                </c:pt>
                <c:pt idx="31">
                  <c:v>0.40182000000000001</c:v>
                </c:pt>
                <c:pt idx="32">
                  <c:v>0.41188999999999998</c:v>
                </c:pt>
              </c:numCache>
            </c:numRef>
          </c:xVal>
          <c:yVal>
            <c:numRef>
              <c:f>'12C'!$O$27:$O$59</c:f>
              <c:numCache>
                <c:formatCode>0.0</c:formatCode>
                <c:ptCount val="33"/>
                <c:pt idx="0">
                  <c:v>0</c:v>
                </c:pt>
                <c:pt idx="1">
                  <c:v>7.8230448556977299</c:v>
                </c:pt>
                <c:pt idx="2">
                  <c:v>17.753668005852838</c:v>
                </c:pt>
                <c:pt idx="3">
                  <c:v>23.469134567093185</c:v>
                </c:pt>
                <c:pt idx="4">
                  <c:v>26.969857835852906</c:v>
                </c:pt>
                <c:pt idx="5">
                  <c:v>35.257284349651414</c:v>
                </c:pt>
                <c:pt idx="6">
                  <c:v>40.079709260697953</c:v>
                </c:pt>
                <c:pt idx="7">
                  <c:v>47.366929126279054</c:v>
                </c:pt>
                <c:pt idx="8">
                  <c:v>51.582085715194161</c:v>
                </c:pt>
                <c:pt idx="9">
                  <c:v>56.654562288294976</c:v>
                </c:pt>
                <c:pt idx="10">
                  <c:v>65.477813792209773</c:v>
                </c:pt>
                <c:pt idx="11">
                  <c:v>71.19328035345012</c:v>
                </c:pt>
                <c:pt idx="12">
                  <c:v>79.766480195310649</c:v>
                </c:pt>
                <c:pt idx="13">
                  <c:v>84.410296776318432</c:v>
                </c:pt>
                <c:pt idx="14">
                  <c:v>88.696896697248704</c:v>
                </c:pt>
                <c:pt idx="15">
                  <c:v>95.162518244651494</c:v>
                </c:pt>
                <c:pt idx="16">
                  <c:v>101.02087146992316</c:v>
                </c:pt>
                <c:pt idx="17">
                  <c:v>104.41442974065964</c:v>
                </c:pt>
                <c:pt idx="18">
                  <c:v>109.20113298569845</c:v>
                </c:pt>
                <c:pt idx="19">
                  <c:v>113.23768124457445</c:v>
                </c:pt>
                <c:pt idx="20">
                  <c:v>117.45283783348918</c:v>
                </c:pt>
                <c:pt idx="21">
                  <c:v>122.02521108248148</c:v>
                </c:pt>
                <c:pt idx="22">
                  <c:v>128.41938929786912</c:v>
                </c:pt>
                <c:pt idx="23">
                  <c:v>133.17037087690014</c:v>
                </c:pt>
                <c:pt idx="24">
                  <c:v>140.02893075038861</c:v>
                </c:pt>
                <c:pt idx="25">
                  <c:v>145.67295397961342</c:v>
                </c:pt>
                <c:pt idx="26">
                  <c:v>151.56702887089253</c:v>
                </c:pt>
                <c:pt idx="27">
                  <c:v>155.38924713372205</c:v>
                </c:pt>
                <c:pt idx="28">
                  <c:v>158.78280540445849</c:v>
                </c:pt>
                <c:pt idx="29">
                  <c:v>164.96265362379961</c:v>
                </c:pt>
                <c:pt idx="30">
                  <c:v>173.25008013759813</c:v>
                </c:pt>
                <c:pt idx="31">
                  <c:v>177.14374173244312</c:v>
                </c:pt>
                <c:pt idx="32">
                  <c:v>177.53668005852839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50-492A-A473-953838521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283104"/>
        <c:axId val="146286912"/>
      </c:scatterChart>
      <c:valAx>
        <c:axId val="14628310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L" sz="11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Deformación Unitaria</a:t>
                </a:r>
                <a:r>
                  <a:rPr lang="es-CL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[%]</a:t>
                </a:r>
              </a:p>
            </c:rich>
          </c:tx>
          <c:layout>
            <c:manualLayout>
              <c:xMode val="edge"/>
              <c:yMode val="edge"/>
              <c:x val="0.36513833960800146"/>
              <c:y val="0.866757072032662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46286912"/>
        <c:crossesAt val="0"/>
        <c:crossBetween val="midCat"/>
      </c:valAx>
      <c:valAx>
        <c:axId val="146286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Tensión Axial D50 ( MPa )</a:t>
                </a:r>
              </a:p>
            </c:rich>
          </c:tx>
          <c:layout>
            <c:manualLayout>
              <c:xMode val="edge"/>
              <c:yMode val="edge"/>
              <c:x val="1.056202816276927E-2"/>
              <c:y val="0.2388057742782151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46283104"/>
        <c:crossesAt val="0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2742366480208179"/>
          <c:y val="0.93395401963643465"/>
          <c:w val="0.31837040731899557"/>
          <c:h val="5.7937688344512614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noFill/>
    <a:ln w="12700">
      <a:solidFill>
        <a:srgbClr val="8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0000000000001" r="0.750000000000001" t="1" header="0" footer="0"/>
    <c:pageSetup paperSize="9" orientation="landscape" horizontalDpi="300" verticalDpi="300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7" Type="http://schemas.openxmlformats.org/officeDocument/2006/relationships/image" Target="../media/image6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6" Type="http://schemas.openxmlformats.org/officeDocument/2006/relationships/image" Target="../media/image5.jpeg"/><Relationship Id="rId5" Type="http://schemas.openxmlformats.org/officeDocument/2006/relationships/image" Target="../media/image4.jpeg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7" Type="http://schemas.openxmlformats.org/officeDocument/2006/relationships/image" Target="../media/image12.jpeg"/><Relationship Id="rId2" Type="http://schemas.openxmlformats.org/officeDocument/2006/relationships/image" Target="../media/image7.jpeg"/><Relationship Id="rId1" Type="http://schemas.openxmlformats.org/officeDocument/2006/relationships/chart" Target="../charts/chart2.xml"/><Relationship Id="rId6" Type="http://schemas.openxmlformats.org/officeDocument/2006/relationships/image" Target="../media/image11.jpeg"/><Relationship Id="rId5" Type="http://schemas.openxmlformats.org/officeDocument/2006/relationships/image" Target="../media/image10.jpeg"/><Relationship Id="rId4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7" Type="http://schemas.openxmlformats.org/officeDocument/2006/relationships/image" Target="../media/image18.jpeg"/><Relationship Id="rId2" Type="http://schemas.openxmlformats.org/officeDocument/2006/relationships/image" Target="../media/image13.jpeg"/><Relationship Id="rId1" Type="http://schemas.openxmlformats.org/officeDocument/2006/relationships/chart" Target="../charts/chart3.xml"/><Relationship Id="rId6" Type="http://schemas.openxmlformats.org/officeDocument/2006/relationships/image" Target="../media/image17.jpeg"/><Relationship Id="rId5" Type="http://schemas.openxmlformats.org/officeDocument/2006/relationships/image" Target="../media/image16.jpeg"/><Relationship Id="rId4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7</xdr:row>
      <xdr:rowOff>85725</xdr:rowOff>
    </xdr:from>
    <xdr:to>
      <xdr:col>9</xdr:col>
      <xdr:colOff>304800</xdr:colOff>
      <xdr:row>11</xdr:row>
      <xdr:rowOff>142875</xdr:rowOff>
    </xdr:to>
    <xdr:sp macro="[0]!Módulo1.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315075" y="1219200"/>
          <a:ext cx="1600200" cy="70485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9</xdr:col>
      <xdr:colOff>714375</xdr:colOff>
      <xdr:row>7</xdr:row>
      <xdr:rowOff>80963</xdr:rowOff>
    </xdr:from>
    <xdr:to>
      <xdr:col>11</xdr:col>
      <xdr:colOff>600075</xdr:colOff>
      <xdr:row>11</xdr:row>
      <xdr:rowOff>147638</xdr:rowOff>
    </xdr:to>
    <xdr:sp macro="[0]!Módulo1.CambiaNombre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324850" y="1214438"/>
          <a:ext cx="1562100" cy="7143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404813</xdr:colOff>
      <xdr:row>3</xdr:row>
      <xdr:rowOff>9525</xdr:rowOff>
    </xdr:from>
    <xdr:to>
      <xdr:col>24</xdr:col>
      <xdr:colOff>23813</xdr:colOff>
      <xdr:row>24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457848</xdr:colOff>
      <xdr:row>52</xdr:row>
      <xdr:rowOff>159999</xdr:rowOff>
    </xdr:from>
    <xdr:ext cx="3096000" cy="180976"/>
    <xdr:sp macro="" textlink="">
      <xdr:nvSpPr>
        <xdr:cNvPr id="3" name="Text Box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16802748" y="10065999"/>
          <a:ext cx="3096000" cy="1809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oneCellAnchor>
    <xdr:from>
      <xdr:col>20</xdr:col>
      <xdr:colOff>55691</xdr:colOff>
      <xdr:row>52</xdr:row>
      <xdr:rowOff>150474</xdr:rowOff>
    </xdr:from>
    <xdr:ext cx="3096000" cy="180000"/>
    <xdr:sp macro="" textlink="">
      <xdr:nvSpPr>
        <xdr:cNvPr id="4" name="Text Box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20277266" y="10056474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Después del Ensayo</a:t>
          </a:r>
        </a:p>
      </xdr:txBody>
    </xdr:sp>
    <xdr:clientData/>
  </xdr:oneCellAnchor>
  <xdr:oneCellAnchor>
    <xdr:from>
      <xdr:col>16</xdr:col>
      <xdr:colOff>523875</xdr:colOff>
      <xdr:row>0</xdr:row>
      <xdr:rowOff>183356</xdr:rowOff>
    </xdr:from>
    <xdr:ext cx="6333043" cy="219075"/>
    <xdr:sp macro="" textlink="">
      <xdr:nvSpPr>
        <xdr:cNvPr id="5" name="Text Box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11953875" y="164306"/>
          <a:ext cx="6333043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u="sng" strike="noStrike">
              <a:solidFill>
                <a:srgbClr val="000000"/>
              </a:solidFill>
              <a:latin typeface="Arial"/>
              <a:cs typeface="Arial"/>
            </a:rPr>
            <a:t>ENSAYO TRIAXIAL CON MEDICIÓN DE DEFORMACIÓN</a:t>
          </a:r>
        </a:p>
      </xdr:txBody>
    </xdr:sp>
    <xdr:clientData/>
  </xdr:oneCellAnchor>
  <xdr:oneCellAnchor>
    <xdr:from>
      <xdr:col>16</xdr:col>
      <xdr:colOff>453521</xdr:colOff>
      <xdr:row>25</xdr:row>
      <xdr:rowOff>140061</xdr:rowOff>
    </xdr:from>
    <xdr:ext cx="6333043" cy="209550"/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11883521" y="4188186"/>
          <a:ext cx="6333043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oneCellAnchor>
  <xdr:oneCellAnchor>
    <xdr:from>
      <xdr:col>16</xdr:col>
      <xdr:colOff>633734</xdr:colOff>
      <xdr:row>56</xdr:row>
      <xdr:rowOff>35258</xdr:rowOff>
    </xdr:from>
    <xdr:ext cx="6330662" cy="214434"/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12063734" y="9103058"/>
          <a:ext cx="6330662" cy="2144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oneCellAnchor>
  <xdr:oneCellAnchor>
    <xdr:from>
      <xdr:col>16</xdr:col>
      <xdr:colOff>457848</xdr:colOff>
      <xdr:row>82</xdr:row>
      <xdr:rowOff>185547</xdr:rowOff>
    </xdr:from>
    <xdr:ext cx="3096000" cy="180000"/>
    <xdr:sp macro="" textlink="">
      <xdr:nvSpPr>
        <xdr:cNvPr id="8" name="Text Box 6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6802748" y="15806547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oneCellAnchor>
    <xdr:from>
      <xdr:col>20</xdr:col>
      <xdr:colOff>55691</xdr:colOff>
      <xdr:row>82</xdr:row>
      <xdr:rowOff>143295</xdr:rowOff>
    </xdr:from>
    <xdr:ext cx="2957635" cy="222252"/>
    <xdr:sp macro="" textlink="">
      <xdr:nvSpPr>
        <xdr:cNvPr id="9" name="Text Box 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20277266" y="15764295"/>
          <a:ext cx="2957635" cy="2222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Después del Ensayo</a:t>
          </a:r>
        </a:p>
      </xdr:txBody>
    </xdr:sp>
    <xdr:clientData/>
  </xdr:oneCellAnchor>
  <xdr:twoCellAnchor>
    <xdr:from>
      <xdr:col>16</xdr:col>
      <xdr:colOff>457848</xdr:colOff>
      <xdr:row>27</xdr:row>
      <xdr:rowOff>182708</xdr:rowOff>
    </xdr:from>
    <xdr:to>
      <xdr:col>19</xdr:col>
      <xdr:colOff>1183248</xdr:colOff>
      <xdr:row>50</xdr:row>
      <xdr:rowOff>121208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6802748" y="5326208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55691</xdr:colOff>
      <xdr:row>27</xdr:row>
      <xdr:rowOff>182708</xdr:rowOff>
    </xdr:from>
    <xdr:to>
      <xdr:col>23</xdr:col>
      <xdr:colOff>781091</xdr:colOff>
      <xdr:row>50</xdr:row>
      <xdr:rowOff>121208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0277266" y="5326208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457848</xdr:colOff>
      <xdr:row>57</xdr:row>
      <xdr:rowOff>146981</xdr:rowOff>
    </xdr:from>
    <xdr:to>
      <xdr:col>19</xdr:col>
      <xdr:colOff>1183248</xdr:colOff>
      <xdr:row>80</xdr:row>
      <xdr:rowOff>85481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6802748" y="11005481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55691</xdr:colOff>
      <xdr:row>57</xdr:row>
      <xdr:rowOff>146981</xdr:rowOff>
    </xdr:from>
    <xdr:to>
      <xdr:col>23</xdr:col>
      <xdr:colOff>781091</xdr:colOff>
      <xdr:row>80</xdr:row>
      <xdr:rowOff>85481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0277266" y="11005481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17</xdr:col>
      <xdr:colOff>34018</xdr:colOff>
      <xdr:row>4</xdr:row>
      <xdr:rowOff>77107</xdr:rowOff>
    </xdr:from>
    <xdr:to>
      <xdr:col>23</xdr:col>
      <xdr:colOff>467745</xdr:colOff>
      <xdr:row>5</xdr:row>
      <xdr:rowOff>93549</xdr:rowOff>
    </xdr:to>
    <xdr:sp macro="" textlink="$AA$5">
      <xdr:nvSpPr>
        <xdr:cNvPr id="14" name="Cuadro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2226018" y="724807"/>
          <a:ext cx="5005727" cy="178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E31FE58-0EDF-43BC-A12B-F50A062A4E9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C1BH-L12-L10-3+823-HL</a:t>
          </a:fld>
          <a:endParaRPr lang="es-CL" sz="1100"/>
        </a:p>
      </xdr:txBody>
    </xdr:sp>
    <xdr:clientData/>
  </xdr:twoCellAnchor>
  <xdr:twoCellAnchor>
    <xdr:from>
      <xdr:col>17</xdr:col>
      <xdr:colOff>85045</xdr:colOff>
      <xdr:row>5</xdr:row>
      <xdr:rowOff>95250</xdr:rowOff>
    </xdr:from>
    <xdr:to>
      <xdr:col>23</xdr:col>
      <xdr:colOff>493258</xdr:colOff>
      <xdr:row>6</xdr:row>
      <xdr:rowOff>174625</xdr:rowOff>
    </xdr:to>
    <xdr:sp macro="" textlink="$AA$6">
      <xdr:nvSpPr>
        <xdr:cNvPr id="15" name="Cuadro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12277045" y="904875"/>
          <a:ext cx="4980213" cy="231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CA342CA-7E04-4C16-97F5-CE1A5127F2BE}" type="TxLink">
            <a:rPr lang="en-US" sz="800" b="1" i="0" u="none" strike="noStrike">
              <a:solidFill>
                <a:srgbClr val="000000"/>
              </a:solidFill>
              <a:latin typeface="Arial"/>
              <a:ea typeface="+mn-ea"/>
              <a:cs typeface="Arial"/>
            </a:rPr>
            <a:pPr marL="0" indent="0" algn="ctr"/>
            <a:t>MUESTRA  :  C1BH-L12-L10-3+823-HL (02,84-03,33)</a:t>
          </a:fld>
          <a:endParaRPr lang="es-CL" sz="800" b="1" i="0" u="none" strike="noStrike">
            <a:solidFill>
              <a:srgbClr val="00000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16</xdr:col>
      <xdr:colOff>457848</xdr:colOff>
      <xdr:row>50</xdr:row>
      <xdr:rowOff>134416</xdr:rowOff>
    </xdr:from>
    <xdr:to>
      <xdr:col>19</xdr:col>
      <xdr:colOff>1039248</xdr:colOff>
      <xdr:row>51</xdr:row>
      <xdr:rowOff>122206</xdr:rowOff>
    </xdr:to>
    <xdr:sp macro="" textlink="$AA$5">
      <xdr:nvSpPr>
        <xdr:cNvPr id="16" name="Cuadro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802748" y="9659416"/>
          <a:ext cx="3096000" cy="17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51</xdr:row>
      <xdr:rowOff>149311</xdr:rowOff>
    </xdr:from>
    <xdr:to>
      <xdr:col>19</xdr:col>
      <xdr:colOff>1039248</xdr:colOff>
      <xdr:row>52</xdr:row>
      <xdr:rowOff>138811</xdr:rowOff>
    </xdr:to>
    <xdr:sp macro="" textlink="$AA$6">
      <xdr:nvSpPr>
        <xdr:cNvPr id="17" name="Cuadro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6802748" y="9864811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50</xdr:row>
      <xdr:rowOff>134416</xdr:rowOff>
    </xdr:from>
    <xdr:to>
      <xdr:col>23</xdr:col>
      <xdr:colOff>637091</xdr:colOff>
      <xdr:row>51</xdr:row>
      <xdr:rowOff>122206</xdr:rowOff>
    </xdr:to>
    <xdr:sp macro="" textlink="$AA$5">
      <xdr:nvSpPr>
        <xdr:cNvPr id="18" name="CuadroTex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20277266" y="9659416"/>
          <a:ext cx="3096000" cy="17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51</xdr:row>
      <xdr:rowOff>149311</xdr:rowOff>
    </xdr:from>
    <xdr:to>
      <xdr:col>23</xdr:col>
      <xdr:colOff>637091</xdr:colOff>
      <xdr:row>52</xdr:row>
      <xdr:rowOff>138811</xdr:rowOff>
    </xdr:to>
    <xdr:sp macro="" textlink="$AA$6">
      <xdr:nvSpPr>
        <xdr:cNvPr id="19" name="CuadroTex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0277266" y="9864811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80</xdr:row>
      <xdr:rowOff>108615</xdr:rowOff>
    </xdr:from>
    <xdr:to>
      <xdr:col>19</xdr:col>
      <xdr:colOff>1039248</xdr:colOff>
      <xdr:row>81</xdr:row>
      <xdr:rowOff>98115</xdr:rowOff>
    </xdr:to>
    <xdr:sp macro="" textlink="$AA$5">
      <xdr:nvSpPr>
        <xdr:cNvPr id="20" name="CuadroTex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16802748" y="15348615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81</xdr:row>
      <xdr:rowOff>123510</xdr:rowOff>
    </xdr:from>
    <xdr:to>
      <xdr:col>19</xdr:col>
      <xdr:colOff>1039248</xdr:colOff>
      <xdr:row>82</xdr:row>
      <xdr:rowOff>113010</xdr:rowOff>
    </xdr:to>
    <xdr:sp macro="" textlink="$AA$6">
      <xdr:nvSpPr>
        <xdr:cNvPr id="21" name="CuadroTex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16802748" y="15554010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80</xdr:row>
      <xdr:rowOff>110325</xdr:rowOff>
    </xdr:from>
    <xdr:to>
      <xdr:col>23</xdr:col>
      <xdr:colOff>629632</xdr:colOff>
      <xdr:row>81</xdr:row>
      <xdr:rowOff>98115</xdr:rowOff>
    </xdr:to>
    <xdr:sp macro="" textlink="$AA$5">
      <xdr:nvSpPr>
        <xdr:cNvPr id="22" name="CuadroText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20277266" y="15350325"/>
          <a:ext cx="3088541" cy="17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81</xdr:row>
      <xdr:rowOff>93471</xdr:rowOff>
    </xdr:from>
    <xdr:to>
      <xdr:col>23</xdr:col>
      <xdr:colOff>629634</xdr:colOff>
      <xdr:row>82</xdr:row>
      <xdr:rowOff>113010</xdr:rowOff>
    </xdr:to>
    <xdr:sp macro="" textlink="$AA$6">
      <xdr:nvSpPr>
        <xdr:cNvPr id="23" name="Cuadro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20277266" y="15523971"/>
          <a:ext cx="3088543" cy="210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oneCellAnchor>
    <xdr:from>
      <xdr:col>16</xdr:col>
      <xdr:colOff>457848</xdr:colOff>
      <xdr:row>110</xdr:row>
      <xdr:rowOff>2420</xdr:rowOff>
    </xdr:from>
    <xdr:ext cx="3096000" cy="180000"/>
    <xdr:sp macro="" textlink="">
      <xdr:nvSpPr>
        <xdr:cNvPr id="24" name="Text Box 6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>
          <a:spLocks noChangeArrowheads="1"/>
        </xdr:cNvSpPr>
      </xdr:nvSpPr>
      <xdr:spPr bwMode="auto">
        <a:xfrm>
          <a:off x="16802748" y="20957420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oneCellAnchor>
    <xdr:from>
      <xdr:col>20</xdr:col>
      <xdr:colOff>55691</xdr:colOff>
      <xdr:row>110</xdr:row>
      <xdr:rowOff>2420</xdr:rowOff>
    </xdr:from>
    <xdr:ext cx="3096000" cy="180000"/>
    <xdr:sp macro="" textlink="">
      <xdr:nvSpPr>
        <xdr:cNvPr id="25" name="Text Box 7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>
          <a:spLocks noChangeArrowheads="1"/>
        </xdr:cNvSpPr>
      </xdr:nvSpPr>
      <xdr:spPr bwMode="auto">
        <a:xfrm>
          <a:off x="20277266" y="20957420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Después del Ensayo</a:t>
          </a:r>
        </a:p>
      </xdr:txBody>
    </xdr:sp>
    <xdr:clientData/>
  </xdr:oneCellAnchor>
  <xdr:twoCellAnchor>
    <xdr:from>
      <xdr:col>16</xdr:col>
      <xdr:colOff>457848</xdr:colOff>
      <xdr:row>84</xdr:row>
      <xdr:rowOff>132196</xdr:rowOff>
    </xdr:from>
    <xdr:to>
      <xdr:col>19</xdr:col>
      <xdr:colOff>1183248</xdr:colOff>
      <xdr:row>107</xdr:row>
      <xdr:rowOff>70696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6802748" y="16134196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55691</xdr:colOff>
      <xdr:row>84</xdr:row>
      <xdr:rowOff>132196</xdr:rowOff>
    </xdr:from>
    <xdr:to>
      <xdr:col>23</xdr:col>
      <xdr:colOff>781091</xdr:colOff>
      <xdr:row>107</xdr:row>
      <xdr:rowOff>70696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0277266" y="16134196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457848</xdr:colOff>
      <xdr:row>107</xdr:row>
      <xdr:rowOff>113322</xdr:rowOff>
    </xdr:from>
    <xdr:to>
      <xdr:col>19</xdr:col>
      <xdr:colOff>1039248</xdr:colOff>
      <xdr:row>108</xdr:row>
      <xdr:rowOff>102822</xdr:rowOff>
    </xdr:to>
    <xdr:sp macro="" textlink="$AA$5">
      <xdr:nvSpPr>
        <xdr:cNvPr id="28" name="CuadroTex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16802748" y="20496822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108</xdr:row>
      <xdr:rowOff>128217</xdr:rowOff>
    </xdr:from>
    <xdr:to>
      <xdr:col>19</xdr:col>
      <xdr:colOff>1039248</xdr:colOff>
      <xdr:row>109</xdr:row>
      <xdr:rowOff>117717</xdr:rowOff>
    </xdr:to>
    <xdr:sp macro="" textlink="$AA$6">
      <xdr:nvSpPr>
        <xdr:cNvPr id="29" name="Cuadro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16802748" y="20702217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107</xdr:row>
      <xdr:rowOff>113321</xdr:rowOff>
    </xdr:from>
    <xdr:to>
      <xdr:col>23</xdr:col>
      <xdr:colOff>637091</xdr:colOff>
      <xdr:row>108</xdr:row>
      <xdr:rowOff>102821</xdr:rowOff>
    </xdr:to>
    <xdr:sp macro="" textlink="$AA$5">
      <xdr:nvSpPr>
        <xdr:cNvPr id="30" name="CuadroTex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0277266" y="20496821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108</xdr:row>
      <xdr:rowOff>128217</xdr:rowOff>
    </xdr:from>
    <xdr:to>
      <xdr:col>23</xdr:col>
      <xdr:colOff>637091</xdr:colOff>
      <xdr:row>109</xdr:row>
      <xdr:rowOff>117717</xdr:rowOff>
    </xdr:to>
    <xdr:sp macro="" textlink="$AA$6">
      <xdr:nvSpPr>
        <xdr:cNvPr id="31" name="CuadroTex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20277266" y="20702217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 editAs="oneCell">
    <xdr:from>
      <xdr:col>16</xdr:col>
      <xdr:colOff>466726</xdr:colOff>
      <xdr:row>27</xdr:row>
      <xdr:rowOff>180974</xdr:rowOff>
    </xdr:from>
    <xdr:to>
      <xdr:col>19</xdr:col>
      <xdr:colOff>1181100</xdr:colOff>
      <xdr:row>50</xdr:row>
      <xdr:rowOff>139699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49EC44E6-BC3E-41B3-8F64-0C8956A625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26176" y="5534024"/>
          <a:ext cx="3228974" cy="4340225"/>
        </a:xfrm>
        <a:prstGeom prst="rect">
          <a:avLst/>
        </a:prstGeom>
      </xdr:spPr>
    </xdr:pic>
    <xdr:clientData/>
  </xdr:twoCellAnchor>
  <xdr:twoCellAnchor editAs="oneCell">
    <xdr:from>
      <xdr:col>16</xdr:col>
      <xdr:colOff>466724</xdr:colOff>
      <xdr:row>84</xdr:row>
      <xdr:rowOff>142874</xdr:rowOff>
    </xdr:from>
    <xdr:to>
      <xdr:col>19</xdr:col>
      <xdr:colOff>1181099</xdr:colOff>
      <xdr:row>107</xdr:row>
      <xdr:rowOff>63821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1422296A-6147-445D-A6D2-78926D326B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26174" y="16354424"/>
          <a:ext cx="3228975" cy="4302447"/>
        </a:xfrm>
        <a:prstGeom prst="rect">
          <a:avLst/>
        </a:prstGeom>
      </xdr:spPr>
    </xdr:pic>
    <xdr:clientData/>
  </xdr:twoCellAnchor>
  <xdr:twoCellAnchor editAs="oneCell">
    <xdr:from>
      <xdr:col>16</xdr:col>
      <xdr:colOff>466725</xdr:colOff>
      <xdr:row>57</xdr:row>
      <xdr:rowOff>152400</xdr:rowOff>
    </xdr:from>
    <xdr:to>
      <xdr:col>19</xdr:col>
      <xdr:colOff>1181100</xdr:colOff>
      <xdr:row>80</xdr:row>
      <xdr:rowOff>89543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72478D13-7726-446D-9C82-64C420BDDF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26175" y="11220450"/>
          <a:ext cx="3228975" cy="4318643"/>
        </a:xfrm>
        <a:prstGeom prst="rect">
          <a:avLst/>
        </a:prstGeom>
      </xdr:spPr>
    </xdr:pic>
    <xdr:clientData/>
  </xdr:twoCellAnchor>
  <xdr:twoCellAnchor editAs="oneCell">
    <xdr:from>
      <xdr:col>20</xdr:col>
      <xdr:colOff>54263</xdr:colOff>
      <xdr:row>57</xdr:row>
      <xdr:rowOff>149287</xdr:rowOff>
    </xdr:from>
    <xdr:to>
      <xdr:col>23</xdr:col>
      <xdr:colOff>781050</xdr:colOff>
      <xdr:row>80</xdr:row>
      <xdr:rowOff>81295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4CA4E0FC-CCB9-4BB8-AD18-D8EA980BB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390388" y="11217337"/>
          <a:ext cx="3241387" cy="4313508"/>
        </a:xfrm>
        <a:prstGeom prst="rect">
          <a:avLst/>
        </a:prstGeom>
      </xdr:spPr>
    </xdr:pic>
    <xdr:clientData/>
  </xdr:twoCellAnchor>
  <xdr:twoCellAnchor editAs="oneCell">
    <xdr:from>
      <xdr:col>20</xdr:col>
      <xdr:colOff>65430</xdr:colOff>
      <xdr:row>84</xdr:row>
      <xdr:rowOff>133349</xdr:rowOff>
    </xdr:from>
    <xdr:to>
      <xdr:col>23</xdr:col>
      <xdr:colOff>781050</xdr:colOff>
      <xdr:row>107</xdr:row>
      <xdr:rowOff>64274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5CCBAB5E-6AF8-4908-BF4E-566BAD7BB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01555" y="16344899"/>
          <a:ext cx="3230220" cy="4312425"/>
        </a:xfrm>
        <a:prstGeom prst="rect">
          <a:avLst/>
        </a:prstGeom>
      </xdr:spPr>
    </xdr:pic>
    <xdr:clientData/>
  </xdr:twoCellAnchor>
  <xdr:twoCellAnchor editAs="oneCell">
    <xdr:from>
      <xdr:col>20</xdr:col>
      <xdr:colOff>60144</xdr:colOff>
      <xdr:row>27</xdr:row>
      <xdr:rowOff>190499</xdr:rowOff>
    </xdr:from>
    <xdr:to>
      <xdr:col>23</xdr:col>
      <xdr:colOff>790575</xdr:colOff>
      <xdr:row>50</xdr:row>
      <xdr:rowOff>124320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933144DC-3CE0-4593-A703-11B84AF031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396269" y="5543549"/>
          <a:ext cx="3245031" cy="43153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404813</xdr:colOff>
      <xdr:row>3</xdr:row>
      <xdr:rowOff>9525</xdr:rowOff>
    </xdr:from>
    <xdr:to>
      <xdr:col>24</xdr:col>
      <xdr:colOff>23813</xdr:colOff>
      <xdr:row>24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457848</xdr:colOff>
      <xdr:row>52</xdr:row>
      <xdr:rowOff>159999</xdr:rowOff>
    </xdr:from>
    <xdr:ext cx="3096000" cy="180976"/>
    <xdr:sp macro="" textlink="">
      <xdr:nvSpPr>
        <xdr:cNvPr id="3" name="Text Box 6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18917298" y="10256499"/>
          <a:ext cx="3096000" cy="1809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oneCellAnchor>
    <xdr:from>
      <xdr:col>20</xdr:col>
      <xdr:colOff>55691</xdr:colOff>
      <xdr:row>52</xdr:row>
      <xdr:rowOff>150474</xdr:rowOff>
    </xdr:from>
    <xdr:ext cx="3096000" cy="180000"/>
    <xdr:sp macro="" textlink="">
      <xdr:nvSpPr>
        <xdr:cNvPr id="4" name="Text Box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22391816" y="10246974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Después del Ensayo</a:t>
          </a:r>
        </a:p>
      </xdr:txBody>
    </xdr:sp>
    <xdr:clientData/>
  </xdr:oneCellAnchor>
  <xdr:oneCellAnchor>
    <xdr:from>
      <xdr:col>16</xdr:col>
      <xdr:colOff>523875</xdr:colOff>
      <xdr:row>0</xdr:row>
      <xdr:rowOff>183356</xdr:rowOff>
    </xdr:from>
    <xdr:ext cx="6333043" cy="219075"/>
    <xdr:sp macro="" textlink="">
      <xdr:nvSpPr>
        <xdr:cNvPr id="5" name="Text Box 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18983325" y="183356"/>
          <a:ext cx="6333043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u="sng" strike="noStrike">
              <a:solidFill>
                <a:srgbClr val="000000"/>
              </a:solidFill>
              <a:latin typeface="Arial"/>
              <a:cs typeface="Arial"/>
            </a:rPr>
            <a:t>ENSAYO TRIAXIAL CON MEDICIÓN DE DEFORMACIÓN</a:t>
          </a:r>
        </a:p>
      </xdr:txBody>
    </xdr:sp>
    <xdr:clientData/>
  </xdr:oneCellAnchor>
  <xdr:oneCellAnchor>
    <xdr:from>
      <xdr:col>16</xdr:col>
      <xdr:colOff>453521</xdr:colOff>
      <xdr:row>25</xdr:row>
      <xdr:rowOff>140061</xdr:rowOff>
    </xdr:from>
    <xdr:ext cx="6333043" cy="209550"/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18912971" y="5093061"/>
          <a:ext cx="6333043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oneCellAnchor>
  <xdr:oneCellAnchor>
    <xdr:from>
      <xdr:col>16</xdr:col>
      <xdr:colOff>633734</xdr:colOff>
      <xdr:row>56</xdr:row>
      <xdr:rowOff>35258</xdr:rowOff>
    </xdr:from>
    <xdr:ext cx="6330662" cy="214434"/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19093184" y="10893758"/>
          <a:ext cx="6330662" cy="2144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oneCellAnchor>
  <xdr:oneCellAnchor>
    <xdr:from>
      <xdr:col>16</xdr:col>
      <xdr:colOff>457848</xdr:colOff>
      <xdr:row>82</xdr:row>
      <xdr:rowOff>185547</xdr:rowOff>
    </xdr:from>
    <xdr:ext cx="3096000" cy="180000"/>
    <xdr:sp macro="" textlink="">
      <xdr:nvSpPr>
        <xdr:cNvPr id="8" name="Text Box 6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18917298" y="15997047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oneCellAnchor>
    <xdr:from>
      <xdr:col>20</xdr:col>
      <xdr:colOff>55691</xdr:colOff>
      <xdr:row>82</xdr:row>
      <xdr:rowOff>143295</xdr:rowOff>
    </xdr:from>
    <xdr:ext cx="2957635" cy="222252"/>
    <xdr:sp macro="" textlink="">
      <xdr:nvSpPr>
        <xdr:cNvPr id="9" name="Text Box 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22391816" y="15954795"/>
          <a:ext cx="2957635" cy="2222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Después del Ensayo</a:t>
          </a:r>
        </a:p>
      </xdr:txBody>
    </xdr:sp>
    <xdr:clientData/>
  </xdr:oneCellAnchor>
  <xdr:twoCellAnchor>
    <xdr:from>
      <xdr:col>16</xdr:col>
      <xdr:colOff>457848</xdr:colOff>
      <xdr:row>27</xdr:row>
      <xdr:rowOff>182708</xdr:rowOff>
    </xdr:from>
    <xdr:to>
      <xdr:col>19</xdr:col>
      <xdr:colOff>1183248</xdr:colOff>
      <xdr:row>50</xdr:row>
      <xdr:rowOff>121208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8917298" y="5516708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55691</xdr:colOff>
      <xdr:row>27</xdr:row>
      <xdr:rowOff>182708</xdr:rowOff>
    </xdr:from>
    <xdr:to>
      <xdr:col>23</xdr:col>
      <xdr:colOff>781091</xdr:colOff>
      <xdr:row>50</xdr:row>
      <xdr:rowOff>121208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2391816" y="5516708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457848</xdr:colOff>
      <xdr:row>57</xdr:row>
      <xdr:rowOff>146981</xdr:rowOff>
    </xdr:from>
    <xdr:to>
      <xdr:col>19</xdr:col>
      <xdr:colOff>1183248</xdr:colOff>
      <xdr:row>80</xdr:row>
      <xdr:rowOff>85481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8917298" y="11195981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55691</xdr:colOff>
      <xdr:row>57</xdr:row>
      <xdr:rowOff>146981</xdr:rowOff>
    </xdr:from>
    <xdr:to>
      <xdr:col>23</xdr:col>
      <xdr:colOff>781091</xdr:colOff>
      <xdr:row>80</xdr:row>
      <xdr:rowOff>85481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2391816" y="11195981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17</xdr:col>
      <xdr:colOff>34018</xdr:colOff>
      <xdr:row>4</xdr:row>
      <xdr:rowOff>77107</xdr:rowOff>
    </xdr:from>
    <xdr:to>
      <xdr:col>23</xdr:col>
      <xdr:colOff>467745</xdr:colOff>
      <xdr:row>5</xdr:row>
      <xdr:rowOff>93549</xdr:rowOff>
    </xdr:to>
    <xdr:sp macro="" textlink="$AA$5">
      <xdr:nvSpPr>
        <xdr:cNvPr id="14" name="CuadroText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9331668" y="839107"/>
          <a:ext cx="5986802" cy="206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E31FE58-0EDF-43BC-A12B-F50A062A4E9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PROYECTO  :  C1BH-L12-L10-3+823-HL</a:t>
          </a:fld>
          <a:endParaRPr lang="es-CL" sz="1100"/>
        </a:p>
      </xdr:txBody>
    </xdr:sp>
    <xdr:clientData/>
  </xdr:twoCellAnchor>
  <xdr:twoCellAnchor>
    <xdr:from>
      <xdr:col>17</xdr:col>
      <xdr:colOff>85045</xdr:colOff>
      <xdr:row>5</xdr:row>
      <xdr:rowOff>95250</xdr:rowOff>
    </xdr:from>
    <xdr:to>
      <xdr:col>23</xdr:col>
      <xdr:colOff>493258</xdr:colOff>
      <xdr:row>6</xdr:row>
      <xdr:rowOff>174625</xdr:rowOff>
    </xdr:to>
    <xdr:sp macro="" textlink="$AA$6">
      <xdr:nvSpPr>
        <xdr:cNvPr id="15" name="Cuadro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9382695" y="1047750"/>
          <a:ext cx="5961288" cy="269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CA342CA-7E04-4C16-97F5-CE1A5127F2BE}" type="TxLink">
            <a:rPr lang="en-US" sz="800" b="1" i="0" u="none" strike="noStrike">
              <a:solidFill>
                <a:srgbClr val="000000"/>
              </a:solidFill>
              <a:latin typeface="Arial"/>
              <a:ea typeface="+mn-ea"/>
              <a:cs typeface="Arial"/>
            </a:rPr>
            <a:pPr marL="0" indent="0" algn="ctr"/>
            <a:t>MUESTRA  :  C1BH-L12-L10-3+823-HL (02,84-03,33)</a:t>
          </a:fld>
          <a:endParaRPr lang="es-CL" sz="800" b="1" i="0" u="none" strike="noStrike">
            <a:solidFill>
              <a:srgbClr val="00000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16</xdr:col>
      <xdr:colOff>457848</xdr:colOff>
      <xdr:row>50</xdr:row>
      <xdr:rowOff>134416</xdr:rowOff>
    </xdr:from>
    <xdr:to>
      <xdr:col>19</xdr:col>
      <xdr:colOff>1039248</xdr:colOff>
      <xdr:row>51</xdr:row>
      <xdr:rowOff>122206</xdr:rowOff>
    </xdr:to>
    <xdr:sp macro="" textlink="$AA$5">
      <xdr:nvSpPr>
        <xdr:cNvPr id="16" name="Cuadro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8917298" y="9849916"/>
          <a:ext cx="3096000" cy="17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51</xdr:row>
      <xdr:rowOff>149311</xdr:rowOff>
    </xdr:from>
    <xdr:to>
      <xdr:col>19</xdr:col>
      <xdr:colOff>1039248</xdr:colOff>
      <xdr:row>52</xdr:row>
      <xdr:rowOff>138811</xdr:rowOff>
    </xdr:to>
    <xdr:sp macro="" textlink="$AA$6">
      <xdr:nvSpPr>
        <xdr:cNvPr id="17" name="Cuadro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8917298" y="10055311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50</xdr:row>
      <xdr:rowOff>134416</xdr:rowOff>
    </xdr:from>
    <xdr:to>
      <xdr:col>23</xdr:col>
      <xdr:colOff>637091</xdr:colOff>
      <xdr:row>51</xdr:row>
      <xdr:rowOff>122206</xdr:rowOff>
    </xdr:to>
    <xdr:sp macro="" textlink="$AA$5">
      <xdr:nvSpPr>
        <xdr:cNvPr id="18" name="Cuadro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22391816" y="9849916"/>
          <a:ext cx="3096000" cy="17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51</xdr:row>
      <xdr:rowOff>149311</xdr:rowOff>
    </xdr:from>
    <xdr:to>
      <xdr:col>23</xdr:col>
      <xdr:colOff>637091</xdr:colOff>
      <xdr:row>52</xdr:row>
      <xdr:rowOff>138811</xdr:rowOff>
    </xdr:to>
    <xdr:sp macro="" textlink="$AA$6">
      <xdr:nvSpPr>
        <xdr:cNvPr id="19" name="Cuadro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2391816" y="10055311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80</xdr:row>
      <xdr:rowOff>108615</xdr:rowOff>
    </xdr:from>
    <xdr:to>
      <xdr:col>19</xdr:col>
      <xdr:colOff>1039248</xdr:colOff>
      <xdr:row>81</xdr:row>
      <xdr:rowOff>98115</xdr:rowOff>
    </xdr:to>
    <xdr:sp macro="" textlink="$AA$5">
      <xdr:nvSpPr>
        <xdr:cNvPr id="20" name="CuadroText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18917298" y="15539115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81</xdr:row>
      <xdr:rowOff>123510</xdr:rowOff>
    </xdr:from>
    <xdr:to>
      <xdr:col>19</xdr:col>
      <xdr:colOff>1039248</xdr:colOff>
      <xdr:row>82</xdr:row>
      <xdr:rowOff>113010</xdr:rowOff>
    </xdr:to>
    <xdr:sp macro="" textlink="$AA$6">
      <xdr:nvSpPr>
        <xdr:cNvPr id="21" name="CuadroText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18917298" y="15744510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80</xdr:row>
      <xdr:rowOff>110325</xdr:rowOff>
    </xdr:from>
    <xdr:to>
      <xdr:col>23</xdr:col>
      <xdr:colOff>629632</xdr:colOff>
      <xdr:row>81</xdr:row>
      <xdr:rowOff>98115</xdr:rowOff>
    </xdr:to>
    <xdr:sp macro="" textlink="$AA$5">
      <xdr:nvSpPr>
        <xdr:cNvPr id="22" name="CuadroText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2391816" y="15540825"/>
          <a:ext cx="3088541" cy="17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81</xdr:row>
      <xdr:rowOff>93471</xdr:rowOff>
    </xdr:from>
    <xdr:to>
      <xdr:col>23</xdr:col>
      <xdr:colOff>629634</xdr:colOff>
      <xdr:row>82</xdr:row>
      <xdr:rowOff>113010</xdr:rowOff>
    </xdr:to>
    <xdr:sp macro="" textlink="$AA$6">
      <xdr:nvSpPr>
        <xdr:cNvPr id="23" name="CuadroText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22391816" y="15714471"/>
          <a:ext cx="3088543" cy="210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oneCellAnchor>
    <xdr:from>
      <xdr:col>16</xdr:col>
      <xdr:colOff>457848</xdr:colOff>
      <xdr:row>110</xdr:row>
      <xdr:rowOff>2420</xdr:rowOff>
    </xdr:from>
    <xdr:ext cx="3096000" cy="180000"/>
    <xdr:sp macro="" textlink="">
      <xdr:nvSpPr>
        <xdr:cNvPr id="24" name="Text Box 6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>
          <a:spLocks noChangeArrowheads="1"/>
        </xdr:cNvSpPr>
      </xdr:nvSpPr>
      <xdr:spPr bwMode="auto">
        <a:xfrm>
          <a:off x="18917298" y="21147920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oneCellAnchor>
    <xdr:from>
      <xdr:col>20</xdr:col>
      <xdr:colOff>55691</xdr:colOff>
      <xdr:row>110</xdr:row>
      <xdr:rowOff>2420</xdr:rowOff>
    </xdr:from>
    <xdr:ext cx="3096000" cy="180000"/>
    <xdr:sp macro="" textlink="">
      <xdr:nvSpPr>
        <xdr:cNvPr id="25" name="Text Box 7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>
          <a:spLocks noChangeArrowheads="1"/>
        </xdr:cNvSpPr>
      </xdr:nvSpPr>
      <xdr:spPr bwMode="auto">
        <a:xfrm>
          <a:off x="22391816" y="21147920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Después del Ensayo</a:t>
          </a:r>
        </a:p>
      </xdr:txBody>
    </xdr:sp>
    <xdr:clientData/>
  </xdr:oneCellAnchor>
  <xdr:twoCellAnchor>
    <xdr:from>
      <xdr:col>16</xdr:col>
      <xdr:colOff>457848</xdr:colOff>
      <xdr:row>84</xdr:row>
      <xdr:rowOff>132196</xdr:rowOff>
    </xdr:from>
    <xdr:to>
      <xdr:col>19</xdr:col>
      <xdr:colOff>1183248</xdr:colOff>
      <xdr:row>107</xdr:row>
      <xdr:rowOff>70696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8917298" y="16324696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55691</xdr:colOff>
      <xdr:row>84</xdr:row>
      <xdr:rowOff>132196</xdr:rowOff>
    </xdr:from>
    <xdr:to>
      <xdr:col>23</xdr:col>
      <xdr:colOff>781091</xdr:colOff>
      <xdr:row>107</xdr:row>
      <xdr:rowOff>70696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2391816" y="16324696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457848</xdr:colOff>
      <xdr:row>107</xdr:row>
      <xdr:rowOff>113322</xdr:rowOff>
    </xdr:from>
    <xdr:to>
      <xdr:col>19</xdr:col>
      <xdr:colOff>1039248</xdr:colOff>
      <xdr:row>108</xdr:row>
      <xdr:rowOff>102822</xdr:rowOff>
    </xdr:to>
    <xdr:sp macro="" textlink="$AA$5">
      <xdr:nvSpPr>
        <xdr:cNvPr id="28" name="CuadroText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18917298" y="20687322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108</xdr:row>
      <xdr:rowOff>128217</xdr:rowOff>
    </xdr:from>
    <xdr:to>
      <xdr:col>19</xdr:col>
      <xdr:colOff>1039248</xdr:colOff>
      <xdr:row>109</xdr:row>
      <xdr:rowOff>117717</xdr:rowOff>
    </xdr:to>
    <xdr:sp macro="" textlink="$AA$6">
      <xdr:nvSpPr>
        <xdr:cNvPr id="29" name="CuadroTexto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8917298" y="20892717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107</xdr:row>
      <xdr:rowOff>113321</xdr:rowOff>
    </xdr:from>
    <xdr:to>
      <xdr:col>23</xdr:col>
      <xdr:colOff>637091</xdr:colOff>
      <xdr:row>108</xdr:row>
      <xdr:rowOff>102821</xdr:rowOff>
    </xdr:to>
    <xdr:sp macro="" textlink="$AA$5">
      <xdr:nvSpPr>
        <xdr:cNvPr id="30" name="Cuadro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22391816" y="20687321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108</xdr:row>
      <xdr:rowOff>128217</xdr:rowOff>
    </xdr:from>
    <xdr:to>
      <xdr:col>23</xdr:col>
      <xdr:colOff>637091</xdr:colOff>
      <xdr:row>109</xdr:row>
      <xdr:rowOff>117717</xdr:rowOff>
    </xdr:to>
    <xdr:sp macro="" textlink="$AA$6">
      <xdr:nvSpPr>
        <xdr:cNvPr id="31" name="Cuadro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22391816" y="20892717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 editAs="oneCell">
    <xdr:from>
      <xdr:col>16</xdr:col>
      <xdr:colOff>466724</xdr:colOff>
      <xdr:row>28</xdr:row>
      <xdr:rowOff>1</xdr:rowOff>
    </xdr:from>
    <xdr:to>
      <xdr:col>19</xdr:col>
      <xdr:colOff>1181100</xdr:colOff>
      <xdr:row>50</xdr:row>
      <xdr:rowOff>122239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16308362-A147-46DE-8644-88868D837E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26174" y="5524501"/>
          <a:ext cx="3228976" cy="4313238"/>
        </a:xfrm>
        <a:prstGeom prst="rect">
          <a:avLst/>
        </a:prstGeom>
      </xdr:spPr>
    </xdr:pic>
    <xdr:clientData/>
  </xdr:twoCellAnchor>
  <xdr:twoCellAnchor editAs="oneCell">
    <xdr:from>
      <xdr:col>16</xdr:col>
      <xdr:colOff>457201</xdr:colOff>
      <xdr:row>84</xdr:row>
      <xdr:rowOff>142875</xdr:rowOff>
    </xdr:from>
    <xdr:to>
      <xdr:col>19</xdr:col>
      <xdr:colOff>1181101</xdr:colOff>
      <xdr:row>107</xdr:row>
      <xdr:rowOff>75388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C9381DB2-B655-4DAF-92D6-EF7D73A8C1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16651" y="16335375"/>
          <a:ext cx="3238500" cy="4314013"/>
        </a:xfrm>
        <a:prstGeom prst="rect">
          <a:avLst/>
        </a:prstGeom>
      </xdr:spPr>
    </xdr:pic>
    <xdr:clientData/>
  </xdr:twoCellAnchor>
  <xdr:twoCellAnchor editAs="oneCell">
    <xdr:from>
      <xdr:col>16</xdr:col>
      <xdr:colOff>457200</xdr:colOff>
      <xdr:row>57</xdr:row>
      <xdr:rowOff>153824</xdr:rowOff>
    </xdr:from>
    <xdr:to>
      <xdr:col>19</xdr:col>
      <xdr:colOff>1181100</xdr:colOff>
      <xdr:row>80</xdr:row>
      <xdr:rowOff>95214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4C6155C3-127A-4B35-976B-81C7ACDD41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16650" y="11202824"/>
          <a:ext cx="3238500" cy="432289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57149</xdr:colOff>
      <xdr:row>27</xdr:row>
      <xdr:rowOff>182117</xdr:rowOff>
    </xdr:from>
    <xdr:to>
      <xdr:col>25</xdr:col>
      <xdr:colOff>447675</xdr:colOff>
      <xdr:row>50</xdr:row>
      <xdr:rowOff>132748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606754EA-2BC9-4417-B444-081DB2203F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393274" y="5516117"/>
          <a:ext cx="4133851" cy="4332131"/>
        </a:xfrm>
        <a:prstGeom prst="rect">
          <a:avLst/>
        </a:prstGeom>
      </xdr:spPr>
    </xdr:pic>
    <xdr:clientData/>
  </xdr:twoCellAnchor>
  <xdr:twoCellAnchor editAs="oneCell">
    <xdr:from>
      <xdr:col>20</xdr:col>
      <xdr:colOff>70625</xdr:colOff>
      <xdr:row>57</xdr:row>
      <xdr:rowOff>142875</xdr:rowOff>
    </xdr:from>
    <xdr:to>
      <xdr:col>25</xdr:col>
      <xdr:colOff>466725</xdr:colOff>
      <xdr:row>80</xdr:row>
      <xdr:rowOff>93021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B5238C86-E77A-4227-B281-37A01F2228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l="-2"/>
        <a:stretch/>
      </xdr:blipFill>
      <xdr:spPr>
        <a:xfrm>
          <a:off x="22406750" y="11191875"/>
          <a:ext cx="4139425" cy="4331646"/>
        </a:xfrm>
        <a:prstGeom prst="rect">
          <a:avLst/>
        </a:prstGeom>
      </xdr:spPr>
    </xdr:pic>
    <xdr:clientData/>
  </xdr:twoCellAnchor>
  <xdr:twoCellAnchor editAs="oneCell">
    <xdr:from>
      <xdr:col>20</xdr:col>
      <xdr:colOff>69811</xdr:colOff>
      <xdr:row>84</xdr:row>
      <xdr:rowOff>123825</xdr:rowOff>
    </xdr:from>
    <xdr:to>
      <xdr:col>25</xdr:col>
      <xdr:colOff>466725</xdr:colOff>
      <xdr:row>107</xdr:row>
      <xdr:rowOff>67582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2ECE084A-53B9-4DF6-89B1-1F50D235E0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05936" y="16316325"/>
          <a:ext cx="4140239" cy="43252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404813</xdr:colOff>
      <xdr:row>3</xdr:row>
      <xdr:rowOff>9525</xdr:rowOff>
    </xdr:from>
    <xdr:to>
      <xdr:col>24</xdr:col>
      <xdr:colOff>23813</xdr:colOff>
      <xdr:row>24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16</xdr:col>
      <xdr:colOff>457848</xdr:colOff>
      <xdr:row>52</xdr:row>
      <xdr:rowOff>159999</xdr:rowOff>
    </xdr:from>
    <xdr:ext cx="3096000" cy="180976"/>
    <xdr:sp macro="" textlink="">
      <xdr:nvSpPr>
        <xdr:cNvPr id="3" name="Text Box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18917298" y="10256499"/>
          <a:ext cx="3096000" cy="1809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oneCellAnchor>
    <xdr:from>
      <xdr:col>20</xdr:col>
      <xdr:colOff>55691</xdr:colOff>
      <xdr:row>52</xdr:row>
      <xdr:rowOff>150474</xdr:rowOff>
    </xdr:from>
    <xdr:ext cx="3096000" cy="180000"/>
    <xdr:sp macro="" textlink="">
      <xdr:nvSpPr>
        <xdr:cNvPr id="4" name="Text Box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22391816" y="10246974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Después del Ensayo</a:t>
          </a:r>
        </a:p>
      </xdr:txBody>
    </xdr:sp>
    <xdr:clientData/>
  </xdr:oneCellAnchor>
  <xdr:oneCellAnchor>
    <xdr:from>
      <xdr:col>16</xdr:col>
      <xdr:colOff>523875</xdr:colOff>
      <xdr:row>0</xdr:row>
      <xdr:rowOff>183356</xdr:rowOff>
    </xdr:from>
    <xdr:ext cx="6333043" cy="219075"/>
    <xdr:sp macro="" textlink="">
      <xdr:nvSpPr>
        <xdr:cNvPr id="5" name="Text Box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8983325" y="183356"/>
          <a:ext cx="6333043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u="sng" strike="noStrike">
              <a:solidFill>
                <a:srgbClr val="000000"/>
              </a:solidFill>
              <a:latin typeface="Arial"/>
              <a:cs typeface="Arial"/>
            </a:rPr>
            <a:t>ENSAYO TRIAXIAL CON MEDICIÓN DE DEFORMACIÓN</a:t>
          </a:r>
        </a:p>
      </xdr:txBody>
    </xdr:sp>
    <xdr:clientData/>
  </xdr:oneCellAnchor>
  <xdr:oneCellAnchor>
    <xdr:from>
      <xdr:col>16</xdr:col>
      <xdr:colOff>453521</xdr:colOff>
      <xdr:row>25</xdr:row>
      <xdr:rowOff>140061</xdr:rowOff>
    </xdr:from>
    <xdr:ext cx="6333043" cy="209550"/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18912971" y="5093061"/>
          <a:ext cx="6333043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oneCellAnchor>
  <xdr:oneCellAnchor>
    <xdr:from>
      <xdr:col>16</xdr:col>
      <xdr:colOff>633734</xdr:colOff>
      <xdr:row>56</xdr:row>
      <xdr:rowOff>35258</xdr:rowOff>
    </xdr:from>
    <xdr:ext cx="6330662" cy="214434"/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19093184" y="10893758"/>
          <a:ext cx="6330662" cy="21443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1" i="0" strike="noStrike">
              <a:solidFill>
                <a:srgbClr val="000000"/>
              </a:solidFill>
              <a:latin typeface="Arial"/>
              <a:cs typeface="Arial"/>
            </a:rPr>
            <a:t>FOTOGRAFÍAS</a:t>
          </a:r>
        </a:p>
      </xdr:txBody>
    </xdr:sp>
    <xdr:clientData/>
  </xdr:oneCellAnchor>
  <xdr:oneCellAnchor>
    <xdr:from>
      <xdr:col>16</xdr:col>
      <xdr:colOff>457848</xdr:colOff>
      <xdr:row>82</xdr:row>
      <xdr:rowOff>185547</xdr:rowOff>
    </xdr:from>
    <xdr:ext cx="3096000" cy="180000"/>
    <xdr:sp macro="" textlink="">
      <xdr:nvSpPr>
        <xdr:cNvPr id="8" name="Text Box 6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18917298" y="15997047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oneCellAnchor>
    <xdr:from>
      <xdr:col>20</xdr:col>
      <xdr:colOff>55691</xdr:colOff>
      <xdr:row>82</xdr:row>
      <xdr:rowOff>143295</xdr:rowOff>
    </xdr:from>
    <xdr:ext cx="2957635" cy="222252"/>
    <xdr:sp macro="" textlink="">
      <xdr:nvSpPr>
        <xdr:cNvPr id="9" name="Text Box 7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22391816" y="15954795"/>
          <a:ext cx="2957635" cy="2222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Después del Ensayo</a:t>
          </a:r>
        </a:p>
      </xdr:txBody>
    </xdr:sp>
    <xdr:clientData/>
  </xdr:oneCellAnchor>
  <xdr:twoCellAnchor>
    <xdr:from>
      <xdr:col>16</xdr:col>
      <xdr:colOff>457848</xdr:colOff>
      <xdr:row>27</xdr:row>
      <xdr:rowOff>182708</xdr:rowOff>
    </xdr:from>
    <xdr:to>
      <xdr:col>19</xdr:col>
      <xdr:colOff>1183248</xdr:colOff>
      <xdr:row>50</xdr:row>
      <xdr:rowOff>121208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8917298" y="5516708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55691</xdr:colOff>
      <xdr:row>27</xdr:row>
      <xdr:rowOff>182708</xdr:rowOff>
    </xdr:from>
    <xdr:to>
      <xdr:col>23</xdr:col>
      <xdr:colOff>781091</xdr:colOff>
      <xdr:row>50</xdr:row>
      <xdr:rowOff>121208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391816" y="5516708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457848</xdr:colOff>
      <xdr:row>57</xdr:row>
      <xdr:rowOff>146981</xdr:rowOff>
    </xdr:from>
    <xdr:to>
      <xdr:col>19</xdr:col>
      <xdr:colOff>1183248</xdr:colOff>
      <xdr:row>80</xdr:row>
      <xdr:rowOff>85481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8917298" y="11195981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55691</xdr:colOff>
      <xdr:row>57</xdr:row>
      <xdr:rowOff>146981</xdr:rowOff>
    </xdr:from>
    <xdr:to>
      <xdr:col>23</xdr:col>
      <xdr:colOff>781091</xdr:colOff>
      <xdr:row>80</xdr:row>
      <xdr:rowOff>85481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2391816" y="11195981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17</xdr:col>
      <xdr:colOff>34018</xdr:colOff>
      <xdr:row>4</xdr:row>
      <xdr:rowOff>77107</xdr:rowOff>
    </xdr:from>
    <xdr:to>
      <xdr:col>23</xdr:col>
      <xdr:colOff>467745</xdr:colOff>
      <xdr:row>5</xdr:row>
      <xdr:rowOff>93549</xdr:rowOff>
    </xdr:to>
    <xdr:sp macro="" textlink="$AA$5">
      <xdr:nvSpPr>
        <xdr:cNvPr id="14" name="CuadroText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9331668" y="839107"/>
          <a:ext cx="5986802" cy="206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E31FE58-0EDF-43BC-A12B-F50A062A4E9B}" type="TxLink">
            <a:rPr lang="en-US" sz="8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PROYECTO  :  C1BH-L12-L10-3+823-HL</a:t>
          </a:fld>
          <a:endParaRPr lang="es-C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85045</xdr:colOff>
      <xdr:row>5</xdr:row>
      <xdr:rowOff>95250</xdr:rowOff>
    </xdr:from>
    <xdr:to>
      <xdr:col>23</xdr:col>
      <xdr:colOff>493258</xdr:colOff>
      <xdr:row>6</xdr:row>
      <xdr:rowOff>174625</xdr:rowOff>
    </xdr:to>
    <xdr:sp macro="" textlink="$AA$6">
      <xdr:nvSpPr>
        <xdr:cNvPr id="15" name="Cuadro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9382695" y="1047750"/>
          <a:ext cx="5961288" cy="269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FCA342CA-7E04-4C16-97F5-CE1A5127F2BE}" type="TxLink">
            <a:rPr lang="en-US" sz="800" b="1" i="0" u="none" strike="noStrike">
              <a:solidFill>
                <a:srgbClr val="000000"/>
              </a:solidFill>
              <a:latin typeface="Arial"/>
              <a:ea typeface="+mn-ea"/>
              <a:cs typeface="Arial"/>
            </a:rPr>
            <a:pPr marL="0" indent="0" algn="ctr"/>
            <a:t>MUESTRA  :  C1BH-L12-L10-3+823-HL (02,84-03,33)</a:t>
          </a:fld>
          <a:endParaRPr lang="es-CL" sz="800" b="1" i="0" u="none" strike="noStrike">
            <a:solidFill>
              <a:srgbClr val="00000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16</xdr:col>
      <xdr:colOff>457848</xdr:colOff>
      <xdr:row>50</xdr:row>
      <xdr:rowOff>134416</xdr:rowOff>
    </xdr:from>
    <xdr:to>
      <xdr:col>19</xdr:col>
      <xdr:colOff>1039248</xdr:colOff>
      <xdr:row>51</xdr:row>
      <xdr:rowOff>122206</xdr:rowOff>
    </xdr:to>
    <xdr:sp macro="" textlink="$AA$5">
      <xdr:nvSpPr>
        <xdr:cNvPr id="16" name="Cuadro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8917298" y="9849916"/>
          <a:ext cx="3096000" cy="17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51</xdr:row>
      <xdr:rowOff>149311</xdr:rowOff>
    </xdr:from>
    <xdr:to>
      <xdr:col>19</xdr:col>
      <xdr:colOff>1039248</xdr:colOff>
      <xdr:row>52</xdr:row>
      <xdr:rowOff>138811</xdr:rowOff>
    </xdr:to>
    <xdr:sp macro="" textlink="$AA$6">
      <xdr:nvSpPr>
        <xdr:cNvPr id="17" name="Cuadro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8917298" y="10055311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50</xdr:row>
      <xdr:rowOff>134416</xdr:rowOff>
    </xdr:from>
    <xdr:to>
      <xdr:col>23</xdr:col>
      <xdr:colOff>637091</xdr:colOff>
      <xdr:row>51</xdr:row>
      <xdr:rowOff>122206</xdr:rowOff>
    </xdr:to>
    <xdr:sp macro="" textlink="$AA$5">
      <xdr:nvSpPr>
        <xdr:cNvPr id="18" name="CuadroText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22391816" y="9849916"/>
          <a:ext cx="3096000" cy="17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51</xdr:row>
      <xdr:rowOff>149311</xdr:rowOff>
    </xdr:from>
    <xdr:to>
      <xdr:col>23</xdr:col>
      <xdr:colOff>637091</xdr:colOff>
      <xdr:row>52</xdr:row>
      <xdr:rowOff>138811</xdr:rowOff>
    </xdr:to>
    <xdr:sp macro="" textlink="$AA$6">
      <xdr:nvSpPr>
        <xdr:cNvPr id="19" name="CuadroText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22391816" y="10055311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80</xdr:row>
      <xdr:rowOff>108615</xdr:rowOff>
    </xdr:from>
    <xdr:to>
      <xdr:col>19</xdr:col>
      <xdr:colOff>1039248</xdr:colOff>
      <xdr:row>81</xdr:row>
      <xdr:rowOff>98115</xdr:rowOff>
    </xdr:to>
    <xdr:sp macro="" textlink="$AA$5">
      <xdr:nvSpPr>
        <xdr:cNvPr id="20" name="CuadroText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18917298" y="15539115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81</xdr:row>
      <xdr:rowOff>123510</xdr:rowOff>
    </xdr:from>
    <xdr:to>
      <xdr:col>19</xdr:col>
      <xdr:colOff>1039248</xdr:colOff>
      <xdr:row>82</xdr:row>
      <xdr:rowOff>113010</xdr:rowOff>
    </xdr:to>
    <xdr:sp macro="" textlink="$AA$6">
      <xdr:nvSpPr>
        <xdr:cNvPr id="21" name="CuadroText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18917298" y="15744510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80</xdr:row>
      <xdr:rowOff>110325</xdr:rowOff>
    </xdr:from>
    <xdr:to>
      <xdr:col>23</xdr:col>
      <xdr:colOff>629632</xdr:colOff>
      <xdr:row>81</xdr:row>
      <xdr:rowOff>98115</xdr:rowOff>
    </xdr:to>
    <xdr:sp macro="" textlink="$AA$5">
      <xdr:nvSpPr>
        <xdr:cNvPr id="22" name="CuadroText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22391816" y="15540825"/>
          <a:ext cx="3088541" cy="178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81</xdr:row>
      <xdr:rowOff>93471</xdr:rowOff>
    </xdr:from>
    <xdr:to>
      <xdr:col>23</xdr:col>
      <xdr:colOff>629634</xdr:colOff>
      <xdr:row>82</xdr:row>
      <xdr:rowOff>113010</xdr:rowOff>
    </xdr:to>
    <xdr:sp macro="" textlink="$AA$6">
      <xdr:nvSpPr>
        <xdr:cNvPr id="23" name="CuadroText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22391816" y="15714471"/>
          <a:ext cx="3088543" cy="210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oneCellAnchor>
    <xdr:from>
      <xdr:col>16</xdr:col>
      <xdr:colOff>457848</xdr:colOff>
      <xdr:row>110</xdr:row>
      <xdr:rowOff>2420</xdr:rowOff>
    </xdr:from>
    <xdr:ext cx="3096000" cy="180000"/>
    <xdr:sp macro="" textlink="">
      <xdr:nvSpPr>
        <xdr:cNvPr id="24" name="Text Box 6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>
          <a:spLocks noChangeArrowheads="1"/>
        </xdr:cNvSpPr>
      </xdr:nvSpPr>
      <xdr:spPr bwMode="auto">
        <a:xfrm>
          <a:off x="18917298" y="21147920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Antes del Ensayo</a:t>
          </a:r>
        </a:p>
      </xdr:txBody>
    </xdr:sp>
    <xdr:clientData/>
  </xdr:oneCellAnchor>
  <xdr:oneCellAnchor>
    <xdr:from>
      <xdr:col>20</xdr:col>
      <xdr:colOff>55691</xdr:colOff>
      <xdr:row>110</xdr:row>
      <xdr:rowOff>2420</xdr:rowOff>
    </xdr:from>
    <xdr:ext cx="3096000" cy="180000"/>
    <xdr:sp macro="" textlink="">
      <xdr:nvSpPr>
        <xdr:cNvPr id="25" name="Text Box 7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>
          <a:spLocks noChangeArrowheads="1"/>
        </xdr:cNvSpPr>
      </xdr:nvSpPr>
      <xdr:spPr bwMode="auto">
        <a:xfrm>
          <a:off x="22391816" y="21147920"/>
          <a:ext cx="3096000" cy="18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1000" b="0" i="0" strike="noStrike">
              <a:solidFill>
                <a:srgbClr val="000000"/>
              </a:solidFill>
              <a:latin typeface="Arial"/>
              <a:cs typeface="Arial"/>
            </a:rPr>
            <a:t>Después del Ensayo</a:t>
          </a:r>
        </a:p>
      </xdr:txBody>
    </xdr:sp>
    <xdr:clientData/>
  </xdr:oneCellAnchor>
  <xdr:twoCellAnchor>
    <xdr:from>
      <xdr:col>16</xdr:col>
      <xdr:colOff>457848</xdr:colOff>
      <xdr:row>84</xdr:row>
      <xdr:rowOff>132196</xdr:rowOff>
    </xdr:from>
    <xdr:to>
      <xdr:col>19</xdr:col>
      <xdr:colOff>1183248</xdr:colOff>
      <xdr:row>107</xdr:row>
      <xdr:rowOff>70696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18917298" y="16324696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55691</xdr:colOff>
      <xdr:row>84</xdr:row>
      <xdr:rowOff>132196</xdr:rowOff>
    </xdr:from>
    <xdr:to>
      <xdr:col>23</xdr:col>
      <xdr:colOff>781091</xdr:colOff>
      <xdr:row>107</xdr:row>
      <xdr:rowOff>70696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22391816" y="16324696"/>
          <a:ext cx="3240000" cy="43200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457848</xdr:colOff>
      <xdr:row>107</xdr:row>
      <xdr:rowOff>113322</xdr:rowOff>
    </xdr:from>
    <xdr:to>
      <xdr:col>19</xdr:col>
      <xdr:colOff>1039248</xdr:colOff>
      <xdr:row>108</xdr:row>
      <xdr:rowOff>102822</xdr:rowOff>
    </xdr:to>
    <xdr:sp macro="" textlink="$AA$5">
      <xdr:nvSpPr>
        <xdr:cNvPr id="28" name="CuadroTexto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/>
      </xdr:nvSpPr>
      <xdr:spPr>
        <a:xfrm>
          <a:off x="18917298" y="20687322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16</xdr:col>
      <xdr:colOff>457848</xdr:colOff>
      <xdr:row>108</xdr:row>
      <xdr:rowOff>128217</xdr:rowOff>
    </xdr:from>
    <xdr:to>
      <xdr:col>19</xdr:col>
      <xdr:colOff>1039248</xdr:colOff>
      <xdr:row>109</xdr:row>
      <xdr:rowOff>117717</xdr:rowOff>
    </xdr:to>
    <xdr:sp macro="" textlink="$AA$6">
      <xdr:nvSpPr>
        <xdr:cNvPr id="29" name="CuadroText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18917298" y="20892717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107</xdr:row>
      <xdr:rowOff>113321</xdr:rowOff>
    </xdr:from>
    <xdr:to>
      <xdr:col>23</xdr:col>
      <xdr:colOff>637091</xdr:colOff>
      <xdr:row>108</xdr:row>
      <xdr:rowOff>102821</xdr:rowOff>
    </xdr:to>
    <xdr:sp macro="" textlink="$AA$5">
      <xdr:nvSpPr>
        <xdr:cNvPr id="30" name="CuadroTexto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22391816" y="20687321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8D17D46E-95FB-477F-A43C-12649E7F226A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C1BH-L12-L10-3+823-HL</a:t>
          </a:fld>
          <a:endParaRPr lang="es-CL" sz="1100"/>
        </a:p>
      </xdr:txBody>
    </xdr:sp>
    <xdr:clientData/>
  </xdr:twoCellAnchor>
  <xdr:twoCellAnchor>
    <xdr:from>
      <xdr:col>20</xdr:col>
      <xdr:colOff>55691</xdr:colOff>
      <xdr:row>108</xdr:row>
      <xdr:rowOff>128217</xdr:rowOff>
    </xdr:from>
    <xdr:to>
      <xdr:col>23</xdr:col>
      <xdr:colOff>637091</xdr:colOff>
      <xdr:row>109</xdr:row>
      <xdr:rowOff>117717</xdr:rowOff>
    </xdr:to>
    <xdr:sp macro="" textlink="$AA$6">
      <xdr:nvSpPr>
        <xdr:cNvPr id="31" name="CuadroTexto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22391816" y="20892717"/>
          <a:ext cx="309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A81ACF1-8EEF-4E6B-AE0D-CC6B46A47E4B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C1BH-L12-L10-3+823-HL (02,84-03,33)</a:t>
          </a:fld>
          <a:endParaRPr lang="es-CL" sz="1100"/>
        </a:p>
      </xdr:txBody>
    </xdr:sp>
    <xdr:clientData/>
  </xdr:twoCellAnchor>
  <xdr:twoCellAnchor editAs="oneCell">
    <xdr:from>
      <xdr:col>16</xdr:col>
      <xdr:colOff>457199</xdr:colOff>
      <xdr:row>27</xdr:row>
      <xdr:rowOff>180975</xdr:rowOff>
    </xdr:from>
    <xdr:to>
      <xdr:col>19</xdr:col>
      <xdr:colOff>1181100</xdr:colOff>
      <xdr:row>50</xdr:row>
      <xdr:rowOff>146050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85230270-7CD3-44EC-B190-ED153C40B3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16649" y="5514975"/>
          <a:ext cx="3238501" cy="4346575"/>
        </a:xfrm>
        <a:prstGeom prst="rect">
          <a:avLst/>
        </a:prstGeom>
      </xdr:spPr>
    </xdr:pic>
    <xdr:clientData/>
  </xdr:twoCellAnchor>
  <xdr:twoCellAnchor editAs="oneCell">
    <xdr:from>
      <xdr:col>16</xdr:col>
      <xdr:colOff>466725</xdr:colOff>
      <xdr:row>84</xdr:row>
      <xdr:rowOff>142874</xdr:rowOff>
    </xdr:from>
    <xdr:to>
      <xdr:col>19</xdr:col>
      <xdr:colOff>1181100</xdr:colOff>
      <xdr:row>107</xdr:row>
      <xdr:rowOff>80149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5AFCA377-276D-48E7-A0BA-CFB80189C2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26175" y="16335374"/>
          <a:ext cx="3228975" cy="4318775"/>
        </a:xfrm>
        <a:prstGeom prst="rect">
          <a:avLst/>
        </a:prstGeom>
      </xdr:spPr>
    </xdr:pic>
    <xdr:clientData/>
  </xdr:twoCellAnchor>
  <xdr:twoCellAnchor editAs="oneCell">
    <xdr:from>
      <xdr:col>16</xdr:col>
      <xdr:colOff>457201</xdr:colOff>
      <xdr:row>57</xdr:row>
      <xdr:rowOff>152400</xdr:rowOff>
    </xdr:from>
    <xdr:to>
      <xdr:col>19</xdr:col>
      <xdr:colOff>1181101</xdr:colOff>
      <xdr:row>80</xdr:row>
      <xdr:rowOff>96800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9088CED9-B60B-4812-91F3-888C4F11C0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8916651" y="11201400"/>
          <a:ext cx="3238500" cy="4325900"/>
        </a:xfrm>
        <a:prstGeom prst="rect">
          <a:avLst/>
        </a:prstGeom>
      </xdr:spPr>
    </xdr:pic>
    <xdr:clientData/>
  </xdr:twoCellAnchor>
  <xdr:twoCellAnchor editAs="oneCell">
    <xdr:from>
      <xdr:col>20</xdr:col>
      <xdr:colOff>69607</xdr:colOff>
      <xdr:row>27</xdr:row>
      <xdr:rowOff>184264</xdr:rowOff>
    </xdr:from>
    <xdr:to>
      <xdr:col>23</xdr:col>
      <xdr:colOff>800101</xdr:colOff>
      <xdr:row>50</xdr:row>
      <xdr:rowOff>130419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B4C3DE78-CB3B-460B-BAEA-00D4B4A897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405732" y="5518264"/>
          <a:ext cx="3245094" cy="4327655"/>
        </a:xfrm>
        <a:prstGeom prst="rect">
          <a:avLst/>
        </a:prstGeom>
      </xdr:spPr>
    </xdr:pic>
    <xdr:clientData/>
  </xdr:twoCellAnchor>
  <xdr:twoCellAnchor editAs="oneCell">
    <xdr:from>
      <xdr:col>20</xdr:col>
      <xdr:colOff>53285</xdr:colOff>
      <xdr:row>84</xdr:row>
      <xdr:rowOff>123825</xdr:rowOff>
    </xdr:from>
    <xdr:to>
      <xdr:col>23</xdr:col>
      <xdr:colOff>781050</xdr:colOff>
      <xdr:row>107</xdr:row>
      <xdr:rowOff>70869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11517200-848A-4F41-B6C8-516A255897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389410" y="16316325"/>
          <a:ext cx="3242365" cy="4328544"/>
        </a:xfrm>
        <a:prstGeom prst="rect">
          <a:avLst/>
        </a:prstGeom>
      </xdr:spPr>
    </xdr:pic>
    <xdr:clientData/>
  </xdr:twoCellAnchor>
  <xdr:twoCellAnchor editAs="oneCell">
    <xdr:from>
      <xdr:col>20</xdr:col>
      <xdr:colOff>61144</xdr:colOff>
      <xdr:row>57</xdr:row>
      <xdr:rowOff>142875</xdr:rowOff>
    </xdr:from>
    <xdr:to>
      <xdr:col>23</xdr:col>
      <xdr:colOff>781050</xdr:colOff>
      <xdr:row>80</xdr:row>
      <xdr:rowOff>89719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A83E10CA-CFBB-4457-8EED-536C817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2397269" y="11191875"/>
          <a:ext cx="3234506" cy="4328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3"/>
  <sheetViews>
    <sheetView showGridLines="0" workbookViewId="0">
      <selection activeCell="F15" sqref="F15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8" ht="12.75" customHeight="1" x14ac:dyDescent="0.15">
      <c r="B2" s="1" t="s">
        <v>0</v>
      </c>
      <c r="C2" s="2" t="s">
        <v>117</v>
      </c>
      <c r="D2" s="3"/>
      <c r="E2" s="3"/>
      <c r="F2" s="3"/>
      <c r="G2" s="3"/>
      <c r="H2" s="4"/>
    </row>
    <row r="3" spans="2:8" x14ac:dyDescent="0.15">
      <c r="B3" s="6" t="s">
        <v>38</v>
      </c>
      <c r="C3" s="2" t="s">
        <v>115</v>
      </c>
      <c r="D3" s="3"/>
      <c r="E3" s="3"/>
      <c r="F3" s="3"/>
      <c r="G3" s="3"/>
      <c r="H3" s="4"/>
    </row>
    <row r="4" spans="2:8" x14ac:dyDescent="0.15">
      <c r="B4" s="7" t="s">
        <v>6</v>
      </c>
      <c r="C4" s="2" t="s">
        <v>116</v>
      </c>
      <c r="D4" s="3"/>
      <c r="E4" s="3"/>
      <c r="F4" s="3"/>
      <c r="G4" s="3"/>
      <c r="H4" s="4"/>
    </row>
    <row r="6" spans="2:8" x14ac:dyDescent="0.15">
      <c r="B6" s="116" t="s">
        <v>39</v>
      </c>
      <c r="C6" s="116"/>
      <c r="D6" s="116"/>
    </row>
    <row r="7" spans="2:8" x14ac:dyDescent="0.15">
      <c r="B7" s="117">
        <v>3</v>
      </c>
      <c r="C7" s="117"/>
      <c r="D7" s="117"/>
    </row>
    <row r="10" spans="2:8" x14ac:dyDescent="0.15">
      <c r="B10" s="8" t="s">
        <v>40</v>
      </c>
      <c r="C10" s="8" t="s">
        <v>41</v>
      </c>
    </row>
    <row r="11" spans="2:8" x14ac:dyDescent="0.15">
      <c r="B11" s="9">
        <v>1</v>
      </c>
      <c r="C11" s="10" t="s">
        <v>107</v>
      </c>
    </row>
    <row r="12" spans="2:8" x14ac:dyDescent="0.15">
      <c r="B12" s="9">
        <v>2</v>
      </c>
      <c r="C12" s="10" t="s">
        <v>108</v>
      </c>
    </row>
    <row r="13" spans="2:8" x14ac:dyDescent="0.15">
      <c r="B13" s="9">
        <v>3</v>
      </c>
      <c r="C13" s="10" t="s">
        <v>109</v>
      </c>
    </row>
  </sheetData>
  <sheetProtection algorithmName="SHA-512" hashValue="XdrEWibV06CwZRQwZWOLoOYBLrhj4ws5+xCTs5m5jUF+etbNNuGHX5P+An8dzHKbOkejCfITJJSGZAfBBxK5AQ==" saltValue="doZ2BgiJc+hJeEWgF+JjUA==" spinCount="100000" sheet="1" formatCells="0" formatColumns="0" formatRows="0"/>
  <protectedRanges>
    <protectedRange sqref="C2:H4 B7 B10:D11 G10:H22 B41:H114 D12:D22 D23:H40 B12:C40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I220"/>
  <sheetViews>
    <sheetView tabSelected="1" topLeftCell="J1" zoomScaleNormal="100" workbookViewId="0">
      <selection activeCell="L11" sqref="L11"/>
    </sheetView>
  </sheetViews>
  <sheetFormatPr baseColWidth="10" defaultRowHeight="12" x14ac:dyDescent="0.2"/>
  <cols>
    <col min="1" max="1" width="11.875" style="11" customWidth="1"/>
    <col min="2" max="2" width="11.875" style="106" customWidth="1"/>
    <col min="3" max="3" width="11.875" style="11" customWidth="1"/>
    <col min="4" max="4" width="18.125" style="11" customWidth="1"/>
    <col min="5" max="6" width="13.125" style="11" customWidth="1"/>
    <col min="7" max="7" width="21.25" style="11" customWidth="1"/>
    <col min="8" max="8" width="11" style="11"/>
    <col min="9" max="9" width="11" style="13"/>
    <col min="10" max="10" width="11" style="11"/>
    <col min="11" max="11" width="21.5" style="11" customWidth="1"/>
    <col min="12" max="13" width="11.125" style="11" customWidth="1"/>
    <col min="14" max="14" width="29.25" style="11" customWidth="1"/>
    <col min="15" max="15" width="24" style="11" customWidth="1"/>
    <col min="16" max="16" width="11" style="11"/>
    <col min="17" max="19" width="11" style="12"/>
    <col min="20" max="20" width="17.875" style="12" customWidth="1"/>
    <col min="21" max="24" width="11" style="12"/>
    <col min="25" max="25" width="5.125" style="12" customWidth="1"/>
    <col min="26" max="26" width="11" style="11"/>
    <col min="27" max="27" width="0.875" style="11" customWidth="1"/>
    <col min="28" max="16384" width="11" style="11"/>
  </cols>
  <sheetData>
    <row r="1" spans="1:35" ht="15" customHeight="1" x14ac:dyDescent="0.2">
      <c r="B1" s="11"/>
      <c r="K1" s="94" t="s">
        <v>86</v>
      </c>
      <c r="Q1" s="118"/>
      <c r="R1" s="118"/>
      <c r="S1" s="118"/>
      <c r="T1" s="118"/>
      <c r="U1" s="118"/>
      <c r="V1" s="118"/>
      <c r="W1" s="118"/>
      <c r="X1" s="118"/>
      <c r="Y1" s="118"/>
    </row>
    <row r="2" spans="1:35" ht="15" customHeight="1" x14ac:dyDescent="0.2">
      <c r="A2" s="78" t="s">
        <v>42</v>
      </c>
      <c r="B2" s="101"/>
      <c r="C2" s="41"/>
      <c r="D2" s="115" t="str">
        <f>'Ingreso Datos'!C2</f>
        <v>C1BH-L12-L10-3+823-HL</v>
      </c>
      <c r="F2" s="93" t="s">
        <v>87</v>
      </c>
      <c r="G2" s="92"/>
      <c r="H2" s="92"/>
      <c r="I2" s="91"/>
    </row>
    <row r="3" spans="1:35" ht="15" customHeight="1" x14ac:dyDescent="0.2">
      <c r="A3" s="78" t="s">
        <v>8</v>
      </c>
      <c r="B3" s="101"/>
      <c r="C3" s="41"/>
      <c r="D3" s="96">
        <v>45449</v>
      </c>
      <c r="F3" s="90" t="s">
        <v>33</v>
      </c>
      <c r="G3" s="89"/>
      <c r="H3" s="89"/>
      <c r="I3" s="88"/>
      <c r="K3" s="87" t="s">
        <v>0</v>
      </c>
      <c r="L3" s="86" t="str">
        <f>D2</f>
        <v>C1BH-L12-L10-3+823-HL</v>
      </c>
      <c r="M3" s="73"/>
      <c r="N3" s="72"/>
      <c r="O3" s="71"/>
      <c r="P3" s="70"/>
      <c r="Q3" s="70"/>
      <c r="R3" s="70"/>
      <c r="S3" s="70"/>
      <c r="T3" s="70"/>
      <c r="U3" s="70"/>
    </row>
    <row r="4" spans="1:35" ht="15" customHeight="1" x14ac:dyDescent="0.2">
      <c r="A4" s="78" t="s">
        <v>43</v>
      </c>
      <c r="B4" s="101"/>
      <c r="C4" s="41"/>
      <c r="D4" s="95" t="s">
        <v>110</v>
      </c>
      <c r="F4" s="85" t="s">
        <v>32</v>
      </c>
      <c r="G4" s="84"/>
      <c r="H4" s="84"/>
      <c r="I4" s="83"/>
      <c r="K4" s="81" t="s">
        <v>85</v>
      </c>
      <c r="L4" s="82" t="str">
        <f>+'Ingreso Datos'!C3</f>
        <v>1.914.753-D</v>
      </c>
      <c r="M4" s="73"/>
      <c r="N4" s="72"/>
      <c r="O4" s="71"/>
      <c r="P4" s="70"/>
      <c r="Q4" s="70"/>
      <c r="R4" s="70"/>
      <c r="S4" s="70"/>
      <c r="T4" s="70"/>
      <c r="U4" s="70"/>
    </row>
    <row r="5" spans="1:35" ht="15" customHeight="1" x14ac:dyDescent="0.2">
      <c r="A5" s="78" t="s">
        <v>84</v>
      </c>
      <c r="B5" s="101"/>
      <c r="C5" s="41"/>
      <c r="D5" s="95" t="s">
        <v>113</v>
      </c>
      <c r="K5" s="81" t="s">
        <v>6</v>
      </c>
      <c r="L5" s="82" t="str">
        <f>+'Ingreso Datos'!C4</f>
        <v>-</v>
      </c>
      <c r="M5" s="73"/>
      <c r="N5" s="72"/>
      <c r="O5" s="71"/>
      <c r="P5" s="70"/>
      <c r="Q5" s="70"/>
      <c r="R5" s="70"/>
      <c r="S5" s="70"/>
      <c r="T5" s="70"/>
      <c r="U5" s="70"/>
      <c r="AA5" s="80" t="str">
        <f>+CONCATENATE(A2,"  ",":","  ",D2)</f>
        <v>PROYECTO  :  C1BH-L12-L10-3+823-HL</v>
      </c>
      <c r="AB5" s="79"/>
      <c r="AC5" s="79"/>
      <c r="AD5" s="79"/>
      <c r="AE5" s="79"/>
      <c r="AF5" s="79"/>
      <c r="AG5" s="79"/>
      <c r="AH5" s="79"/>
      <c r="AI5" s="79"/>
    </row>
    <row r="6" spans="1:35" ht="15" customHeight="1" x14ac:dyDescent="0.2">
      <c r="A6" s="78" t="s">
        <v>83</v>
      </c>
      <c r="B6" s="101"/>
      <c r="C6" s="41"/>
      <c r="D6" s="95" t="s">
        <v>114</v>
      </c>
      <c r="K6" s="67" t="s">
        <v>82</v>
      </c>
      <c r="L6" s="125">
        <f>D3</f>
        <v>45449</v>
      </c>
      <c r="M6" s="126"/>
      <c r="N6" s="126"/>
      <c r="O6" s="127"/>
      <c r="P6" s="70"/>
      <c r="Q6" s="70"/>
      <c r="R6" s="70"/>
      <c r="S6" s="70"/>
      <c r="T6" s="70"/>
      <c r="U6" s="70"/>
      <c r="AA6" s="80" t="str">
        <f>+CONCATENATE(A4,"  ",":","  ",D4)</f>
        <v>MUESTRA  :  C1BH-L12-L10-3+823-HL (02,84-03,33)</v>
      </c>
      <c r="AB6" s="79"/>
      <c r="AC6" s="79"/>
      <c r="AD6" s="79"/>
      <c r="AE6" s="79"/>
      <c r="AF6" s="79"/>
      <c r="AG6" s="79"/>
      <c r="AH6" s="79"/>
      <c r="AI6" s="79"/>
    </row>
    <row r="7" spans="1:35" ht="15" customHeight="1" x14ac:dyDescent="0.2">
      <c r="A7" s="78" t="s">
        <v>12</v>
      </c>
      <c r="B7" s="101"/>
      <c r="C7" s="41"/>
      <c r="D7" s="95" t="s">
        <v>111</v>
      </c>
      <c r="F7" s="97" t="s">
        <v>89</v>
      </c>
      <c r="G7" s="98"/>
      <c r="H7" s="99"/>
      <c r="K7" s="67" t="s">
        <v>81</v>
      </c>
      <c r="L7" s="125">
        <f>D3</f>
        <v>45449</v>
      </c>
      <c r="M7" s="126"/>
      <c r="N7" s="126"/>
      <c r="O7" s="127"/>
      <c r="P7" s="70"/>
      <c r="Q7" s="70"/>
      <c r="R7" s="70"/>
      <c r="S7" s="70"/>
      <c r="T7" s="70"/>
      <c r="U7" s="70"/>
    </row>
    <row r="8" spans="1:35" ht="15" customHeight="1" x14ac:dyDescent="0.2">
      <c r="B8" s="11"/>
      <c r="F8" s="100" t="s">
        <v>90</v>
      </c>
      <c r="G8" s="98"/>
      <c r="H8" s="99"/>
      <c r="K8" s="77"/>
      <c r="L8" s="76"/>
      <c r="M8" s="17"/>
      <c r="P8" s="70"/>
      <c r="Q8" s="70"/>
      <c r="R8" s="70"/>
      <c r="S8" s="70"/>
      <c r="T8" s="70"/>
      <c r="U8" s="70"/>
    </row>
    <row r="9" spans="1:35" ht="15" customHeight="1" x14ac:dyDescent="0.2">
      <c r="A9" s="42" t="s">
        <v>13</v>
      </c>
      <c r="B9" s="102"/>
      <c r="C9" s="41"/>
      <c r="D9" s="95">
        <v>6.09</v>
      </c>
      <c r="E9" s="11" t="s">
        <v>25</v>
      </c>
      <c r="F9" s="52" t="s">
        <v>36</v>
      </c>
      <c r="G9" s="41">
        <f>+ROUND(AVERAGE(D9:D17),1)*10</f>
        <v>61</v>
      </c>
      <c r="H9" s="75" t="str">
        <f>+CONCATENATE("D",G9)</f>
        <v>D61</v>
      </c>
      <c r="K9" s="67" t="s">
        <v>80</v>
      </c>
      <c r="L9" s="74" t="str">
        <f>D4</f>
        <v>C1BH-L12-L10-3+823-HL (02,84-03,33)</v>
      </c>
      <c r="M9" s="73"/>
      <c r="N9" s="72"/>
      <c r="O9" s="71"/>
      <c r="P9" s="70"/>
      <c r="Q9" s="70"/>
      <c r="R9" s="70"/>
      <c r="S9" s="70"/>
      <c r="T9" s="70"/>
      <c r="U9" s="70"/>
    </row>
    <row r="10" spans="1:35" ht="15" customHeight="1" x14ac:dyDescent="0.2">
      <c r="A10" s="42" t="s">
        <v>14</v>
      </c>
      <c r="B10" s="102"/>
      <c r="C10" s="41"/>
      <c r="D10" s="95">
        <v>6.09</v>
      </c>
      <c r="E10" s="11" t="s">
        <v>25</v>
      </c>
      <c r="F10" s="52" t="s">
        <v>34</v>
      </c>
      <c r="G10" s="41"/>
      <c r="H10" s="69">
        <f>D18/AVERAGE(D9:D17)</f>
        <v>2.1403540792115345</v>
      </c>
      <c r="K10" s="67" t="s">
        <v>10</v>
      </c>
      <c r="L10" s="66" t="str">
        <f>D5</f>
        <v>Toba lítica</v>
      </c>
      <c r="M10" s="68"/>
      <c r="N10" s="64"/>
      <c r="O10" s="63"/>
      <c r="P10" s="12"/>
    </row>
    <row r="11" spans="1:35" ht="15" customHeight="1" x14ac:dyDescent="0.2">
      <c r="A11" s="42" t="s">
        <v>15</v>
      </c>
      <c r="B11" s="102"/>
      <c r="C11" s="41"/>
      <c r="D11" s="95">
        <v>6.09</v>
      </c>
      <c r="E11" s="11" t="s">
        <v>25</v>
      </c>
      <c r="F11" s="42" t="s">
        <v>79</v>
      </c>
      <c r="G11" s="41"/>
      <c r="H11" s="57">
        <f>(AVERAGE(D9:D11))*10</f>
        <v>60.9</v>
      </c>
      <c r="I11" s="56" t="s">
        <v>28</v>
      </c>
      <c r="K11" s="67" t="s">
        <v>11</v>
      </c>
      <c r="L11" s="66" t="str">
        <f>D6</f>
        <v>Fractura pre-existente</v>
      </c>
      <c r="M11" s="65"/>
      <c r="N11" s="64"/>
      <c r="O11" s="63"/>
      <c r="P11" s="12"/>
    </row>
    <row r="12" spans="1:35" ht="15" customHeight="1" x14ac:dyDescent="0.2">
      <c r="A12" s="42" t="s">
        <v>17</v>
      </c>
      <c r="B12" s="102"/>
      <c r="C12" s="41"/>
      <c r="D12" s="95">
        <v>6.09</v>
      </c>
      <c r="E12" s="11" t="s">
        <v>25</v>
      </c>
      <c r="F12" s="42" t="s">
        <v>78</v>
      </c>
      <c r="G12" s="41"/>
      <c r="H12" s="57">
        <f>(AVERAGE(D12:D14))*10</f>
        <v>60.833333333333329</v>
      </c>
      <c r="I12" s="56" t="s">
        <v>28</v>
      </c>
      <c r="K12" s="67" t="s">
        <v>12</v>
      </c>
      <c r="L12" s="66" t="str">
        <f>D7</f>
        <v>Oxidación y zeolitización</v>
      </c>
      <c r="M12" s="65"/>
      <c r="N12" s="64"/>
      <c r="O12" s="63"/>
      <c r="P12" s="12"/>
    </row>
    <row r="13" spans="1:35" ht="15" customHeight="1" x14ac:dyDescent="0.2">
      <c r="A13" s="42" t="s">
        <v>18</v>
      </c>
      <c r="B13" s="102"/>
      <c r="C13" s="41"/>
      <c r="D13" s="95">
        <v>6.08</v>
      </c>
      <c r="E13" s="59" t="s">
        <v>25</v>
      </c>
      <c r="F13" s="42" t="s">
        <v>77</v>
      </c>
      <c r="G13" s="41"/>
      <c r="H13" s="57">
        <f>(AVERAGE(D15:D17))*10</f>
        <v>60.9</v>
      </c>
      <c r="I13" s="56" t="s">
        <v>28</v>
      </c>
      <c r="K13" s="67" t="s">
        <v>106</v>
      </c>
      <c r="L13" s="128" t="s">
        <v>118</v>
      </c>
      <c r="M13" s="129"/>
      <c r="N13" s="129"/>
      <c r="O13" s="130"/>
      <c r="P13" s="12"/>
    </row>
    <row r="14" spans="1:35" ht="15" customHeight="1" x14ac:dyDescent="0.2">
      <c r="A14" s="42" t="s">
        <v>19</v>
      </c>
      <c r="B14" s="102"/>
      <c r="C14" s="41"/>
      <c r="D14" s="95">
        <v>6.08</v>
      </c>
      <c r="E14" s="11" t="s">
        <v>25</v>
      </c>
      <c r="F14" s="42" t="s">
        <v>16</v>
      </c>
      <c r="G14" s="41"/>
      <c r="H14" s="57">
        <f>(((H11/2)^2*PI())+(((H12/2)^2*PI())*4)+((H13/2)^2*PI()))/6</f>
        <v>2908.6432674379012</v>
      </c>
      <c r="I14" s="56" t="s">
        <v>76</v>
      </c>
    </row>
    <row r="15" spans="1:35" ht="15" customHeight="1" x14ac:dyDescent="0.2">
      <c r="A15" s="42" t="s">
        <v>20</v>
      </c>
      <c r="B15" s="102"/>
      <c r="C15" s="41"/>
      <c r="D15" s="95">
        <v>6.09</v>
      </c>
      <c r="E15" s="11" t="s">
        <v>25</v>
      </c>
      <c r="F15" s="47" t="s">
        <v>2</v>
      </c>
      <c r="G15" s="41"/>
      <c r="H15" s="57">
        <f>(I20*D21)</f>
        <v>378.98188152541627</v>
      </c>
      <c r="I15" s="56" t="s">
        <v>29</v>
      </c>
      <c r="K15" s="62" t="s">
        <v>75</v>
      </c>
      <c r="N15" s="61" t="s">
        <v>74</v>
      </c>
    </row>
    <row r="16" spans="1:35" ht="15" customHeight="1" x14ac:dyDescent="0.2">
      <c r="A16" s="42" t="s">
        <v>21</v>
      </c>
      <c r="B16" s="102"/>
      <c r="C16" s="41"/>
      <c r="D16" s="95">
        <v>6.09</v>
      </c>
      <c r="E16" s="59" t="s">
        <v>25</v>
      </c>
      <c r="F16" s="42" t="s">
        <v>5</v>
      </c>
      <c r="G16" s="41"/>
      <c r="H16" s="57">
        <f>(H19/H15)</f>
        <v>2.6118662876858827</v>
      </c>
      <c r="I16" s="56" t="s">
        <v>30</v>
      </c>
      <c r="K16" s="51" t="s">
        <v>73</v>
      </c>
      <c r="L16" s="58">
        <f>AVERAGE(H11:H13)/10</f>
        <v>6.0877777777777773</v>
      </c>
      <c r="N16" s="60" t="s">
        <v>91</v>
      </c>
      <c r="O16" s="112">
        <f>+H18</f>
        <v>2.5</v>
      </c>
      <c r="P16" s="54"/>
      <c r="Q16" s="53"/>
    </row>
    <row r="17" spans="1:17" ht="15" customHeight="1" x14ac:dyDescent="0.2">
      <c r="A17" s="42" t="s">
        <v>22</v>
      </c>
      <c r="B17" s="102"/>
      <c r="C17" s="41"/>
      <c r="D17" s="95">
        <v>6.09</v>
      </c>
      <c r="E17" s="11" t="s">
        <v>25</v>
      </c>
      <c r="F17" s="42" t="s">
        <v>3</v>
      </c>
      <c r="G17" s="41"/>
      <c r="H17" s="57">
        <f>(H16/((H21+100)))*100</f>
        <v>2.5939679091130032</v>
      </c>
      <c r="I17" s="56" t="s">
        <v>30</v>
      </c>
      <c r="K17" s="51" t="s">
        <v>72</v>
      </c>
      <c r="L17" s="58">
        <f>AVERAGE(D18:D20)</f>
        <v>13.020000000000001</v>
      </c>
      <c r="N17" s="51" t="s">
        <v>92</v>
      </c>
      <c r="O17" s="113">
        <f>(MAX(O27:O424))</f>
        <v>149.73049421291802</v>
      </c>
      <c r="P17" s="54"/>
      <c r="Q17" s="53"/>
    </row>
    <row r="18" spans="1:17" ht="15" customHeight="1" x14ac:dyDescent="0.2">
      <c r="A18" s="47" t="s">
        <v>70</v>
      </c>
      <c r="B18" s="103"/>
      <c r="C18" s="41"/>
      <c r="D18" s="95">
        <v>13.03</v>
      </c>
      <c r="E18" s="11" t="s">
        <v>25</v>
      </c>
      <c r="F18" s="52" t="s">
        <v>69</v>
      </c>
      <c r="G18" s="41"/>
      <c r="H18" s="95">
        <v>2.5</v>
      </c>
      <c r="I18" s="13" t="s">
        <v>68</v>
      </c>
      <c r="K18" s="51" t="s">
        <v>71</v>
      </c>
      <c r="L18" s="44">
        <f>H19</f>
        <v>989.85</v>
      </c>
      <c r="M18" s="12"/>
      <c r="N18" s="55" t="s">
        <v>93</v>
      </c>
      <c r="O18" s="111">
        <f>SLOPE(O41:O46,M41:M46)*100</f>
        <v>37703.914052839129</v>
      </c>
      <c r="P18" s="50"/>
      <c r="Q18" s="50"/>
    </row>
    <row r="19" spans="1:17" ht="15" customHeight="1" x14ac:dyDescent="0.2">
      <c r="A19" s="47" t="s">
        <v>65</v>
      </c>
      <c r="B19" s="103"/>
      <c r="C19" s="41"/>
      <c r="D19" s="95">
        <v>13.01</v>
      </c>
      <c r="E19" s="11" t="s">
        <v>25</v>
      </c>
      <c r="F19" s="47" t="s">
        <v>1</v>
      </c>
      <c r="G19" s="41"/>
      <c r="H19" s="95">
        <v>989.85</v>
      </c>
      <c r="I19" s="13" t="s">
        <v>26</v>
      </c>
      <c r="K19" s="51" t="s">
        <v>67</v>
      </c>
      <c r="L19" s="44">
        <f>H16</f>
        <v>2.6118662876858827</v>
      </c>
      <c r="M19" s="12"/>
      <c r="N19" s="51" t="s">
        <v>66</v>
      </c>
      <c r="O19" s="20">
        <f>SLOPE(L41:L46,M41:M46)*-1</f>
        <v>0.30649912221576975</v>
      </c>
      <c r="P19" s="40"/>
      <c r="Q19" s="40"/>
    </row>
    <row r="20" spans="1:17" ht="15" customHeight="1" x14ac:dyDescent="0.2">
      <c r="A20" s="47" t="s">
        <v>63</v>
      </c>
      <c r="B20" s="103"/>
      <c r="C20" s="41"/>
      <c r="D20" s="95">
        <v>13.02</v>
      </c>
      <c r="E20" s="11" t="s">
        <v>25</v>
      </c>
      <c r="F20" s="46" t="s">
        <v>62</v>
      </c>
      <c r="G20" s="41"/>
      <c r="H20" s="95" t="s">
        <v>99</v>
      </c>
      <c r="I20" s="45">
        <f>(((AVERAGE(D9:D17)/2)^2)*PI())</f>
        <v>29.107671392121063</v>
      </c>
      <c r="K20" s="51" t="s">
        <v>64</v>
      </c>
      <c r="L20" s="44">
        <f>H17</f>
        <v>2.5939679091130032</v>
      </c>
      <c r="M20" s="12"/>
      <c r="N20" s="49" t="s">
        <v>62</v>
      </c>
      <c r="O20" s="48" t="str">
        <f>H20</f>
        <v>Matriz (Tipo A)</v>
      </c>
      <c r="P20" s="40"/>
      <c r="Q20" s="40"/>
    </row>
    <row r="21" spans="1:17" ht="15" customHeight="1" x14ac:dyDescent="0.2">
      <c r="A21" s="11" t="s">
        <v>60</v>
      </c>
      <c r="B21" s="11"/>
      <c r="D21" s="43">
        <f>+AVERAGE(D18:D20)</f>
        <v>13.020000000000001</v>
      </c>
      <c r="E21" s="11" t="s">
        <v>25</v>
      </c>
      <c r="F21" s="42" t="s">
        <v>9</v>
      </c>
      <c r="G21" s="41"/>
      <c r="H21" s="95">
        <v>0.69</v>
      </c>
      <c r="I21" s="24" t="s">
        <v>27</v>
      </c>
      <c r="K21" s="51" t="s">
        <v>61</v>
      </c>
      <c r="L21" s="44">
        <f>H21</f>
        <v>0.69</v>
      </c>
      <c r="M21" s="12"/>
      <c r="N21" s="40"/>
      <c r="O21" s="40"/>
      <c r="P21" s="40"/>
      <c r="Q21" s="40"/>
    </row>
    <row r="22" spans="1:17" ht="15" customHeight="1" x14ac:dyDescent="0.2">
      <c r="A22" s="11" t="s">
        <v>37</v>
      </c>
      <c r="B22" s="11"/>
      <c r="D22" s="95">
        <v>0.5</v>
      </c>
      <c r="E22" s="11" t="s">
        <v>96</v>
      </c>
      <c r="F22" s="11" t="s">
        <v>59</v>
      </c>
      <c r="H22" s="11">
        <f>((H11+H12+H13)/3)/10</f>
        <v>6.0877777777777773</v>
      </c>
      <c r="N22" s="40"/>
      <c r="O22" s="40"/>
      <c r="P22" s="15"/>
      <c r="Q22" s="15"/>
    </row>
    <row r="23" spans="1:17" ht="15" customHeight="1" x14ac:dyDescent="0.2">
      <c r="A23" s="39" t="s">
        <v>58</v>
      </c>
      <c r="B23" s="39" t="s">
        <v>58</v>
      </c>
      <c r="C23" s="39" t="s">
        <v>4</v>
      </c>
      <c r="D23" s="39" t="s">
        <v>4</v>
      </c>
      <c r="E23" s="36" t="s">
        <v>23</v>
      </c>
      <c r="F23" s="38" t="s">
        <v>24</v>
      </c>
      <c r="G23" s="37" t="s">
        <v>24</v>
      </c>
      <c r="P23" s="15"/>
      <c r="Q23" s="15"/>
    </row>
    <row r="24" spans="1:17" ht="15" customHeight="1" x14ac:dyDescent="0.2">
      <c r="A24" s="35" t="s">
        <v>56</v>
      </c>
      <c r="B24" s="35" t="s">
        <v>97</v>
      </c>
      <c r="C24" s="34" t="s">
        <v>55</v>
      </c>
      <c r="D24" s="33" t="s">
        <v>54</v>
      </c>
      <c r="E24" s="33" t="s">
        <v>54</v>
      </c>
      <c r="F24" s="34" t="s">
        <v>53</v>
      </c>
      <c r="G24" s="33" t="s">
        <v>35</v>
      </c>
      <c r="K24" s="36" t="s">
        <v>57</v>
      </c>
      <c r="L24" s="119" t="s">
        <v>4</v>
      </c>
      <c r="M24" s="120"/>
      <c r="N24" s="36" t="s">
        <v>24</v>
      </c>
      <c r="O24" s="36" t="s">
        <v>24</v>
      </c>
      <c r="P24" s="15"/>
      <c r="Q24" s="15"/>
    </row>
    <row r="25" spans="1:17" ht="15" customHeight="1" x14ac:dyDescent="0.2">
      <c r="A25" s="31" t="s">
        <v>31</v>
      </c>
      <c r="B25" s="31" t="s">
        <v>31</v>
      </c>
      <c r="C25" s="31" t="s">
        <v>49</v>
      </c>
      <c r="D25" s="31" t="s">
        <v>49</v>
      </c>
      <c r="E25" s="31" t="s">
        <v>7</v>
      </c>
      <c r="F25" s="31" t="s">
        <v>7</v>
      </c>
      <c r="G25" s="31" t="s">
        <v>7</v>
      </c>
      <c r="K25" s="32" t="s">
        <v>52</v>
      </c>
      <c r="L25" s="121" t="s">
        <v>51</v>
      </c>
      <c r="M25" s="123" t="s">
        <v>50</v>
      </c>
      <c r="N25" s="32" t="s">
        <v>95</v>
      </c>
      <c r="O25" s="32" t="s">
        <v>95</v>
      </c>
      <c r="P25" s="15"/>
      <c r="Q25" s="15"/>
    </row>
    <row r="26" spans="1:17" ht="15" customHeight="1" x14ac:dyDescent="0.2">
      <c r="A26" s="95">
        <v>0</v>
      </c>
      <c r="B26" s="104">
        <f>+IF(AND(A26&gt;0,A26&lt;=300),1.0191*A26-0.1003,IF(AND(A26=0),0,IF(AND(A26&gt;300,A26&lt;=3000),1.0117*A26-0.7581,"Error")))</f>
        <v>0</v>
      </c>
      <c r="C26" s="95">
        <v>0</v>
      </c>
      <c r="D26" s="95">
        <v>0</v>
      </c>
      <c r="E26" s="22">
        <f t="shared" ref="E26:E57" si="0">((((A26-A$26)*1000)/H$14))</f>
        <v>0</v>
      </c>
      <c r="F26" s="23">
        <f t="shared" ref="F26:F57" si="1">IF((D$21/H$22)&gt;2.5,(E26/(0.88+(0.222*(D$21/H$22)))),E26*1)</f>
        <v>0</v>
      </c>
      <c r="G26" s="22">
        <f t="shared" ref="G26:G57" si="2">F26*((AVERAGE(H$11:H$13)/50)^0.2)</f>
        <v>0</v>
      </c>
      <c r="H26" s="8" t="s">
        <v>98</v>
      </c>
      <c r="K26" s="29" t="s">
        <v>94</v>
      </c>
      <c r="L26" s="122"/>
      <c r="M26" s="124"/>
      <c r="N26" s="30" t="str">
        <f>H9</f>
        <v>D61</v>
      </c>
      <c r="O26" s="29" t="s">
        <v>35</v>
      </c>
      <c r="P26" s="15"/>
      <c r="Q26" s="15"/>
    </row>
    <row r="27" spans="1:17" ht="15" customHeight="1" x14ac:dyDescent="0.2">
      <c r="A27" s="95">
        <v>14.8</v>
      </c>
      <c r="B27" s="104">
        <f t="shared" ref="B27:B58" si="3">+IF(AND(A27&gt;0,A27&lt;=300),1.0191*A27-0.1003,IF(AND(A27=0),0,IF(AND(A27&gt;300,A27&lt;=3000),1.0117*A27-0.7581,"Error")))</f>
        <v>14.982379999999999</v>
      </c>
      <c r="C27" s="95">
        <v>-2.4099999999999998E-3</v>
      </c>
      <c r="D27" s="95">
        <v>1.0200000000000001E-2</v>
      </c>
      <c r="E27" s="22">
        <f t="shared" si="0"/>
        <v>5.0882829687934485</v>
      </c>
      <c r="F27" s="23">
        <f t="shared" si="1"/>
        <v>5.0882829687934485</v>
      </c>
      <c r="G27" s="22">
        <f t="shared" si="2"/>
        <v>5.2925992700052227</v>
      </c>
      <c r="H27" s="107" t="s">
        <v>99</v>
      </c>
      <c r="J27" s="28"/>
      <c r="K27" s="114">
        <f t="shared" ref="K27:K59" si="4">+A26</f>
        <v>0</v>
      </c>
      <c r="L27" s="21">
        <f>+(C26)</f>
        <v>0</v>
      </c>
      <c r="M27" s="21">
        <f>+(D26)</f>
        <v>0</v>
      </c>
      <c r="N27" s="110">
        <f t="shared" ref="N27:N58" si="5">F26</f>
        <v>0</v>
      </c>
      <c r="O27" s="110">
        <f t="shared" ref="O27:O58" si="6">G26</f>
        <v>0</v>
      </c>
      <c r="P27" s="15"/>
      <c r="Q27" s="15"/>
    </row>
    <row r="28" spans="1:17" ht="15" customHeight="1" x14ac:dyDescent="0.2">
      <c r="A28" s="95">
        <v>22.3</v>
      </c>
      <c r="B28" s="104">
        <f t="shared" si="3"/>
        <v>22.625629999999997</v>
      </c>
      <c r="C28" s="95">
        <v>-4.8999999999999998E-3</v>
      </c>
      <c r="D28" s="95">
        <v>2.051E-2</v>
      </c>
      <c r="E28" s="22">
        <f t="shared" si="0"/>
        <v>7.6668047435198581</v>
      </c>
      <c r="F28" s="23">
        <f t="shared" si="1"/>
        <v>7.6668047435198581</v>
      </c>
      <c r="G28" s="22">
        <f t="shared" si="2"/>
        <v>7.9746597108862476</v>
      </c>
      <c r="H28" s="107" t="s">
        <v>100</v>
      </c>
      <c r="K28" s="114">
        <f t="shared" si="4"/>
        <v>14.8</v>
      </c>
      <c r="L28" s="21">
        <f t="shared" ref="L28:L59" si="7">+(C27)</f>
        <v>-2.4099999999999998E-3</v>
      </c>
      <c r="M28" s="21">
        <f t="shared" ref="M28:M59" si="8">+(D27)</f>
        <v>1.0200000000000001E-2</v>
      </c>
      <c r="N28" s="110">
        <f t="shared" si="5"/>
        <v>5.0882829687934485</v>
      </c>
      <c r="O28" s="110">
        <f t="shared" si="6"/>
        <v>5.2925992700052227</v>
      </c>
      <c r="P28" s="15"/>
      <c r="Q28" s="15"/>
    </row>
    <row r="29" spans="1:17" ht="15" customHeight="1" x14ac:dyDescent="0.2">
      <c r="A29" s="95">
        <v>34</v>
      </c>
      <c r="B29" s="104">
        <f t="shared" si="3"/>
        <v>34.549100000000003</v>
      </c>
      <c r="C29" s="95">
        <v>-8.77E-3</v>
      </c>
      <c r="D29" s="95">
        <v>3.7060000000000003E-2</v>
      </c>
      <c r="E29" s="22">
        <f t="shared" si="0"/>
        <v>11.689298712093057</v>
      </c>
      <c r="F29" s="23">
        <f t="shared" si="1"/>
        <v>11.689298712093057</v>
      </c>
      <c r="G29" s="22">
        <f t="shared" si="2"/>
        <v>12.158673998660646</v>
      </c>
      <c r="H29" s="107" t="s">
        <v>101</v>
      </c>
      <c r="K29" s="114">
        <f t="shared" si="4"/>
        <v>22.3</v>
      </c>
      <c r="L29" s="21">
        <f t="shared" si="7"/>
        <v>-4.8999999999999998E-3</v>
      </c>
      <c r="M29" s="21">
        <f t="shared" si="8"/>
        <v>2.051E-2</v>
      </c>
      <c r="N29" s="110">
        <f t="shared" si="5"/>
        <v>7.6668047435198581</v>
      </c>
      <c r="O29" s="110">
        <f t="shared" si="6"/>
        <v>7.9746597108862476</v>
      </c>
      <c r="P29" s="15"/>
      <c r="Q29" s="15"/>
    </row>
    <row r="30" spans="1:17" ht="15" customHeight="1" x14ac:dyDescent="0.2">
      <c r="A30" s="95">
        <v>41.7</v>
      </c>
      <c r="B30" s="104">
        <f t="shared" si="3"/>
        <v>42.396169999999998</v>
      </c>
      <c r="C30" s="95">
        <v>-1.1379999999999999E-2</v>
      </c>
      <c r="D30" s="95">
        <v>4.7969999999999999E-2</v>
      </c>
      <c r="E30" s="22">
        <f t="shared" si="0"/>
        <v>14.336581067478837</v>
      </c>
      <c r="F30" s="23">
        <f t="shared" si="1"/>
        <v>14.336581067478837</v>
      </c>
      <c r="G30" s="22">
        <f t="shared" si="2"/>
        <v>14.912256051298497</v>
      </c>
      <c r="H30" s="107" t="s">
        <v>102</v>
      </c>
      <c r="K30" s="114">
        <f t="shared" si="4"/>
        <v>34</v>
      </c>
      <c r="L30" s="21">
        <f t="shared" si="7"/>
        <v>-8.77E-3</v>
      </c>
      <c r="M30" s="21">
        <f t="shared" si="8"/>
        <v>3.7060000000000003E-2</v>
      </c>
      <c r="N30" s="110">
        <f t="shared" si="5"/>
        <v>11.689298712093057</v>
      </c>
      <c r="O30" s="110">
        <f t="shared" si="6"/>
        <v>12.158673998660646</v>
      </c>
      <c r="P30" s="15"/>
      <c r="Q30" s="15"/>
    </row>
    <row r="31" spans="1:17" ht="15" customHeight="1" x14ac:dyDescent="0.2">
      <c r="A31" s="95">
        <v>53.6</v>
      </c>
      <c r="B31" s="104">
        <f t="shared" si="3"/>
        <v>54.52346</v>
      </c>
      <c r="C31" s="95">
        <v>-1.566E-2</v>
      </c>
      <c r="D31" s="95">
        <v>6.515E-2</v>
      </c>
      <c r="E31" s="22">
        <f t="shared" si="0"/>
        <v>18.427835616711409</v>
      </c>
      <c r="F31" s="23">
        <f t="shared" si="1"/>
        <v>18.427835616711409</v>
      </c>
      <c r="G31" s="22">
        <f t="shared" si="2"/>
        <v>19.167791950829727</v>
      </c>
      <c r="H31" s="107" t="s">
        <v>103</v>
      </c>
      <c r="K31" s="114">
        <f t="shared" si="4"/>
        <v>41.7</v>
      </c>
      <c r="L31" s="21">
        <f t="shared" si="7"/>
        <v>-1.1379999999999999E-2</v>
      </c>
      <c r="M31" s="21">
        <f t="shared" si="8"/>
        <v>4.7969999999999999E-2</v>
      </c>
      <c r="N31" s="110">
        <f t="shared" si="5"/>
        <v>14.336581067478837</v>
      </c>
      <c r="O31" s="110">
        <f t="shared" si="6"/>
        <v>14.912256051298497</v>
      </c>
      <c r="P31" s="15"/>
      <c r="Q31" s="15"/>
    </row>
    <row r="32" spans="1:17" ht="15" customHeight="1" x14ac:dyDescent="0.2">
      <c r="A32" s="95">
        <v>61.5</v>
      </c>
      <c r="B32" s="104">
        <f t="shared" si="3"/>
        <v>62.574349999999995</v>
      </c>
      <c r="C32" s="95">
        <v>-1.8489999999999999E-2</v>
      </c>
      <c r="D32" s="95">
        <v>7.6420000000000002E-2</v>
      </c>
      <c r="E32" s="22">
        <f t="shared" si="0"/>
        <v>21.143878552756558</v>
      </c>
      <c r="F32" s="23">
        <f t="shared" si="1"/>
        <v>21.143878552756558</v>
      </c>
      <c r="G32" s="22">
        <f t="shared" si="2"/>
        <v>21.992895615224402</v>
      </c>
      <c r="H32" s="107" t="s">
        <v>104</v>
      </c>
      <c r="K32" s="114">
        <f t="shared" si="4"/>
        <v>53.6</v>
      </c>
      <c r="L32" s="21">
        <f t="shared" si="7"/>
        <v>-1.566E-2</v>
      </c>
      <c r="M32" s="21">
        <f t="shared" si="8"/>
        <v>6.515E-2</v>
      </c>
      <c r="N32" s="110">
        <f t="shared" si="5"/>
        <v>18.427835616711409</v>
      </c>
      <c r="O32" s="110">
        <f t="shared" si="6"/>
        <v>19.167791950829727</v>
      </c>
      <c r="P32" s="15"/>
      <c r="Q32" s="15"/>
    </row>
    <row r="33" spans="1:25" ht="15" customHeight="1" x14ac:dyDescent="0.2">
      <c r="A33" s="95">
        <v>73.2</v>
      </c>
      <c r="B33" s="104">
        <f t="shared" si="3"/>
        <v>74.49781999999999</v>
      </c>
      <c r="C33" s="95">
        <v>-2.2679999999999999E-2</v>
      </c>
      <c r="D33" s="95">
        <v>9.2999999999999999E-2</v>
      </c>
      <c r="E33" s="22">
        <f t="shared" si="0"/>
        <v>25.166372521329759</v>
      </c>
      <c r="F33" s="23">
        <f t="shared" si="1"/>
        <v>25.166372521329759</v>
      </c>
      <c r="G33" s="22">
        <f t="shared" si="2"/>
        <v>26.176909902998805</v>
      </c>
      <c r="H33" s="107" t="s">
        <v>105</v>
      </c>
      <c r="K33" s="114">
        <f t="shared" si="4"/>
        <v>61.5</v>
      </c>
      <c r="L33" s="21">
        <f t="shared" si="7"/>
        <v>-1.8489999999999999E-2</v>
      </c>
      <c r="M33" s="21">
        <f t="shared" si="8"/>
        <v>7.6420000000000002E-2</v>
      </c>
      <c r="N33" s="110">
        <f t="shared" si="5"/>
        <v>21.143878552756558</v>
      </c>
      <c r="O33" s="110">
        <f t="shared" si="6"/>
        <v>21.992895615224402</v>
      </c>
      <c r="P33" s="15"/>
      <c r="Q33" s="15"/>
    </row>
    <row r="34" spans="1:25" ht="15" customHeight="1" x14ac:dyDescent="0.2">
      <c r="A34" s="95">
        <v>91.8</v>
      </c>
      <c r="B34" s="104">
        <f t="shared" si="3"/>
        <v>93.453079999999986</v>
      </c>
      <c r="C34" s="95">
        <v>-2.8979999999999999E-2</v>
      </c>
      <c r="D34" s="95">
        <v>0.11743000000000001</v>
      </c>
      <c r="E34" s="22">
        <f t="shared" si="0"/>
        <v>31.561106522651254</v>
      </c>
      <c r="F34" s="23">
        <f t="shared" si="1"/>
        <v>31.561106522651254</v>
      </c>
      <c r="G34" s="22">
        <f t="shared" si="2"/>
        <v>32.828419796383741</v>
      </c>
      <c r="K34" s="114">
        <f t="shared" si="4"/>
        <v>73.2</v>
      </c>
      <c r="L34" s="21">
        <f t="shared" si="7"/>
        <v>-2.2679999999999999E-2</v>
      </c>
      <c r="M34" s="21">
        <f t="shared" si="8"/>
        <v>9.2999999999999999E-2</v>
      </c>
      <c r="N34" s="110">
        <f t="shared" si="5"/>
        <v>25.166372521329759</v>
      </c>
      <c r="O34" s="110">
        <f t="shared" si="6"/>
        <v>26.176909902998805</v>
      </c>
      <c r="P34" s="15"/>
      <c r="Q34" s="15"/>
    </row>
    <row r="35" spans="1:25" ht="15" customHeight="1" x14ac:dyDescent="0.2">
      <c r="A35" s="95">
        <v>104.4</v>
      </c>
      <c r="B35" s="104">
        <f t="shared" si="3"/>
        <v>106.29373999999999</v>
      </c>
      <c r="C35" s="95">
        <v>-3.2919999999999998E-2</v>
      </c>
      <c r="D35" s="95">
        <v>0.13231000000000001</v>
      </c>
      <c r="E35" s="22">
        <f t="shared" si="0"/>
        <v>35.89302310419162</v>
      </c>
      <c r="F35" s="23">
        <f t="shared" si="1"/>
        <v>35.89302310419162</v>
      </c>
      <c r="G35" s="22">
        <f t="shared" si="2"/>
        <v>37.334281337063864</v>
      </c>
      <c r="K35" s="114">
        <f t="shared" si="4"/>
        <v>91.8</v>
      </c>
      <c r="L35" s="21">
        <f t="shared" si="7"/>
        <v>-2.8979999999999999E-2</v>
      </c>
      <c r="M35" s="21">
        <f t="shared" si="8"/>
        <v>0.11743000000000001</v>
      </c>
      <c r="N35" s="110">
        <f t="shared" si="5"/>
        <v>31.561106522651254</v>
      </c>
      <c r="O35" s="110">
        <f t="shared" si="6"/>
        <v>32.828419796383741</v>
      </c>
      <c r="P35" s="15"/>
      <c r="Q35" s="15"/>
    </row>
    <row r="36" spans="1:25" ht="15" customHeight="1" x14ac:dyDescent="0.2">
      <c r="A36" s="95">
        <v>113.4</v>
      </c>
      <c r="B36" s="104">
        <f t="shared" si="3"/>
        <v>115.46563999999999</v>
      </c>
      <c r="C36" s="95">
        <v>-3.551E-2</v>
      </c>
      <c r="D36" s="95">
        <v>0.14196</v>
      </c>
      <c r="E36" s="22">
        <f t="shared" si="0"/>
        <v>38.987249233863317</v>
      </c>
      <c r="F36" s="23">
        <f t="shared" si="1"/>
        <v>38.987249233863317</v>
      </c>
      <c r="G36" s="22">
        <f t="shared" si="2"/>
        <v>40.552753866121101</v>
      </c>
      <c r="K36" s="114">
        <f t="shared" si="4"/>
        <v>104.4</v>
      </c>
      <c r="L36" s="21">
        <f t="shared" si="7"/>
        <v>-3.2919999999999998E-2</v>
      </c>
      <c r="M36" s="21">
        <f t="shared" si="8"/>
        <v>0.13231000000000001</v>
      </c>
      <c r="N36" s="110">
        <f t="shared" si="5"/>
        <v>35.89302310419162</v>
      </c>
      <c r="O36" s="110">
        <f t="shared" si="6"/>
        <v>37.334281337063864</v>
      </c>
      <c r="P36" s="15"/>
      <c r="Q36" s="15"/>
    </row>
    <row r="37" spans="1:25" ht="15" customHeight="1" x14ac:dyDescent="0.2">
      <c r="A37" s="95">
        <v>126.3</v>
      </c>
      <c r="B37" s="104">
        <f t="shared" si="3"/>
        <v>128.61202999999998</v>
      </c>
      <c r="C37" s="95">
        <v>-3.9210000000000002E-2</v>
      </c>
      <c r="D37" s="95">
        <v>0.15551999999999999</v>
      </c>
      <c r="E37" s="22">
        <f t="shared" si="0"/>
        <v>43.422306686392737</v>
      </c>
      <c r="F37" s="23">
        <f t="shared" si="1"/>
        <v>43.422306686392737</v>
      </c>
      <c r="G37" s="22">
        <f t="shared" si="2"/>
        <v>45.165897824436456</v>
      </c>
      <c r="K37" s="114">
        <f t="shared" si="4"/>
        <v>113.4</v>
      </c>
      <c r="L37" s="21">
        <f t="shared" si="7"/>
        <v>-3.551E-2</v>
      </c>
      <c r="M37" s="21">
        <f t="shared" si="8"/>
        <v>0.14196</v>
      </c>
      <c r="N37" s="110">
        <f t="shared" si="5"/>
        <v>38.987249233863317</v>
      </c>
      <c r="O37" s="110">
        <f t="shared" si="6"/>
        <v>40.552753866121101</v>
      </c>
      <c r="P37" s="15"/>
      <c r="Q37" s="15"/>
    </row>
    <row r="38" spans="1:25" ht="15" customHeight="1" x14ac:dyDescent="0.2">
      <c r="A38" s="95">
        <v>144</v>
      </c>
      <c r="B38" s="104">
        <f t="shared" si="3"/>
        <v>146.65009999999998</v>
      </c>
      <c r="C38" s="95">
        <v>-4.4080000000000001E-2</v>
      </c>
      <c r="D38" s="95">
        <v>0.17297000000000001</v>
      </c>
      <c r="E38" s="22">
        <f t="shared" si="0"/>
        <v>49.507618074747064</v>
      </c>
      <c r="F38" s="23">
        <f t="shared" si="1"/>
        <v>49.507618074747064</v>
      </c>
      <c r="G38" s="22">
        <f t="shared" si="2"/>
        <v>51.495560464915677</v>
      </c>
      <c r="K38" s="114">
        <f t="shared" si="4"/>
        <v>126.3</v>
      </c>
      <c r="L38" s="21">
        <f t="shared" si="7"/>
        <v>-3.9210000000000002E-2</v>
      </c>
      <c r="M38" s="21">
        <f t="shared" si="8"/>
        <v>0.15551999999999999</v>
      </c>
      <c r="N38" s="110">
        <f t="shared" si="5"/>
        <v>43.422306686392737</v>
      </c>
      <c r="O38" s="110">
        <f t="shared" si="6"/>
        <v>45.165897824436456</v>
      </c>
      <c r="P38" s="15"/>
      <c r="Q38" s="15"/>
    </row>
    <row r="39" spans="1:25" ht="15" customHeight="1" x14ac:dyDescent="0.2">
      <c r="A39" s="95">
        <v>159</v>
      </c>
      <c r="B39" s="104">
        <f t="shared" si="3"/>
        <v>161.93659999999997</v>
      </c>
      <c r="C39" s="95">
        <v>-4.8160000000000001E-2</v>
      </c>
      <c r="D39" s="95">
        <v>0.18737000000000001</v>
      </c>
      <c r="E39" s="22">
        <f t="shared" si="0"/>
        <v>54.664661624199887</v>
      </c>
      <c r="F39" s="23">
        <f t="shared" si="1"/>
        <v>54.664661624199887</v>
      </c>
      <c r="G39" s="22">
        <f t="shared" si="2"/>
        <v>56.859681346677732</v>
      </c>
      <c r="K39" s="114">
        <f t="shared" si="4"/>
        <v>144</v>
      </c>
      <c r="L39" s="21">
        <f t="shared" si="7"/>
        <v>-4.4080000000000001E-2</v>
      </c>
      <c r="M39" s="21">
        <f t="shared" si="8"/>
        <v>0.17297000000000001</v>
      </c>
      <c r="N39" s="110">
        <f t="shared" si="5"/>
        <v>49.507618074747064</v>
      </c>
      <c r="O39" s="110">
        <f t="shared" si="6"/>
        <v>51.495560464915677</v>
      </c>
      <c r="P39" s="15"/>
      <c r="Q39" s="15"/>
    </row>
    <row r="40" spans="1:25" ht="15" customHeight="1" x14ac:dyDescent="0.2">
      <c r="A40" s="95">
        <v>174.5</v>
      </c>
      <c r="B40" s="104">
        <f t="shared" si="3"/>
        <v>177.73264999999998</v>
      </c>
      <c r="C40" s="95">
        <v>-5.253E-2</v>
      </c>
      <c r="D40" s="95">
        <v>0.20246</v>
      </c>
      <c r="E40" s="22">
        <f t="shared" si="0"/>
        <v>59.993606625301133</v>
      </c>
      <c r="F40" s="23">
        <f t="shared" si="1"/>
        <v>59.993606625301133</v>
      </c>
      <c r="G40" s="22">
        <f t="shared" si="2"/>
        <v>62.402606257831849</v>
      </c>
      <c r="K40" s="114">
        <f t="shared" si="4"/>
        <v>159</v>
      </c>
      <c r="L40" s="21">
        <f t="shared" si="7"/>
        <v>-4.8160000000000001E-2</v>
      </c>
      <c r="M40" s="21">
        <f t="shared" si="8"/>
        <v>0.18737000000000001</v>
      </c>
      <c r="N40" s="110">
        <f t="shared" si="5"/>
        <v>54.664661624199887</v>
      </c>
      <c r="O40" s="110">
        <f t="shared" si="6"/>
        <v>56.859681346677732</v>
      </c>
      <c r="P40" s="15"/>
      <c r="Q40" s="15"/>
    </row>
    <row r="41" spans="1:25" ht="15" customHeight="1" x14ac:dyDescent="0.2">
      <c r="A41" s="95">
        <v>194.5</v>
      </c>
      <c r="B41" s="104">
        <f t="shared" si="3"/>
        <v>198.11464999999998</v>
      </c>
      <c r="C41" s="95">
        <v>-5.8209999999999998E-2</v>
      </c>
      <c r="D41" s="95">
        <v>0.22178</v>
      </c>
      <c r="E41" s="22">
        <f t="shared" si="0"/>
        <v>66.869664691238228</v>
      </c>
      <c r="F41" s="23">
        <f t="shared" si="1"/>
        <v>66.869664691238228</v>
      </c>
      <c r="G41" s="22">
        <f t="shared" si="2"/>
        <v>69.554767433514584</v>
      </c>
      <c r="K41" s="114">
        <f t="shared" si="4"/>
        <v>174.5</v>
      </c>
      <c r="L41" s="21">
        <f t="shared" si="7"/>
        <v>-5.253E-2</v>
      </c>
      <c r="M41" s="21">
        <f t="shared" si="8"/>
        <v>0.20246</v>
      </c>
      <c r="N41" s="110">
        <f t="shared" si="5"/>
        <v>59.993606625301133</v>
      </c>
      <c r="O41" s="110">
        <f t="shared" si="6"/>
        <v>62.402606257831849</v>
      </c>
      <c r="P41" s="15"/>
      <c r="Q41" s="15"/>
      <c r="R41" s="27"/>
      <c r="S41" s="27"/>
      <c r="T41" s="27"/>
      <c r="U41" s="27"/>
      <c r="V41" s="27"/>
      <c r="W41" s="27"/>
      <c r="X41" s="27"/>
    </row>
    <row r="42" spans="1:25" ht="15" customHeight="1" x14ac:dyDescent="0.2">
      <c r="A42" s="95">
        <v>206.5</v>
      </c>
      <c r="B42" s="104">
        <f t="shared" si="3"/>
        <v>210.34384999999997</v>
      </c>
      <c r="C42" s="95">
        <v>-6.1690000000000002E-2</v>
      </c>
      <c r="D42" s="95">
        <v>0.23333000000000001</v>
      </c>
      <c r="E42" s="22">
        <f t="shared" si="0"/>
        <v>70.99529953080048</v>
      </c>
      <c r="F42" s="23">
        <f t="shared" si="1"/>
        <v>70.99529953080048</v>
      </c>
      <c r="G42" s="22">
        <f t="shared" si="2"/>
        <v>73.84606413892422</v>
      </c>
      <c r="K42" s="114">
        <f t="shared" si="4"/>
        <v>194.5</v>
      </c>
      <c r="L42" s="21">
        <f t="shared" si="7"/>
        <v>-5.8209999999999998E-2</v>
      </c>
      <c r="M42" s="21">
        <f t="shared" si="8"/>
        <v>0.22178</v>
      </c>
      <c r="N42" s="110">
        <f t="shared" si="5"/>
        <v>66.869664691238228</v>
      </c>
      <c r="O42" s="110">
        <f t="shared" si="6"/>
        <v>69.554767433514584</v>
      </c>
      <c r="P42" s="15"/>
      <c r="Q42" s="15"/>
    </row>
    <row r="43" spans="1:25" ht="15" customHeight="1" x14ac:dyDescent="0.2">
      <c r="A43" s="95">
        <v>216.5</v>
      </c>
      <c r="B43" s="104">
        <f t="shared" si="3"/>
        <v>220.53484999999998</v>
      </c>
      <c r="C43" s="95">
        <v>-6.4589999999999995E-2</v>
      </c>
      <c r="D43" s="95">
        <v>0.24284</v>
      </c>
      <c r="E43" s="22">
        <f t="shared" si="0"/>
        <v>74.433328563769024</v>
      </c>
      <c r="F43" s="23">
        <f t="shared" si="1"/>
        <v>74.433328563769024</v>
      </c>
      <c r="G43" s="22">
        <f t="shared" si="2"/>
        <v>77.42214472676558</v>
      </c>
      <c r="K43" s="114">
        <f t="shared" si="4"/>
        <v>206.5</v>
      </c>
      <c r="L43" s="21">
        <f t="shared" si="7"/>
        <v>-6.1690000000000002E-2</v>
      </c>
      <c r="M43" s="21">
        <f t="shared" si="8"/>
        <v>0.23333000000000001</v>
      </c>
      <c r="N43" s="110">
        <f t="shared" si="5"/>
        <v>70.99529953080048</v>
      </c>
      <c r="O43" s="110">
        <f t="shared" si="6"/>
        <v>73.84606413892422</v>
      </c>
      <c r="P43" s="15"/>
      <c r="Q43" s="15"/>
    </row>
    <row r="44" spans="1:25" ht="15" customHeight="1" x14ac:dyDescent="0.2">
      <c r="A44" s="95">
        <v>231</v>
      </c>
      <c r="B44" s="104">
        <f t="shared" si="3"/>
        <v>235.31179999999998</v>
      </c>
      <c r="C44" s="95">
        <v>-6.8879999999999997E-2</v>
      </c>
      <c r="D44" s="95">
        <v>0.25666</v>
      </c>
      <c r="E44" s="22">
        <f t="shared" si="0"/>
        <v>79.418470661573423</v>
      </c>
      <c r="F44" s="23">
        <f t="shared" si="1"/>
        <v>79.418470661573423</v>
      </c>
      <c r="G44" s="22">
        <f t="shared" si="2"/>
        <v>82.607461579135574</v>
      </c>
      <c r="K44" s="114">
        <f t="shared" si="4"/>
        <v>216.5</v>
      </c>
      <c r="L44" s="21">
        <f t="shared" si="7"/>
        <v>-6.4589999999999995E-2</v>
      </c>
      <c r="M44" s="21">
        <f t="shared" si="8"/>
        <v>0.24284</v>
      </c>
      <c r="N44" s="110">
        <f t="shared" si="5"/>
        <v>74.433328563769024</v>
      </c>
      <c r="O44" s="110">
        <f t="shared" si="6"/>
        <v>77.42214472676558</v>
      </c>
      <c r="P44" s="15"/>
      <c r="Q44" s="15"/>
      <c r="Y44" s="26"/>
    </row>
    <row r="45" spans="1:25" ht="15" customHeight="1" x14ac:dyDescent="0.2">
      <c r="A45" s="95">
        <v>254.7</v>
      </c>
      <c r="B45" s="104">
        <f t="shared" si="3"/>
        <v>259.46446999999995</v>
      </c>
      <c r="C45" s="95">
        <v>-7.5810000000000002E-2</v>
      </c>
      <c r="D45" s="95">
        <v>0.27844000000000002</v>
      </c>
      <c r="E45" s="22">
        <f t="shared" si="0"/>
        <v>87.566599469708876</v>
      </c>
      <c r="F45" s="23">
        <f t="shared" si="1"/>
        <v>87.566599469708876</v>
      </c>
      <c r="G45" s="22">
        <f t="shared" si="2"/>
        <v>91.082772572319612</v>
      </c>
      <c r="K45" s="114">
        <f t="shared" si="4"/>
        <v>231</v>
      </c>
      <c r="L45" s="21">
        <f t="shared" si="7"/>
        <v>-6.8879999999999997E-2</v>
      </c>
      <c r="M45" s="21">
        <f t="shared" si="8"/>
        <v>0.25666</v>
      </c>
      <c r="N45" s="110">
        <f t="shared" si="5"/>
        <v>79.418470661573423</v>
      </c>
      <c r="O45" s="110">
        <f t="shared" si="6"/>
        <v>82.607461579135574</v>
      </c>
      <c r="P45" s="15"/>
      <c r="Q45" s="15"/>
      <c r="T45" s="26"/>
      <c r="U45" s="26"/>
      <c r="V45" s="26"/>
    </row>
    <row r="46" spans="1:25" ht="15" customHeight="1" x14ac:dyDescent="0.2">
      <c r="A46" s="95">
        <v>262.8</v>
      </c>
      <c r="B46" s="104">
        <f t="shared" si="3"/>
        <v>267.71917999999999</v>
      </c>
      <c r="C46" s="95">
        <v>-7.8E-2</v>
      </c>
      <c r="D46" s="95">
        <v>0.28519</v>
      </c>
      <c r="E46" s="22">
        <f t="shared" si="0"/>
        <v>90.35140298641339</v>
      </c>
      <c r="F46" s="23">
        <f t="shared" si="1"/>
        <v>90.35140298641339</v>
      </c>
      <c r="G46" s="22">
        <f t="shared" si="2"/>
        <v>93.979397848471109</v>
      </c>
      <c r="K46" s="114">
        <f t="shared" si="4"/>
        <v>254.7</v>
      </c>
      <c r="L46" s="21">
        <f t="shared" si="7"/>
        <v>-7.5810000000000002E-2</v>
      </c>
      <c r="M46" s="21">
        <f t="shared" si="8"/>
        <v>0.27844000000000002</v>
      </c>
      <c r="N46" s="110">
        <f t="shared" si="5"/>
        <v>87.566599469708876</v>
      </c>
      <c r="O46" s="110">
        <f t="shared" si="6"/>
        <v>91.082772572319612</v>
      </c>
      <c r="P46" s="15"/>
      <c r="Q46" s="15"/>
    </row>
    <row r="47" spans="1:25" ht="15" customHeight="1" x14ac:dyDescent="0.2">
      <c r="A47" s="95">
        <v>274.3</v>
      </c>
      <c r="B47" s="104">
        <f t="shared" si="3"/>
        <v>279.43883</v>
      </c>
      <c r="C47" s="95">
        <v>-8.1350000000000006E-2</v>
      </c>
      <c r="D47" s="95">
        <v>0.29535</v>
      </c>
      <c r="E47" s="22">
        <f t="shared" si="0"/>
        <v>94.305136374327219</v>
      </c>
      <c r="F47" s="23">
        <f t="shared" si="1"/>
        <v>94.305136374327219</v>
      </c>
      <c r="G47" s="22">
        <f t="shared" si="2"/>
        <v>98.091890524488676</v>
      </c>
      <c r="K47" s="114">
        <f t="shared" si="4"/>
        <v>262.8</v>
      </c>
      <c r="L47" s="21">
        <f t="shared" si="7"/>
        <v>-7.8E-2</v>
      </c>
      <c r="M47" s="21">
        <f t="shared" si="8"/>
        <v>0.28519</v>
      </c>
      <c r="N47" s="110">
        <f t="shared" si="5"/>
        <v>90.35140298641339</v>
      </c>
      <c r="O47" s="110">
        <f t="shared" si="6"/>
        <v>93.979397848471109</v>
      </c>
      <c r="P47" s="15"/>
      <c r="Q47" s="15"/>
    </row>
    <row r="48" spans="1:25" ht="15" customHeight="1" x14ac:dyDescent="0.2">
      <c r="A48" s="95">
        <v>291.3</v>
      </c>
      <c r="B48" s="104">
        <f t="shared" si="3"/>
        <v>296.76353</v>
      </c>
      <c r="C48" s="95">
        <v>-8.6360000000000006E-2</v>
      </c>
      <c r="D48" s="95">
        <v>0.31023000000000001</v>
      </c>
      <c r="E48" s="22">
        <f t="shared" si="0"/>
        <v>100.14978573037375</v>
      </c>
      <c r="F48" s="23">
        <f t="shared" si="1"/>
        <v>100.14978573037375</v>
      </c>
      <c r="G48" s="22">
        <f t="shared" si="2"/>
        <v>104.171227523819</v>
      </c>
      <c r="K48" s="114">
        <f t="shared" si="4"/>
        <v>274.3</v>
      </c>
      <c r="L48" s="21">
        <f t="shared" si="7"/>
        <v>-8.1350000000000006E-2</v>
      </c>
      <c r="M48" s="21">
        <f t="shared" si="8"/>
        <v>0.29535</v>
      </c>
      <c r="N48" s="110">
        <f t="shared" si="5"/>
        <v>94.305136374327219</v>
      </c>
      <c r="O48" s="110">
        <f t="shared" si="6"/>
        <v>98.091890524488676</v>
      </c>
      <c r="P48" s="15"/>
      <c r="Q48" s="15"/>
    </row>
    <row r="49" spans="1:22" ht="15" customHeight="1" x14ac:dyDescent="0.2">
      <c r="A49" s="95">
        <v>310.8</v>
      </c>
      <c r="B49" s="104">
        <f t="shared" si="3"/>
        <v>313.67826000000002</v>
      </c>
      <c r="C49" s="95">
        <v>-9.2289999999999997E-2</v>
      </c>
      <c r="D49" s="95">
        <v>0.32734000000000002</v>
      </c>
      <c r="E49" s="22">
        <f t="shared" si="0"/>
        <v>106.85394234466241</v>
      </c>
      <c r="F49" s="23">
        <f t="shared" si="1"/>
        <v>106.85394234466241</v>
      </c>
      <c r="G49" s="22">
        <f t="shared" si="2"/>
        <v>111.14458467010967</v>
      </c>
      <c r="K49" s="114">
        <f t="shared" si="4"/>
        <v>291.3</v>
      </c>
      <c r="L49" s="21">
        <f t="shared" si="7"/>
        <v>-8.6360000000000006E-2</v>
      </c>
      <c r="M49" s="21">
        <f t="shared" si="8"/>
        <v>0.31023000000000001</v>
      </c>
      <c r="N49" s="110">
        <f t="shared" si="5"/>
        <v>100.14978573037375</v>
      </c>
      <c r="O49" s="110">
        <f t="shared" si="6"/>
        <v>104.171227523819</v>
      </c>
      <c r="P49" s="15"/>
      <c r="Q49" s="15"/>
      <c r="V49" s="25"/>
    </row>
    <row r="50" spans="1:22" ht="15" customHeight="1" x14ac:dyDescent="0.2">
      <c r="A50" s="95">
        <v>328.09999999999997</v>
      </c>
      <c r="B50" s="104">
        <f t="shared" si="3"/>
        <v>331.18066999999996</v>
      </c>
      <c r="C50" s="95">
        <v>-9.8100000000000007E-2</v>
      </c>
      <c r="D50" s="95">
        <v>0.34377999999999997</v>
      </c>
      <c r="E50" s="22">
        <f t="shared" si="0"/>
        <v>112.80173257169798</v>
      </c>
      <c r="F50" s="23">
        <f t="shared" si="1"/>
        <v>112.80173257169798</v>
      </c>
      <c r="G50" s="22">
        <f t="shared" si="2"/>
        <v>117.33120408707522</v>
      </c>
      <c r="K50" s="114">
        <f t="shared" si="4"/>
        <v>310.8</v>
      </c>
      <c r="L50" s="21">
        <f t="shared" si="7"/>
        <v>-9.2289999999999997E-2</v>
      </c>
      <c r="M50" s="21">
        <f t="shared" si="8"/>
        <v>0.32734000000000002</v>
      </c>
      <c r="N50" s="110">
        <f t="shared" si="5"/>
        <v>106.85394234466241</v>
      </c>
      <c r="O50" s="110">
        <f t="shared" si="6"/>
        <v>111.14458467010967</v>
      </c>
      <c r="P50" s="15"/>
      <c r="Q50" s="15"/>
    </row>
    <row r="51" spans="1:22" ht="15" customHeight="1" x14ac:dyDescent="0.2">
      <c r="A51" s="95">
        <v>342.3</v>
      </c>
      <c r="B51" s="104">
        <f t="shared" si="3"/>
        <v>345.54680999999999</v>
      </c>
      <c r="C51" s="95">
        <v>-0.10299999999999999</v>
      </c>
      <c r="D51" s="95">
        <v>0.35719000000000001</v>
      </c>
      <c r="E51" s="22">
        <f t="shared" si="0"/>
        <v>117.68373379851334</v>
      </c>
      <c r="F51" s="23">
        <f t="shared" si="1"/>
        <v>117.68373379851334</v>
      </c>
      <c r="G51" s="22">
        <f t="shared" si="2"/>
        <v>122.40923852180998</v>
      </c>
      <c r="K51" s="114">
        <f t="shared" si="4"/>
        <v>328.09999999999997</v>
      </c>
      <c r="L51" s="21">
        <f t="shared" si="7"/>
        <v>-9.8100000000000007E-2</v>
      </c>
      <c r="M51" s="21">
        <f t="shared" si="8"/>
        <v>0.34377999999999997</v>
      </c>
      <c r="N51" s="110">
        <f t="shared" si="5"/>
        <v>112.80173257169798</v>
      </c>
      <c r="O51" s="110">
        <f t="shared" si="6"/>
        <v>117.33120408707522</v>
      </c>
      <c r="P51" s="15"/>
      <c r="Q51" s="15"/>
      <c r="V51" s="25"/>
    </row>
    <row r="52" spans="1:22" ht="15" customHeight="1" x14ac:dyDescent="0.2">
      <c r="A52" s="95">
        <v>352.7</v>
      </c>
      <c r="B52" s="104">
        <f t="shared" si="3"/>
        <v>356.06849</v>
      </c>
      <c r="C52" s="95">
        <v>-0.10667</v>
      </c>
      <c r="D52" s="95">
        <v>0.36686000000000002</v>
      </c>
      <c r="E52" s="22">
        <f t="shared" si="0"/>
        <v>121.25928399280063</v>
      </c>
      <c r="F52" s="23">
        <f t="shared" si="1"/>
        <v>121.25928399280063</v>
      </c>
      <c r="G52" s="22">
        <f t="shared" si="2"/>
        <v>126.128362333165</v>
      </c>
      <c r="K52" s="114">
        <f t="shared" si="4"/>
        <v>342.3</v>
      </c>
      <c r="L52" s="21">
        <f t="shared" si="7"/>
        <v>-0.10299999999999999</v>
      </c>
      <c r="M52" s="21">
        <f t="shared" si="8"/>
        <v>0.35719000000000001</v>
      </c>
      <c r="N52" s="110">
        <f t="shared" si="5"/>
        <v>117.68373379851334</v>
      </c>
      <c r="O52" s="110">
        <f t="shared" si="6"/>
        <v>122.40923852180998</v>
      </c>
      <c r="P52" s="15"/>
      <c r="Q52" s="15"/>
      <c r="V52" s="25"/>
    </row>
    <row r="53" spans="1:22" ht="15" customHeight="1" x14ac:dyDescent="0.2">
      <c r="A53" s="95">
        <v>368.8</v>
      </c>
      <c r="B53" s="104">
        <f t="shared" si="3"/>
        <v>372.35686000000004</v>
      </c>
      <c r="C53" s="95">
        <v>-0.11185</v>
      </c>
      <c r="D53" s="95">
        <v>0.38012000000000001</v>
      </c>
      <c r="E53" s="22">
        <f t="shared" si="0"/>
        <v>126.79451073587998</v>
      </c>
      <c r="F53" s="23">
        <f t="shared" si="1"/>
        <v>126.79451073587998</v>
      </c>
      <c r="G53" s="22">
        <f t="shared" si="2"/>
        <v>131.8858520795896</v>
      </c>
      <c r="K53" s="114">
        <f t="shared" si="4"/>
        <v>352.7</v>
      </c>
      <c r="L53" s="21">
        <f t="shared" si="7"/>
        <v>-0.10667</v>
      </c>
      <c r="M53" s="21">
        <f t="shared" si="8"/>
        <v>0.36686000000000002</v>
      </c>
      <c r="N53" s="110">
        <f t="shared" si="5"/>
        <v>121.25928399280063</v>
      </c>
      <c r="O53" s="110">
        <f t="shared" si="6"/>
        <v>126.128362333165</v>
      </c>
      <c r="P53" s="15"/>
      <c r="Q53" s="15"/>
      <c r="V53" s="25"/>
    </row>
    <row r="54" spans="1:22" ht="15" customHeight="1" x14ac:dyDescent="0.2">
      <c r="A54" s="95">
        <v>378.09999999999997</v>
      </c>
      <c r="B54" s="104">
        <f t="shared" si="3"/>
        <v>381.76566999999994</v>
      </c>
      <c r="C54" s="95">
        <v>-0.11491</v>
      </c>
      <c r="D54" s="95">
        <v>0.38773000000000002</v>
      </c>
      <c r="E54" s="22">
        <f t="shared" si="0"/>
        <v>129.99187773654072</v>
      </c>
      <c r="F54" s="23">
        <f t="shared" si="1"/>
        <v>129.99187773654072</v>
      </c>
      <c r="G54" s="22">
        <f t="shared" si="2"/>
        <v>135.21160702628205</v>
      </c>
      <c r="K54" s="114">
        <f t="shared" si="4"/>
        <v>368.8</v>
      </c>
      <c r="L54" s="21">
        <f t="shared" si="7"/>
        <v>-0.11185</v>
      </c>
      <c r="M54" s="21">
        <f t="shared" si="8"/>
        <v>0.38012000000000001</v>
      </c>
      <c r="N54" s="110">
        <f t="shared" si="5"/>
        <v>126.79451073587998</v>
      </c>
      <c r="O54" s="110">
        <f t="shared" si="6"/>
        <v>131.8858520795896</v>
      </c>
      <c r="P54" s="15"/>
      <c r="Q54" s="15"/>
      <c r="V54" s="25"/>
    </row>
    <row r="55" spans="1:22" ht="15" customHeight="1" x14ac:dyDescent="0.2">
      <c r="A55" s="95">
        <v>385.5</v>
      </c>
      <c r="B55" s="104">
        <f t="shared" si="3"/>
        <v>389.25225</v>
      </c>
      <c r="C55" s="95">
        <v>-0.11731</v>
      </c>
      <c r="D55" s="95">
        <v>0.39352999999999999</v>
      </c>
      <c r="E55" s="22">
        <f t="shared" si="0"/>
        <v>132.53601922093745</v>
      </c>
      <c r="F55" s="23">
        <f t="shared" si="1"/>
        <v>132.53601922093745</v>
      </c>
      <c r="G55" s="22">
        <f t="shared" si="2"/>
        <v>137.85790666128466</v>
      </c>
      <c r="K55" s="114">
        <f t="shared" si="4"/>
        <v>378.09999999999997</v>
      </c>
      <c r="L55" s="21">
        <f t="shared" si="7"/>
        <v>-0.11491</v>
      </c>
      <c r="M55" s="21">
        <f t="shared" si="8"/>
        <v>0.38773000000000002</v>
      </c>
      <c r="N55" s="110">
        <f t="shared" si="5"/>
        <v>129.99187773654072</v>
      </c>
      <c r="O55" s="110">
        <f t="shared" si="6"/>
        <v>135.21160702628205</v>
      </c>
      <c r="P55" s="15"/>
      <c r="Q55" s="15"/>
      <c r="V55" s="25"/>
    </row>
    <row r="56" spans="1:22" ht="15" customHeight="1" x14ac:dyDescent="0.2">
      <c r="A56" s="95">
        <v>397.4</v>
      </c>
      <c r="B56" s="104">
        <f t="shared" si="3"/>
        <v>401.29147999999998</v>
      </c>
      <c r="C56" s="95">
        <v>-0.12134</v>
      </c>
      <c r="D56" s="95">
        <v>0.40343000000000001</v>
      </c>
      <c r="E56" s="22">
        <f t="shared" si="0"/>
        <v>136.62727377017004</v>
      </c>
      <c r="F56" s="23">
        <f t="shared" si="1"/>
        <v>136.62727377017004</v>
      </c>
      <c r="G56" s="22">
        <f t="shared" si="2"/>
        <v>142.11344256081591</v>
      </c>
      <c r="K56" s="114">
        <f t="shared" si="4"/>
        <v>385.5</v>
      </c>
      <c r="L56" s="21">
        <f t="shared" si="7"/>
        <v>-0.11731</v>
      </c>
      <c r="M56" s="21">
        <f t="shared" si="8"/>
        <v>0.39352999999999999</v>
      </c>
      <c r="N56" s="110">
        <f t="shared" si="5"/>
        <v>132.53601922093745</v>
      </c>
      <c r="O56" s="110">
        <f t="shared" si="6"/>
        <v>137.85790666128466</v>
      </c>
      <c r="P56" s="15"/>
      <c r="Q56" s="15"/>
      <c r="V56" s="25"/>
    </row>
    <row r="57" spans="1:22" ht="15" customHeight="1" x14ac:dyDescent="0.2">
      <c r="A57" s="95">
        <v>414.3</v>
      </c>
      <c r="B57" s="104">
        <f t="shared" si="3"/>
        <v>418.38920999999999</v>
      </c>
      <c r="C57" s="95">
        <v>-0.12741</v>
      </c>
      <c r="D57" s="95">
        <v>0.41798999999999997</v>
      </c>
      <c r="E57" s="22">
        <f t="shared" si="0"/>
        <v>142.43754283588686</v>
      </c>
      <c r="F57" s="23">
        <f t="shared" si="1"/>
        <v>142.43754283588686</v>
      </c>
      <c r="G57" s="22">
        <f t="shared" si="2"/>
        <v>148.1570187542678</v>
      </c>
      <c r="K57" s="114">
        <f t="shared" si="4"/>
        <v>397.4</v>
      </c>
      <c r="L57" s="21">
        <f t="shared" si="7"/>
        <v>-0.12134</v>
      </c>
      <c r="M57" s="21">
        <f t="shared" si="8"/>
        <v>0.40343000000000001</v>
      </c>
      <c r="N57" s="110">
        <f t="shared" si="5"/>
        <v>136.62727377017004</v>
      </c>
      <c r="O57" s="110">
        <f t="shared" si="6"/>
        <v>142.11344256081591</v>
      </c>
      <c r="P57" s="15"/>
      <c r="Q57" s="15"/>
      <c r="V57" s="25"/>
    </row>
    <row r="58" spans="1:22" ht="15" customHeight="1" x14ac:dyDescent="0.2">
      <c r="A58" s="95">
        <v>418.7</v>
      </c>
      <c r="B58" s="104">
        <f t="shared" si="3"/>
        <v>422.84069</v>
      </c>
      <c r="C58" s="95">
        <v>-0.12884999999999999</v>
      </c>
      <c r="D58" s="95">
        <v>0.42148999999999998</v>
      </c>
      <c r="E58" s="22">
        <f t="shared" ref="E58" si="9">((((A58-A$26)*1000)/H$14))</f>
        <v>143.95027561039302</v>
      </c>
      <c r="F58" s="23">
        <f t="shared" ref="F58" si="10">IF((D$21/H$22)&gt;2.5,(E58/(0.88+(0.222*(D$21/H$22)))),E58*1)</f>
        <v>143.95027561039302</v>
      </c>
      <c r="G58" s="22">
        <f t="shared" ref="G58" si="11">F58*((AVERAGE(H$11:H$13)/50)^0.2)</f>
        <v>149.73049421291802</v>
      </c>
      <c r="K58" s="114">
        <f t="shared" si="4"/>
        <v>414.3</v>
      </c>
      <c r="L58" s="21">
        <f t="shared" si="7"/>
        <v>-0.12741</v>
      </c>
      <c r="M58" s="21">
        <f t="shared" si="8"/>
        <v>0.41798999999999997</v>
      </c>
      <c r="N58" s="110">
        <f t="shared" si="5"/>
        <v>142.43754283588686</v>
      </c>
      <c r="O58" s="110">
        <f t="shared" si="6"/>
        <v>148.1570187542678</v>
      </c>
      <c r="P58" s="15"/>
      <c r="Q58" s="15"/>
    </row>
    <row r="59" spans="1:22" ht="15" customHeight="1" x14ac:dyDescent="0.2">
      <c r="A59" s="14"/>
      <c r="B59" s="105"/>
      <c r="C59" s="14"/>
      <c r="D59" s="14"/>
      <c r="E59" s="14"/>
      <c r="F59" s="14"/>
      <c r="G59" s="14"/>
      <c r="K59" s="114">
        <f t="shared" si="4"/>
        <v>418.7</v>
      </c>
      <c r="L59" s="21">
        <f t="shared" si="7"/>
        <v>-0.12884999999999999</v>
      </c>
      <c r="M59" s="21">
        <f t="shared" si="8"/>
        <v>0.42148999999999998</v>
      </c>
      <c r="N59" s="110">
        <f t="shared" ref="N59" si="12">F58</f>
        <v>143.95027561039302</v>
      </c>
      <c r="O59" s="110">
        <f t="shared" ref="O59" si="13">G58</f>
        <v>149.73049421291802</v>
      </c>
      <c r="P59" s="15"/>
      <c r="Q59" s="15"/>
      <c r="V59" s="25"/>
    </row>
    <row r="60" spans="1:22" ht="15" customHeight="1" x14ac:dyDescent="0.2">
      <c r="A60" s="14"/>
      <c r="B60" s="105"/>
      <c r="C60" s="14"/>
      <c r="D60" s="14"/>
      <c r="E60" s="14"/>
      <c r="F60" s="14"/>
      <c r="G60" s="14"/>
      <c r="K60" s="15"/>
      <c r="L60" s="16"/>
      <c r="M60" s="16"/>
      <c r="N60" s="15"/>
      <c r="O60" s="15"/>
      <c r="P60" s="15"/>
      <c r="Q60" s="15"/>
      <c r="V60" s="25"/>
    </row>
    <row r="61" spans="1:22" ht="15" customHeight="1" x14ac:dyDescent="0.2">
      <c r="A61" s="14"/>
      <c r="B61" s="105"/>
      <c r="C61" s="14"/>
      <c r="D61" s="14"/>
      <c r="E61" s="14"/>
      <c r="F61" s="14"/>
      <c r="G61" s="14"/>
      <c r="K61" s="18" t="s">
        <v>48</v>
      </c>
      <c r="L61" s="16"/>
      <c r="M61" s="16"/>
      <c r="N61" s="15"/>
      <c r="O61" s="15"/>
      <c r="P61" s="15"/>
      <c r="Q61" s="15"/>
    </row>
    <row r="62" spans="1:22" ht="15" customHeight="1" x14ac:dyDescent="0.2">
      <c r="A62" s="14"/>
      <c r="B62" s="105"/>
      <c r="C62" s="14"/>
      <c r="D62" s="14"/>
      <c r="E62" s="14"/>
      <c r="F62" s="14"/>
      <c r="G62" s="14"/>
      <c r="K62" s="19" t="s">
        <v>88</v>
      </c>
      <c r="L62" s="16"/>
      <c r="M62" s="16"/>
      <c r="N62" s="15"/>
      <c r="O62" s="15"/>
      <c r="P62" s="15"/>
      <c r="Q62" s="15"/>
      <c r="U62" s="25"/>
    </row>
    <row r="63" spans="1:22" ht="15" customHeight="1" x14ac:dyDescent="0.2">
      <c r="A63" s="14"/>
      <c r="B63" s="105"/>
      <c r="C63" s="14"/>
      <c r="D63" s="14"/>
      <c r="E63" s="14"/>
      <c r="F63" s="14"/>
      <c r="G63" s="14"/>
      <c r="K63" s="19" t="s">
        <v>47</v>
      </c>
      <c r="L63" s="16"/>
      <c r="M63" s="16"/>
      <c r="O63" s="15"/>
      <c r="P63" s="15"/>
      <c r="Q63" s="15"/>
    </row>
    <row r="64" spans="1:22" ht="15" customHeight="1" x14ac:dyDescent="0.2">
      <c r="A64" s="14"/>
      <c r="B64" s="105"/>
      <c r="C64" s="14"/>
      <c r="D64" s="14"/>
      <c r="E64" s="14"/>
      <c r="F64" s="14"/>
      <c r="G64" s="14"/>
      <c r="K64" s="17" t="s">
        <v>46</v>
      </c>
      <c r="L64" s="16"/>
      <c r="M64" s="16"/>
      <c r="O64" s="15"/>
      <c r="P64" s="15"/>
      <c r="Q64" s="15"/>
    </row>
    <row r="65" spans="1:22" ht="15" customHeight="1" x14ac:dyDescent="0.2">
      <c r="A65" s="14"/>
      <c r="B65" s="105"/>
      <c r="C65" s="14"/>
      <c r="D65" s="14"/>
      <c r="E65" s="14"/>
      <c r="F65" s="14"/>
      <c r="G65" s="14"/>
      <c r="L65" s="16"/>
      <c r="M65" s="16"/>
      <c r="O65" s="15"/>
      <c r="P65" s="15"/>
      <c r="Q65" s="15"/>
    </row>
    <row r="66" spans="1:22" ht="15" customHeight="1" x14ac:dyDescent="0.2">
      <c r="A66" s="14"/>
      <c r="B66" s="105"/>
      <c r="C66" s="14"/>
      <c r="D66" s="14"/>
      <c r="E66" s="14"/>
      <c r="F66" s="14"/>
      <c r="G66" s="14"/>
      <c r="K66" s="18" t="s">
        <v>45</v>
      </c>
      <c r="O66" s="15"/>
      <c r="P66" s="15"/>
      <c r="Q66" s="15"/>
    </row>
    <row r="67" spans="1:22" ht="15" customHeight="1" x14ac:dyDescent="0.2">
      <c r="A67" s="14"/>
      <c r="B67" s="105"/>
      <c r="C67" s="14"/>
      <c r="D67" s="14"/>
      <c r="E67" s="14"/>
      <c r="F67" s="14"/>
      <c r="G67" s="14"/>
      <c r="K67" s="17" t="str">
        <f>+CONCATENATE("a. Velocidad de ensayo: ",D22, E22)</f>
        <v>a. Velocidad de ensayo: 0,5 MPa/s</v>
      </c>
      <c r="O67" s="15"/>
      <c r="P67" s="15"/>
      <c r="Q67" s="15"/>
    </row>
    <row r="68" spans="1:22" ht="15" customHeight="1" x14ac:dyDescent="0.2">
      <c r="A68" s="14"/>
      <c r="B68" s="105"/>
      <c r="C68" s="14"/>
      <c r="D68" s="14"/>
      <c r="E68" s="14"/>
      <c r="F68" s="14"/>
      <c r="G68" s="14"/>
      <c r="K68" s="17" t="s">
        <v>44</v>
      </c>
      <c r="O68" s="15"/>
      <c r="P68" s="15"/>
      <c r="Q68" s="15"/>
    </row>
    <row r="69" spans="1:22" ht="15" customHeight="1" x14ac:dyDescent="0.2">
      <c r="A69" s="14"/>
      <c r="B69" s="105"/>
      <c r="C69" s="14"/>
      <c r="D69" s="14"/>
      <c r="E69" s="14"/>
      <c r="F69" s="14"/>
      <c r="G69" s="14"/>
      <c r="K69" s="108" t="str">
        <f>IF(H10&lt;2,"b. La probeta no cumple con la relación de esbeltez 2,50&gt; L/D&gt;2,00. ",IF(H10&gt;2.5,"b. La probeta no cumple con la relación de esbeltez 2,50&gt;L/D&gt;2,00.",IF(H10&gt;2," ",IF(H10&lt;2.5," "))))</f>
        <v xml:space="preserve"> </v>
      </c>
      <c r="L69" s="16"/>
      <c r="M69" s="16"/>
      <c r="O69" s="15"/>
      <c r="P69" s="15"/>
      <c r="Q69" s="15"/>
    </row>
    <row r="70" spans="1:22" ht="15" customHeight="1" x14ac:dyDescent="0.2">
      <c r="A70" s="14"/>
      <c r="B70" s="105"/>
      <c r="C70" s="14"/>
      <c r="D70" s="14"/>
      <c r="E70" s="14"/>
      <c r="F70" s="14"/>
      <c r="G70" s="14"/>
      <c r="O70" s="15"/>
      <c r="P70" s="15"/>
      <c r="Q70" s="15"/>
    </row>
    <row r="71" spans="1:22" ht="15" customHeight="1" x14ac:dyDescent="0.2">
      <c r="A71" s="14"/>
      <c r="B71" s="105"/>
      <c r="C71" s="14"/>
      <c r="D71" s="14"/>
      <c r="E71" s="14"/>
      <c r="F71" s="14"/>
      <c r="G71" s="14"/>
      <c r="O71" s="15"/>
      <c r="P71" s="15"/>
      <c r="Q71" s="15"/>
    </row>
    <row r="72" spans="1:22" ht="15" customHeight="1" x14ac:dyDescent="0.2">
      <c r="A72" s="14"/>
      <c r="B72" s="105"/>
      <c r="C72" s="14"/>
      <c r="D72" s="14"/>
      <c r="E72" s="14"/>
      <c r="F72" s="14"/>
      <c r="G72" s="14"/>
      <c r="O72" s="15"/>
      <c r="P72" s="15"/>
      <c r="Q72" s="15"/>
    </row>
    <row r="73" spans="1:22" ht="15" customHeight="1" x14ac:dyDescent="0.2">
      <c r="A73" s="14"/>
      <c r="B73" s="105"/>
      <c r="C73" s="14"/>
      <c r="D73" s="14"/>
      <c r="E73" s="14"/>
      <c r="F73" s="14"/>
      <c r="G73" s="14"/>
      <c r="P73" s="15"/>
      <c r="Q73" s="15"/>
    </row>
    <row r="74" spans="1:22" ht="15" customHeight="1" x14ac:dyDescent="0.2">
      <c r="A74" s="14"/>
      <c r="B74" s="105"/>
      <c r="C74" s="14"/>
      <c r="D74" s="14"/>
      <c r="E74" s="14"/>
      <c r="F74" s="14"/>
      <c r="G74" s="14"/>
      <c r="P74" s="15"/>
      <c r="Q74" s="15"/>
      <c r="V74" s="24"/>
    </row>
    <row r="75" spans="1:22" ht="15" customHeight="1" x14ac:dyDescent="0.2">
      <c r="A75" s="14"/>
      <c r="B75" s="105"/>
      <c r="C75" s="14"/>
      <c r="D75" s="14"/>
      <c r="E75" s="14"/>
      <c r="F75" s="14"/>
      <c r="G75" s="14"/>
      <c r="P75" s="15"/>
      <c r="Q75" s="15"/>
    </row>
    <row r="76" spans="1:22" ht="15" customHeight="1" x14ac:dyDescent="0.2">
      <c r="A76" s="14"/>
      <c r="B76" s="105"/>
      <c r="C76" s="14"/>
      <c r="D76" s="14"/>
      <c r="E76" s="14"/>
      <c r="F76" s="14"/>
      <c r="G76" s="14"/>
      <c r="P76" s="15"/>
      <c r="Q76" s="15"/>
    </row>
    <row r="77" spans="1:22" ht="15" customHeight="1" x14ac:dyDescent="0.2">
      <c r="A77" s="14"/>
      <c r="B77" s="105"/>
      <c r="C77" s="14"/>
      <c r="D77" s="14"/>
      <c r="E77" s="14"/>
      <c r="F77" s="14"/>
      <c r="G77" s="14"/>
      <c r="P77" s="15"/>
      <c r="Q77" s="15"/>
    </row>
    <row r="78" spans="1:22" ht="15" customHeight="1" x14ac:dyDescent="0.2">
      <c r="A78" s="14"/>
      <c r="B78" s="105"/>
      <c r="C78" s="14"/>
      <c r="D78" s="14"/>
      <c r="E78" s="14"/>
      <c r="F78" s="14"/>
      <c r="G78" s="14"/>
    </row>
    <row r="79" spans="1:22" ht="15" customHeight="1" x14ac:dyDescent="0.2">
      <c r="A79" s="14"/>
      <c r="B79" s="105"/>
      <c r="C79" s="14"/>
      <c r="D79" s="14"/>
      <c r="E79" s="14"/>
      <c r="F79" s="14"/>
      <c r="G79" s="14"/>
    </row>
    <row r="80" spans="1:22" ht="15" customHeight="1" x14ac:dyDescent="0.2">
      <c r="A80" s="14"/>
      <c r="B80" s="105"/>
      <c r="C80" s="14"/>
      <c r="D80" s="14"/>
      <c r="E80" s="14"/>
      <c r="F80" s="14"/>
      <c r="G80" s="14"/>
    </row>
    <row r="81" spans="1:7" ht="15" customHeight="1" x14ac:dyDescent="0.2">
      <c r="A81" s="14"/>
      <c r="B81" s="105"/>
      <c r="C81" s="14"/>
      <c r="D81" s="14"/>
      <c r="E81" s="14"/>
      <c r="F81" s="14"/>
      <c r="G81" s="14"/>
    </row>
    <row r="82" spans="1:7" ht="15" customHeight="1" x14ac:dyDescent="0.2">
      <c r="A82" s="14"/>
      <c r="B82" s="105"/>
      <c r="C82" s="14"/>
      <c r="D82" s="14"/>
      <c r="E82" s="14"/>
      <c r="F82" s="14"/>
      <c r="G82" s="14"/>
    </row>
    <row r="83" spans="1:7" ht="15" customHeight="1" x14ac:dyDescent="0.2">
      <c r="A83" s="14"/>
      <c r="B83" s="105"/>
      <c r="C83" s="14"/>
      <c r="D83" s="14"/>
      <c r="E83" s="14"/>
      <c r="F83" s="14"/>
      <c r="G83" s="14"/>
    </row>
    <row r="84" spans="1:7" ht="15" customHeight="1" x14ac:dyDescent="0.2">
      <c r="A84" s="14"/>
      <c r="B84" s="105"/>
      <c r="C84" s="14"/>
      <c r="D84" s="14"/>
      <c r="E84" s="14"/>
      <c r="F84" s="14"/>
      <c r="G84" s="14"/>
    </row>
    <row r="85" spans="1:7" ht="15" customHeight="1" x14ac:dyDescent="0.2">
      <c r="A85" s="14"/>
      <c r="B85" s="105"/>
      <c r="C85" s="14"/>
      <c r="D85" s="14"/>
      <c r="E85" s="14"/>
      <c r="F85" s="14"/>
      <c r="G85" s="14"/>
    </row>
    <row r="86" spans="1:7" ht="15" customHeight="1" x14ac:dyDescent="0.2">
      <c r="A86" s="14"/>
      <c r="B86" s="105"/>
      <c r="C86" s="14"/>
      <c r="D86" s="14"/>
      <c r="E86" s="14"/>
      <c r="F86" s="14"/>
      <c r="G86" s="14"/>
    </row>
    <row r="87" spans="1:7" ht="15" customHeight="1" x14ac:dyDescent="0.2">
      <c r="A87" s="14"/>
      <c r="B87" s="105"/>
      <c r="C87" s="14"/>
      <c r="D87" s="14"/>
      <c r="E87" s="14"/>
      <c r="F87" s="14"/>
      <c r="G87" s="14"/>
    </row>
    <row r="88" spans="1:7" ht="15" customHeight="1" x14ac:dyDescent="0.2">
      <c r="A88" s="14"/>
      <c r="B88" s="105"/>
      <c r="C88" s="14"/>
      <c r="D88" s="14"/>
      <c r="E88" s="14"/>
      <c r="F88" s="14"/>
      <c r="G88" s="14"/>
    </row>
    <row r="89" spans="1:7" ht="15" customHeight="1" x14ac:dyDescent="0.2">
      <c r="A89" s="14"/>
      <c r="B89" s="105"/>
      <c r="C89" s="14"/>
      <c r="D89" s="14"/>
      <c r="E89" s="14"/>
      <c r="F89" s="14"/>
      <c r="G89" s="14"/>
    </row>
    <row r="90" spans="1:7" ht="15" customHeight="1" x14ac:dyDescent="0.2">
      <c r="A90" s="14"/>
      <c r="B90" s="105"/>
      <c r="C90" s="14"/>
      <c r="D90" s="14"/>
      <c r="E90" s="14"/>
      <c r="F90" s="14"/>
      <c r="G90" s="14"/>
    </row>
    <row r="91" spans="1:7" ht="15" customHeight="1" x14ac:dyDescent="0.2">
      <c r="A91" s="14"/>
      <c r="B91" s="105"/>
      <c r="C91" s="14"/>
      <c r="D91" s="14"/>
      <c r="E91" s="14"/>
      <c r="F91" s="14"/>
      <c r="G91" s="14"/>
    </row>
    <row r="92" spans="1:7" ht="15" customHeight="1" x14ac:dyDescent="0.2">
      <c r="A92" s="14"/>
      <c r="B92" s="105"/>
      <c r="C92" s="14"/>
      <c r="D92" s="14"/>
      <c r="E92" s="14"/>
      <c r="F92" s="14"/>
      <c r="G92" s="14"/>
    </row>
    <row r="93" spans="1:7" ht="15" customHeight="1" x14ac:dyDescent="0.2">
      <c r="A93" s="14"/>
      <c r="B93" s="105"/>
      <c r="C93" s="14"/>
      <c r="D93" s="14"/>
      <c r="E93" s="14"/>
      <c r="F93" s="14"/>
      <c r="G93" s="14"/>
    </row>
    <row r="94" spans="1:7" ht="15" customHeight="1" x14ac:dyDescent="0.2">
      <c r="A94" s="14"/>
      <c r="B94" s="105"/>
      <c r="C94" s="14"/>
      <c r="D94" s="14"/>
      <c r="E94" s="14"/>
      <c r="F94" s="14"/>
      <c r="G94" s="14"/>
    </row>
    <row r="95" spans="1:7" ht="15" customHeight="1" x14ac:dyDescent="0.2">
      <c r="A95" s="14"/>
      <c r="B95" s="105"/>
      <c r="C95" s="14"/>
      <c r="D95" s="14"/>
      <c r="E95" s="14"/>
      <c r="F95" s="14"/>
      <c r="G95" s="14"/>
    </row>
    <row r="96" spans="1:7" ht="15" customHeight="1" x14ac:dyDescent="0.2">
      <c r="A96" s="14"/>
      <c r="B96" s="105"/>
      <c r="C96" s="14"/>
      <c r="D96" s="14"/>
      <c r="E96" s="14"/>
      <c r="F96" s="14"/>
      <c r="G96" s="14"/>
    </row>
    <row r="97" spans="1:7" ht="15" customHeight="1" x14ac:dyDescent="0.2">
      <c r="A97" s="14"/>
      <c r="B97" s="105"/>
      <c r="C97" s="14"/>
      <c r="D97" s="14"/>
      <c r="E97" s="14"/>
      <c r="F97" s="14"/>
      <c r="G97" s="14"/>
    </row>
    <row r="98" spans="1:7" ht="15" customHeight="1" x14ac:dyDescent="0.2">
      <c r="A98" s="14"/>
      <c r="B98" s="105"/>
      <c r="C98" s="14"/>
      <c r="D98" s="14"/>
      <c r="E98" s="14"/>
      <c r="F98" s="14"/>
      <c r="G98" s="14"/>
    </row>
    <row r="99" spans="1:7" ht="15" customHeight="1" x14ac:dyDescent="0.2">
      <c r="A99" s="14"/>
      <c r="B99" s="105"/>
      <c r="C99" s="14"/>
      <c r="D99" s="14"/>
      <c r="E99" s="14"/>
      <c r="F99" s="14"/>
      <c r="G99" s="14"/>
    </row>
    <row r="100" spans="1:7" ht="15" customHeight="1" x14ac:dyDescent="0.2">
      <c r="A100" s="14"/>
      <c r="B100" s="105"/>
      <c r="C100" s="14"/>
      <c r="D100" s="14"/>
      <c r="E100" s="14"/>
      <c r="F100" s="14"/>
      <c r="G100" s="14"/>
    </row>
    <row r="101" spans="1:7" ht="15" customHeight="1" x14ac:dyDescent="0.2">
      <c r="A101" s="14"/>
      <c r="B101" s="105"/>
      <c r="C101" s="14"/>
      <c r="D101" s="14"/>
      <c r="E101" s="14"/>
      <c r="F101" s="14"/>
      <c r="G101" s="14"/>
    </row>
    <row r="102" spans="1:7" ht="15" customHeight="1" x14ac:dyDescent="0.2">
      <c r="A102" s="14"/>
      <c r="B102" s="105"/>
      <c r="C102" s="14"/>
      <c r="D102" s="14"/>
      <c r="E102" s="14"/>
      <c r="F102" s="14"/>
      <c r="G102" s="14"/>
    </row>
    <row r="103" spans="1:7" ht="15" customHeight="1" x14ac:dyDescent="0.2">
      <c r="A103" s="14"/>
      <c r="B103" s="105"/>
      <c r="C103" s="14"/>
      <c r="D103" s="14"/>
      <c r="E103" s="14"/>
      <c r="F103" s="14"/>
      <c r="G103" s="14"/>
    </row>
    <row r="104" spans="1:7" ht="15" customHeight="1" x14ac:dyDescent="0.2">
      <c r="A104" s="14"/>
      <c r="B104" s="105"/>
      <c r="C104" s="14"/>
      <c r="D104" s="14"/>
      <c r="E104" s="14"/>
      <c r="F104" s="14"/>
      <c r="G104" s="14"/>
    </row>
    <row r="105" spans="1:7" ht="15" customHeight="1" x14ac:dyDescent="0.2">
      <c r="A105" s="14"/>
      <c r="B105" s="105"/>
      <c r="C105" s="14"/>
      <c r="D105" s="14"/>
      <c r="E105" s="14"/>
      <c r="F105" s="14"/>
      <c r="G105" s="14"/>
    </row>
    <row r="106" spans="1:7" ht="15" customHeight="1" x14ac:dyDescent="0.2">
      <c r="A106" s="14"/>
      <c r="B106" s="105"/>
      <c r="C106" s="14"/>
      <c r="D106" s="14"/>
      <c r="E106" s="14"/>
      <c r="F106" s="14"/>
      <c r="G106" s="14"/>
    </row>
    <row r="107" spans="1:7" ht="15" customHeight="1" x14ac:dyDescent="0.2">
      <c r="A107" s="14"/>
      <c r="B107" s="105"/>
      <c r="C107" s="14"/>
      <c r="D107" s="14"/>
      <c r="E107" s="14"/>
      <c r="F107" s="14"/>
      <c r="G107" s="14"/>
    </row>
    <row r="108" spans="1:7" ht="15" customHeight="1" x14ac:dyDescent="0.2">
      <c r="A108" s="14"/>
      <c r="B108" s="105"/>
      <c r="C108" s="14"/>
      <c r="D108" s="14"/>
      <c r="E108" s="14"/>
      <c r="F108" s="14"/>
      <c r="G108" s="14"/>
    </row>
    <row r="109" spans="1:7" ht="15" customHeight="1" x14ac:dyDescent="0.2">
      <c r="A109" s="14"/>
      <c r="B109" s="105"/>
      <c r="C109" s="14"/>
      <c r="D109" s="14"/>
      <c r="E109" s="14"/>
      <c r="F109" s="14"/>
      <c r="G109" s="14"/>
    </row>
    <row r="110" spans="1:7" ht="15" customHeight="1" x14ac:dyDescent="0.2">
      <c r="A110" s="14"/>
      <c r="B110" s="105"/>
      <c r="C110" s="14"/>
      <c r="D110" s="14"/>
      <c r="E110" s="14"/>
      <c r="F110" s="14"/>
      <c r="G110" s="14"/>
    </row>
    <row r="111" spans="1:7" ht="15" customHeight="1" x14ac:dyDescent="0.2">
      <c r="A111" s="14"/>
      <c r="B111" s="105"/>
      <c r="C111" s="14"/>
      <c r="D111" s="14"/>
      <c r="E111" s="14"/>
      <c r="F111" s="14"/>
      <c r="G111" s="14"/>
    </row>
    <row r="112" spans="1:7" ht="15" customHeight="1" x14ac:dyDescent="0.2">
      <c r="A112" s="14"/>
      <c r="B112" s="105"/>
      <c r="C112" s="14"/>
      <c r="D112" s="14"/>
      <c r="E112" s="14"/>
      <c r="F112" s="14"/>
      <c r="G112" s="14"/>
    </row>
    <row r="113" spans="1:7" ht="15" customHeight="1" x14ac:dyDescent="0.2">
      <c r="A113" s="14"/>
      <c r="B113" s="105"/>
      <c r="C113" s="14"/>
      <c r="D113" s="14"/>
      <c r="E113" s="14"/>
      <c r="F113" s="14"/>
      <c r="G113" s="14"/>
    </row>
    <row r="114" spans="1:7" ht="15" customHeight="1" x14ac:dyDescent="0.2">
      <c r="A114" s="14"/>
      <c r="B114" s="105"/>
      <c r="C114" s="14"/>
      <c r="D114" s="14"/>
      <c r="E114" s="14"/>
      <c r="F114" s="14"/>
      <c r="G114" s="14"/>
    </row>
    <row r="115" spans="1:7" ht="15" customHeight="1" x14ac:dyDescent="0.2">
      <c r="A115" s="14"/>
      <c r="B115" s="105"/>
      <c r="C115" s="14"/>
      <c r="D115" s="14"/>
      <c r="E115" s="14"/>
      <c r="F115" s="14"/>
      <c r="G115" s="14"/>
    </row>
    <row r="116" spans="1:7" ht="15" customHeight="1" x14ac:dyDescent="0.2">
      <c r="A116" s="14"/>
      <c r="B116" s="105"/>
      <c r="C116" s="14"/>
      <c r="D116" s="14"/>
      <c r="E116" s="14"/>
      <c r="F116" s="14"/>
      <c r="G116" s="14"/>
    </row>
    <row r="117" spans="1:7" ht="15" customHeight="1" x14ac:dyDescent="0.2">
      <c r="A117" s="14"/>
      <c r="B117" s="105"/>
      <c r="C117" s="14"/>
      <c r="D117" s="14"/>
      <c r="E117" s="14"/>
      <c r="F117" s="14"/>
      <c r="G117" s="14"/>
    </row>
    <row r="118" spans="1:7" ht="15" customHeight="1" x14ac:dyDescent="0.2">
      <c r="A118" s="14"/>
      <c r="B118" s="105"/>
      <c r="C118" s="14"/>
      <c r="D118" s="14"/>
      <c r="E118" s="14"/>
      <c r="F118" s="14"/>
      <c r="G118" s="14"/>
    </row>
    <row r="119" spans="1:7" ht="15" customHeight="1" x14ac:dyDescent="0.2">
      <c r="A119" s="14"/>
      <c r="B119" s="105"/>
      <c r="C119" s="14"/>
      <c r="D119" s="14"/>
      <c r="E119" s="14"/>
      <c r="F119" s="14"/>
      <c r="G119" s="14"/>
    </row>
    <row r="120" spans="1:7" ht="15" customHeight="1" x14ac:dyDescent="0.2">
      <c r="A120" s="14"/>
      <c r="B120" s="105"/>
      <c r="C120" s="14"/>
      <c r="D120" s="14"/>
      <c r="E120" s="14"/>
      <c r="F120" s="14"/>
      <c r="G120" s="14"/>
    </row>
    <row r="121" spans="1:7" ht="15" customHeight="1" x14ac:dyDescent="0.2">
      <c r="A121" s="14"/>
      <c r="B121" s="105"/>
      <c r="C121" s="14"/>
      <c r="D121" s="14"/>
      <c r="E121" s="14"/>
      <c r="F121" s="14"/>
      <c r="G121" s="14"/>
    </row>
    <row r="122" spans="1:7" ht="15" customHeight="1" x14ac:dyDescent="0.2">
      <c r="A122" s="14"/>
      <c r="B122" s="105"/>
      <c r="C122" s="14"/>
      <c r="D122" s="14"/>
      <c r="E122" s="14"/>
      <c r="F122" s="14"/>
      <c r="G122" s="14"/>
    </row>
    <row r="123" spans="1:7" ht="15" customHeight="1" x14ac:dyDescent="0.2">
      <c r="A123" s="14"/>
      <c r="B123" s="105"/>
      <c r="C123" s="14"/>
      <c r="D123" s="14"/>
      <c r="E123" s="14"/>
      <c r="F123" s="14"/>
      <c r="G123" s="14"/>
    </row>
    <row r="124" spans="1:7" ht="15" customHeight="1" x14ac:dyDescent="0.2">
      <c r="A124" s="14"/>
      <c r="B124" s="105"/>
      <c r="C124" s="14"/>
      <c r="D124" s="14"/>
      <c r="E124" s="14"/>
      <c r="F124" s="14"/>
      <c r="G124" s="14"/>
    </row>
    <row r="125" spans="1:7" ht="15" customHeight="1" x14ac:dyDescent="0.2">
      <c r="A125" s="14"/>
      <c r="B125" s="105"/>
      <c r="C125" s="14"/>
      <c r="D125" s="14"/>
      <c r="E125" s="14"/>
      <c r="F125" s="14"/>
      <c r="G125" s="14"/>
    </row>
    <row r="126" spans="1:7" ht="15" customHeight="1" x14ac:dyDescent="0.2">
      <c r="A126" s="14"/>
      <c r="B126" s="105"/>
      <c r="C126" s="14"/>
      <c r="D126" s="14"/>
      <c r="E126" s="14"/>
      <c r="F126" s="14"/>
      <c r="G126" s="14"/>
    </row>
    <row r="127" spans="1:7" ht="15" customHeight="1" x14ac:dyDescent="0.2">
      <c r="A127" s="14"/>
      <c r="B127" s="105"/>
      <c r="C127" s="14"/>
      <c r="D127" s="14"/>
      <c r="E127" s="14"/>
      <c r="F127" s="14"/>
      <c r="G127" s="14"/>
    </row>
    <row r="128" spans="1:7" ht="15" customHeight="1" x14ac:dyDescent="0.2">
      <c r="A128" s="14"/>
      <c r="B128" s="105"/>
      <c r="C128" s="14"/>
      <c r="D128" s="14"/>
      <c r="E128" s="14"/>
      <c r="F128" s="14"/>
      <c r="G128" s="14"/>
    </row>
    <row r="129" spans="1:7" ht="15" customHeight="1" x14ac:dyDescent="0.2">
      <c r="A129" s="14"/>
      <c r="B129" s="105"/>
      <c r="C129" s="14"/>
      <c r="D129" s="14"/>
      <c r="E129" s="14"/>
      <c r="F129" s="14"/>
      <c r="G129" s="14"/>
    </row>
    <row r="130" spans="1:7" ht="15" customHeight="1" x14ac:dyDescent="0.2">
      <c r="A130" s="14"/>
      <c r="B130" s="105"/>
      <c r="C130" s="14"/>
      <c r="D130" s="14"/>
      <c r="E130" s="14"/>
      <c r="F130" s="14"/>
      <c r="G130" s="14"/>
    </row>
    <row r="131" spans="1:7" ht="15" customHeight="1" x14ac:dyDescent="0.2">
      <c r="A131" s="14"/>
      <c r="B131" s="105"/>
      <c r="C131" s="14"/>
      <c r="D131" s="14"/>
      <c r="E131" s="14"/>
      <c r="F131" s="14"/>
      <c r="G131" s="14"/>
    </row>
    <row r="132" spans="1:7" ht="15" customHeight="1" x14ac:dyDescent="0.2">
      <c r="A132" s="14"/>
      <c r="B132" s="105"/>
      <c r="C132" s="14"/>
      <c r="D132" s="14"/>
      <c r="E132" s="14"/>
      <c r="F132" s="14"/>
      <c r="G132" s="14"/>
    </row>
    <row r="133" spans="1:7" ht="15" customHeight="1" x14ac:dyDescent="0.2">
      <c r="A133" s="14"/>
      <c r="B133" s="105"/>
      <c r="C133" s="14"/>
      <c r="D133" s="14"/>
      <c r="E133" s="14"/>
      <c r="F133" s="14"/>
      <c r="G133" s="14"/>
    </row>
    <row r="134" spans="1:7" ht="15" customHeight="1" x14ac:dyDescent="0.2">
      <c r="A134" s="14"/>
      <c r="B134" s="105"/>
      <c r="C134" s="14"/>
      <c r="D134" s="14"/>
      <c r="E134" s="14"/>
      <c r="F134" s="14"/>
      <c r="G134" s="14"/>
    </row>
    <row r="135" spans="1:7" ht="15" customHeight="1" x14ac:dyDescent="0.2">
      <c r="A135" s="14"/>
      <c r="B135" s="105"/>
      <c r="C135" s="14"/>
      <c r="D135" s="14"/>
      <c r="E135" s="14"/>
      <c r="F135" s="14"/>
      <c r="G135" s="14"/>
    </row>
    <row r="136" spans="1:7" ht="15" customHeight="1" x14ac:dyDescent="0.2">
      <c r="A136" s="14"/>
      <c r="B136" s="105"/>
      <c r="C136" s="14"/>
      <c r="D136" s="14"/>
      <c r="E136" s="14"/>
      <c r="F136" s="14"/>
      <c r="G136" s="14"/>
    </row>
    <row r="137" spans="1:7" ht="15" customHeight="1" x14ac:dyDescent="0.2">
      <c r="A137" s="14"/>
      <c r="B137" s="105"/>
      <c r="C137" s="14"/>
      <c r="D137" s="14"/>
      <c r="E137" s="14"/>
      <c r="F137" s="14"/>
      <c r="G137" s="14"/>
    </row>
    <row r="138" spans="1:7" ht="15" customHeight="1" x14ac:dyDescent="0.2">
      <c r="A138" s="14"/>
      <c r="B138" s="105"/>
      <c r="C138" s="14"/>
      <c r="D138" s="14"/>
      <c r="E138" s="14"/>
      <c r="F138" s="14"/>
      <c r="G138" s="14"/>
    </row>
    <row r="139" spans="1:7" ht="15" customHeight="1" x14ac:dyDescent="0.2">
      <c r="A139" s="14"/>
      <c r="B139" s="105"/>
      <c r="C139" s="14"/>
      <c r="D139" s="14"/>
      <c r="E139" s="14"/>
      <c r="F139" s="14"/>
      <c r="G139" s="14"/>
    </row>
    <row r="140" spans="1:7" ht="15" customHeight="1" x14ac:dyDescent="0.2">
      <c r="A140" s="14"/>
      <c r="B140" s="105"/>
      <c r="C140" s="14"/>
      <c r="D140" s="14"/>
      <c r="E140" s="14"/>
      <c r="F140" s="14"/>
      <c r="G140" s="14"/>
    </row>
    <row r="141" spans="1:7" ht="15" customHeight="1" x14ac:dyDescent="0.2">
      <c r="A141" s="14"/>
      <c r="B141" s="105"/>
      <c r="C141" s="14"/>
      <c r="D141" s="14"/>
      <c r="E141" s="14"/>
      <c r="F141" s="14"/>
      <c r="G141" s="14"/>
    </row>
    <row r="142" spans="1:7" ht="15" customHeight="1" x14ac:dyDescent="0.2">
      <c r="A142" s="14"/>
      <c r="B142" s="105"/>
      <c r="C142" s="14"/>
      <c r="D142" s="14"/>
      <c r="E142" s="14"/>
      <c r="F142" s="14"/>
      <c r="G142" s="14"/>
    </row>
    <row r="143" spans="1:7" ht="15" customHeight="1" x14ac:dyDescent="0.2">
      <c r="A143" s="14"/>
      <c r="B143" s="105"/>
      <c r="C143" s="14"/>
      <c r="D143" s="14"/>
      <c r="E143" s="14"/>
      <c r="F143" s="14"/>
      <c r="G143" s="14"/>
    </row>
    <row r="144" spans="1:7" ht="15" customHeight="1" x14ac:dyDescent="0.2">
      <c r="A144" s="14"/>
      <c r="B144" s="105"/>
      <c r="C144" s="14"/>
      <c r="D144" s="14"/>
      <c r="E144" s="14"/>
      <c r="F144" s="14"/>
      <c r="G144" s="14"/>
    </row>
    <row r="145" spans="1:7" ht="15" customHeight="1" x14ac:dyDescent="0.2">
      <c r="A145" s="14"/>
      <c r="B145" s="105"/>
      <c r="C145" s="14"/>
      <c r="D145" s="14"/>
      <c r="E145" s="14"/>
      <c r="F145" s="14"/>
      <c r="G145" s="14"/>
    </row>
    <row r="146" spans="1:7" ht="15" customHeight="1" x14ac:dyDescent="0.2">
      <c r="A146" s="14"/>
      <c r="B146" s="105"/>
      <c r="C146" s="14"/>
      <c r="D146" s="14"/>
      <c r="E146" s="14"/>
      <c r="F146" s="14"/>
      <c r="G146" s="14"/>
    </row>
    <row r="147" spans="1:7" ht="15" customHeight="1" x14ac:dyDescent="0.2">
      <c r="A147" s="14"/>
      <c r="B147" s="105"/>
      <c r="C147" s="14"/>
      <c r="D147" s="14"/>
      <c r="E147" s="14"/>
      <c r="F147" s="14"/>
      <c r="G147" s="14"/>
    </row>
    <row r="148" spans="1:7" ht="15" customHeight="1" x14ac:dyDescent="0.2">
      <c r="A148" s="14"/>
      <c r="B148" s="105"/>
      <c r="C148" s="14"/>
      <c r="D148" s="14"/>
      <c r="E148" s="14"/>
      <c r="F148" s="14"/>
      <c r="G148" s="14"/>
    </row>
    <row r="149" spans="1:7" ht="15" customHeight="1" x14ac:dyDescent="0.2">
      <c r="A149" s="14"/>
      <c r="B149" s="105"/>
      <c r="C149" s="14"/>
      <c r="D149" s="14"/>
      <c r="E149" s="14"/>
      <c r="F149" s="14"/>
      <c r="G149" s="14"/>
    </row>
    <row r="150" spans="1:7" ht="15" customHeight="1" x14ac:dyDescent="0.2">
      <c r="A150" s="14"/>
      <c r="B150" s="105"/>
      <c r="C150" s="14"/>
      <c r="D150" s="14"/>
      <c r="E150" s="14"/>
      <c r="F150" s="14"/>
      <c r="G150" s="14"/>
    </row>
    <row r="151" spans="1:7" ht="15" customHeight="1" x14ac:dyDescent="0.2">
      <c r="A151" s="14"/>
      <c r="B151" s="105"/>
      <c r="C151" s="14"/>
      <c r="D151" s="14"/>
      <c r="E151" s="14"/>
      <c r="F151" s="14"/>
      <c r="G151" s="14"/>
    </row>
    <row r="152" spans="1:7" ht="15" customHeight="1" x14ac:dyDescent="0.2">
      <c r="A152" s="14"/>
      <c r="B152" s="105"/>
      <c r="C152" s="14"/>
      <c r="D152" s="14"/>
      <c r="E152" s="14"/>
      <c r="F152" s="14"/>
      <c r="G152" s="14"/>
    </row>
    <row r="153" spans="1:7" ht="15" customHeight="1" x14ac:dyDescent="0.2">
      <c r="A153" s="14"/>
      <c r="B153" s="105"/>
      <c r="C153" s="14"/>
      <c r="D153" s="14"/>
      <c r="E153" s="14"/>
      <c r="F153" s="14"/>
      <c r="G153" s="14"/>
    </row>
    <row r="154" spans="1:7" ht="15" customHeight="1" x14ac:dyDescent="0.2">
      <c r="A154" s="14"/>
      <c r="B154" s="105"/>
      <c r="C154" s="14"/>
      <c r="D154" s="14"/>
      <c r="E154" s="14"/>
      <c r="F154" s="14"/>
      <c r="G154" s="14"/>
    </row>
    <row r="155" spans="1:7" ht="15" customHeight="1" x14ac:dyDescent="0.2">
      <c r="A155" s="14"/>
      <c r="B155" s="105"/>
      <c r="C155" s="14"/>
      <c r="D155" s="14"/>
      <c r="E155" s="14"/>
      <c r="F155" s="14"/>
      <c r="G155" s="14"/>
    </row>
    <row r="156" spans="1:7" ht="15" customHeight="1" x14ac:dyDescent="0.2">
      <c r="A156" s="14"/>
      <c r="B156" s="105"/>
      <c r="C156" s="14"/>
      <c r="D156" s="14"/>
      <c r="E156" s="14"/>
      <c r="F156" s="14"/>
      <c r="G156" s="14"/>
    </row>
    <row r="157" spans="1:7" ht="15" customHeight="1" x14ac:dyDescent="0.2">
      <c r="A157" s="14"/>
      <c r="B157" s="105"/>
      <c r="C157" s="14"/>
      <c r="D157" s="14"/>
      <c r="E157" s="14"/>
      <c r="F157" s="14"/>
      <c r="G157" s="14"/>
    </row>
    <row r="158" spans="1:7" ht="15" customHeight="1" x14ac:dyDescent="0.2">
      <c r="A158" s="14"/>
      <c r="B158" s="105"/>
      <c r="C158" s="14"/>
      <c r="D158" s="14"/>
      <c r="E158" s="14"/>
      <c r="F158" s="14"/>
      <c r="G158" s="14"/>
    </row>
    <row r="159" spans="1:7" ht="15" customHeight="1" x14ac:dyDescent="0.2">
      <c r="A159" s="14"/>
      <c r="B159" s="105"/>
      <c r="C159" s="14"/>
      <c r="D159" s="14"/>
      <c r="E159" s="14"/>
      <c r="F159" s="14"/>
      <c r="G159" s="14"/>
    </row>
    <row r="160" spans="1:7" ht="15" customHeight="1" x14ac:dyDescent="0.2">
      <c r="A160" s="14"/>
      <c r="B160" s="105"/>
      <c r="C160" s="14"/>
      <c r="D160" s="14"/>
      <c r="E160" s="14"/>
      <c r="F160" s="14"/>
      <c r="G160" s="14"/>
    </row>
    <row r="161" spans="1:7" ht="15" customHeight="1" x14ac:dyDescent="0.2">
      <c r="A161" s="14"/>
      <c r="B161" s="105"/>
      <c r="C161" s="14"/>
      <c r="D161" s="14"/>
      <c r="E161" s="14"/>
      <c r="F161" s="14"/>
      <c r="G161" s="14"/>
    </row>
    <row r="162" spans="1:7" ht="15" customHeight="1" x14ac:dyDescent="0.2">
      <c r="A162" s="14"/>
      <c r="B162" s="105"/>
      <c r="C162" s="14"/>
      <c r="D162" s="14"/>
      <c r="E162" s="14"/>
      <c r="F162" s="14"/>
      <c r="G162" s="14"/>
    </row>
    <row r="163" spans="1:7" ht="15" customHeight="1" x14ac:dyDescent="0.2">
      <c r="A163" s="14"/>
      <c r="B163" s="105"/>
      <c r="C163" s="14"/>
      <c r="D163" s="14"/>
      <c r="E163" s="14"/>
      <c r="F163" s="14"/>
      <c r="G163" s="14"/>
    </row>
    <row r="164" spans="1:7" ht="15" customHeight="1" x14ac:dyDescent="0.2">
      <c r="A164" s="14"/>
      <c r="B164" s="105"/>
      <c r="C164" s="14"/>
      <c r="D164" s="14"/>
      <c r="E164" s="14"/>
      <c r="F164" s="14"/>
      <c r="G164" s="14"/>
    </row>
    <row r="165" spans="1:7" ht="15" customHeight="1" x14ac:dyDescent="0.2">
      <c r="A165" s="14"/>
      <c r="B165" s="105"/>
      <c r="C165" s="14"/>
      <c r="D165" s="14"/>
      <c r="E165" s="14"/>
      <c r="F165" s="14"/>
      <c r="G165" s="14"/>
    </row>
    <row r="166" spans="1:7" ht="15" customHeight="1" x14ac:dyDescent="0.2">
      <c r="A166" s="14"/>
      <c r="B166" s="105"/>
      <c r="C166" s="14"/>
      <c r="D166" s="14"/>
      <c r="E166" s="14"/>
      <c r="F166" s="14"/>
      <c r="G166" s="14"/>
    </row>
    <row r="167" spans="1:7" ht="15" customHeight="1" x14ac:dyDescent="0.2">
      <c r="A167" s="14"/>
      <c r="B167" s="105"/>
      <c r="C167" s="14"/>
      <c r="D167" s="14"/>
      <c r="E167" s="14"/>
      <c r="F167" s="14"/>
      <c r="G167" s="14"/>
    </row>
    <row r="168" spans="1:7" ht="15" customHeight="1" x14ac:dyDescent="0.2">
      <c r="A168" s="14"/>
      <c r="B168" s="105"/>
      <c r="C168" s="14"/>
      <c r="D168" s="14"/>
      <c r="E168" s="14"/>
      <c r="F168" s="14"/>
      <c r="G168" s="14"/>
    </row>
    <row r="169" spans="1:7" ht="15" customHeight="1" x14ac:dyDescent="0.2">
      <c r="A169" s="14"/>
      <c r="B169" s="105"/>
      <c r="C169" s="14"/>
      <c r="D169" s="14"/>
      <c r="E169" s="14"/>
      <c r="F169" s="14"/>
      <c r="G169" s="14"/>
    </row>
    <row r="170" spans="1:7" ht="15" customHeight="1" x14ac:dyDescent="0.2">
      <c r="A170" s="14"/>
      <c r="B170" s="105"/>
      <c r="C170" s="14"/>
      <c r="D170" s="14"/>
      <c r="E170" s="14"/>
      <c r="F170" s="14"/>
      <c r="G170" s="14"/>
    </row>
    <row r="171" spans="1:7" ht="15" customHeight="1" x14ac:dyDescent="0.2">
      <c r="A171" s="14"/>
      <c r="B171" s="105"/>
      <c r="C171" s="14"/>
      <c r="D171" s="14"/>
      <c r="E171" s="14"/>
      <c r="F171" s="14"/>
      <c r="G171" s="14"/>
    </row>
    <row r="172" spans="1:7" ht="15" customHeight="1" x14ac:dyDescent="0.2">
      <c r="A172" s="14"/>
      <c r="B172" s="105"/>
      <c r="C172" s="14"/>
      <c r="D172" s="14"/>
      <c r="E172" s="14"/>
      <c r="F172" s="14"/>
      <c r="G172" s="14"/>
    </row>
    <row r="173" spans="1:7" ht="15" customHeight="1" x14ac:dyDescent="0.2">
      <c r="A173" s="14"/>
      <c r="B173" s="105"/>
      <c r="C173" s="14"/>
      <c r="D173" s="14"/>
      <c r="E173" s="14"/>
      <c r="F173" s="14"/>
      <c r="G173" s="14"/>
    </row>
    <row r="174" spans="1:7" ht="15" customHeight="1" x14ac:dyDescent="0.2">
      <c r="A174" s="14"/>
      <c r="B174" s="105"/>
      <c r="C174" s="14"/>
      <c r="D174" s="14"/>
      <c r="E174" s="14"/>
      <c r="F174" s="14"/>
      <c r="G174" s="14"/>
    </row>
    <row r="175" spans="1:7" ht="15" customHeight="1" x14ac:dyDescent="0.2">
      <c r="A175" s="14"/>
      <c r="B175" s="105"/>
      <c r="C175" s="14"/>
      <c r="D175" s="14"/>
      <c r="E175" s="14"/>
      <c r="F175" s="14"/>
      <c r="G175" s="14"/>
    </row>
    <row r="176" spans="1:7" ht="15" customHeight="1" x14ac:dyDescent="0.2">
      <c r="A176" s="14"/>
      <c r="B176" s="105"/>
      <c r="C176" s="14"/>
      <c r="D176" s="14"/>
      <c r="E176" s="14"/>
      <c r="F176" s="14"/>
      <c r="G176" s="14"/>
    </row>
    <row r="177" spans="1:7" ht="15" customHeight="1" x14ac:dyDescent="0.2">
      <c r="A177" s="14"/>
      <c r="B177" s="105"/>
      <c r="C177" s="14"/>
      <c r="D177" s="14"/>
      <c r="E177" s="14"/>
      <c r="F177" s="14"/>
      <c r="G177" s="14"/>
    </row>
    <row r="178" spans="1:7" ht="15" customHeight="1" x14ac:dyDescent="0.2">
      <c r="A178" s="14"/>
      <c r="B178" s="105"/>
      <c r="C178" s="14"/>
      <c r="D178" s="14"/>
      <c r="E178" s="14"/>
      <c r="F178" s="14"/>
      <c r="G178" s="14"/>
    </row>
    <row r="179" spans="1:7" ht="15" customHeight="1" x14ac:dyDescent="0.2">
      <c r="A179" s="14"/>
      <c r="B179" s="105"/>
      <c r="C179" s="14"/>
      <c r="D179" s="14"/>
      <c r="E179" s="14"/>
      <c r="F179" s="14"/>
      <c r="G179" s="14"/>
    </row>
    <row r="180" spans="1:7" ht="15" customHeight="1" x14ac:dyDescent="0.2">
      <c r="A180" s="14"/>
      <c r="B180" s="105"/>
      <c r="C180" s="14"/>
      <c r="D180" s="14"/>
      <c r="E180" s="14"/>
      <c r="F180" s="14"/>
      <c r="G180" s="14"/>
    </row>
    <row r="181" spans="1:7" ht="15" customHeight="1" x14ac:dyDescent="0.2">
      <c r="A181" s="14"/>
      <c r="B181" s="105"/>
      <c r="C181" s="14"/>
      <c r="D181" s="14"/>
      <c r="E181" s="14"/>
      <c r="F181" s="14"/>
      <c r="G181" s="14"/>
    </row>
    <row r="182" spans="1:7" ht="15" customHeight="1" x14ac:dyDescent="0.2">
      <c r="A182" s="14"/>
      <c r="B182" s="105"/>
      <c r="C182" s="14"/>
      <c r="D182" s="14"/>
      <c r="E182" s="14"/>
      <c r="F182" s="14"/>
      <c r="G182" s="14"/>
    </row>
    <row r="183" spans="1:7" ht="15" customHeight="1" x14ac:dyDescent="0.2">
      <c r="A183" s="14"/>
      <c r="B183" s="105"/>
      <c r="C183" s="14"/>
      <c r="D183" s="14"/>
      <c r="E183" s="14"/>
      <c r="F183" s="14"/>
      <c r="G183" s="14"/>
    </row>
    <row r="184" spans="1:7" ht="15" customHeight="1" x14ac:dyDescent="0.2">
      <c r="A184" s="14"/>
      <c r="B184" s="105"/>
      <c r="C184" s="14"/>
      <c r="D184" s="14"/>
      <c r="E184" s="14"/>
      <c r="F184" s="14"/>
      <c r="G184" s="14"/>
    </row>
    <row r="185" spans="1:7" ht="15" customHeight="1" x14ac:dyDescent="0.2">
      <c r="A185" s="14"/>
      <c r="B185" s="105"/>
      <c r="C185" s="14"/>
      <c r="D185" s="14"/>
      <c r="E185" s="14"/>
      <c r="F185" s="14"/>
      <c r="G185" s="14"/>
    </row>
    <row r="186" spans="1:7" ht="15" customHeight="1" x14ac:dyDescent="0.2">
      <c r="A186" s="14"/>
      <c r="B186" s="105"/>
      <c r="C186" s="14"/>
      <c r="D186" s="14"/>
      <c r="E186" s="14"/>
      <c r="F186" s="14"/>
      <c r="G186" s="14"/>
    </row>
    <row r="187" spans="1:7" ht="15" customHeight="1" x14ac:dyDescent="0.2">
      <c r="A187" s="14"/>
      <c r="B187" s="105"/>
      <c r="C187" s="14"/>
      <c r="D187" s="14"/>
      <c r="E187" s="14"/>
      <c r="F187" s="14"/>
      <c r="G187" s="14"/>
    </row>
    <row r="188" spans="1:7" ht="15" customHeight="1" x14ac:dyDescent="0.2">
      <c r="A188" s="14"/>
      <c r="B188" s="105"/>
      <c r="C188" s="14"/>
      <c r="D188" s="14"/>
      <c r="E188" s="14"/>
      <c r="F188" s="14"/>
      <c r="G188" s="14"/>
    </row>
    <row r="189" spans="1:7" ht="15" customHeight="1" x14ac:dyDescent="0.2">
      <c r="A189" s="14"/>
      <c r="B189" s="105"/>
      <c r="C189" s="14"/>
      <c r="D189" s="14"/>
      <c r="E189" s="14"/>
      <c r="F189" s="14"/>
      <c r="G189" s="14"/>
    </row>
    <row r="190" spans="1:7" ht="15" customHeight="1" x14ac:dyDescent="0.2">
      <c r="A190" s="14"/>
      <c r="B190" s="105"/>
      <c r="C190" s="14"/>
      <c r="D190" s="14"/>
      <c r="E190" s="14"/>
      <c r="F190" s="14"/>
      <c r="G190" s="14"/>
    </row>
    <row r="191" spans="1:7" ht="15" customHeight="1" x14ac:dyDescent="0.2">
      <c r="A191" s="14"/>
      <c r="B191" s="105"/>
      <c r="C191" s="14"/>
      <c r="D191" s="14"/>
      <c r="E191" s="14"/>
      <c r="F191" s="14"/>
      <c r="G191" s="14"/>
    </row>
    <row r="192" spans="1:7" ht="15" customHeight="1" x14ac:dyDescent="0.2">
      <c r="A192" s="14"/>
      <c r="B192" s="105"/>
      <c r="C192" s="14"/>
      <c r="D192" s="14"/>
      <c r="E192" s="14"/>
      <c r="F192" s="14"/>
      <c r="G192" s="14"/>
    </row>
    <row r="193" spans="1:7" ht="15" customHeight="1" x14ac:dyDescent="0.2">
      <c r="A193" s="14"/>
      <c r="B193" s="105"/>
      <c r="C193" s="14"/>
      <c r="D193" s="14"/>
      <c r="E193" s="14"/>
      <c r="F193" s="14"/>
      <c r="G193" s="14"/>
    </row>
    <row r="194" spans="1:7" ht="15" customHeight="1" x14ac:dyDescent="0.2">
      <c r="A194" s="14"/>
      <c r="B194" s="105"/>
      <c r="C194" s="14"/>
      <c r="D194" s="14"/>
      <c r="E194" s="14"/>
      <c r="F194" s="14"/>
      <c r="G194" s="14"/>
    </row>
    <row r="195" spans="1:7" ht="15" customHeight="1" x14ac:dyDescent="0.2">
      <c r="A195" s="14"/>
      <c r="B195" s="105"/>
      <c r="C195" s="14"/>
      <c r="D195" s="14"/>
      <c r="E195" s="14"/>
      <c r="F195" s="14"/>
      <c r="G195" s="14"/>
    </row>
    <row r="196" spans="1:7" ht="15" customHeight="1" x14ac:dyDescent="0.2">
      <c r="A196" s="14"/>
      <c r="B196" s="105"/>
      <c r="C196" s="14"/>
      <c r="D196" s="14"/>
      <c r="E196" s="14"/>
      <c r="F196" s="14"/>
      <c r="G196" s="14"/>
    </row>
    <row r="197" spans="1:7" ht="15" customHeight="1" x14ac:dyDescent="0.2">
      <c r="A197" s="14"/>
      <c r="B197" s="105"/>
      <c r="C197" s="14"/>
      <c r="D197" s="14"/>
      <c r="E197" s="14"/>
      <c r="F197" s="14"/>
      <c r="G197" s="14"/>
    </row>
    <row r="198" spans="1:7" ht="15" customHeight="1" x14ac:dyDescent="0.2">
      <c r="A198" s="14"/>
      <c r="B198" s="105"/>
      <c r="C198" s="14"/>
      <c r="D198" s="14"/>
      <c r="E198" s="14"/>
      <c r="F198" s="14"/>
      <c r="G198" s="14"/>
    </row>
    <row r="199" spans="1:7" ht="15" customHeight="1" x14ac:dyDescent="0.2">
      <c r="A199" s="14"/>
      <c r="B199" s="105"/>
      <c r="C199" s="14"/>
      <c r="D199" s="14"/>
      <c r="E199" s="14"/>
      <c r="F199" s="14"/>
      <c r="G199" s="14"/>
    </row>
    <row r="200" spans="1:7" ht="15" customHeight="1" x14ac:dyDescent="0.2">
      <c r="A200" s="14"/>
      <c r="B200" s="105"/>
      <c r="C200" s="14"/>
      <c r="D200" s="14"/>
      <c r="E200" s="14"/>
      <c r="F200" s="14"/>
      <c r="G200" s="14"/>
    </row>
    <row r="201" spans="1:7" ht="15" customHeight="1" x14ac:dyDescent="0.2">
      <c r="A201" s="14"/>
      <c r="B201" s="105"/>
      <c r="C201" s="14"/>
      <c r="D201" s="14"/>
      <c r="E201" s="14"/>
      <c r="F201" s="14"/>
      <c r="G201" s="14"/>
    </row>
    <row r="202" spans="1:7" ht="15" customHeight="1" x14ac:dyDescent="0.2">
      <c r="A202" s="14"/>
      <c r="B202" s="105"/>
      <c r="C202" s="14"/>
      <c r="D202" s="14"/>
      <c r="E202" s="14"/>
      <c r="F202" s="14"/>
      <c r="G202" s="14"/>
    </row>
    <row r="203" spans="1:7" ht="15" customHeight="1" x14ac:dyDescent="0.2">
      <c r="A203" s="14"/>
      <c r="B203" s="105"/>
      <c r="C203" s="14"/>
      <c r="D203" s="14"/>
      <c r="E203" s="14"/>
      <c r="F203" s="14"/>
      <c r="G203" s="14"/>
    </row>
    <row r="204" spans="1:7" ht="15" customHeight="1" x14ac:dyDescent="0.2">
      <c r="A204" s="14"/>
      <c r="B204" s="105"/>
      <c r="C204" s="14"/>
      <c r="D204" s="14"/>
      <c r="E204" s="14"/>
      <c r="F204" s="14"/>
      <c r="G204" s="14"/>
    </row>
    <row r="205" spans="1:7" ht="15" customHeight="1" x14ac:dyDescent="0.2">
      <c r="A205" s="14"/>
      <c r="B205" s="105"/>
      <c r="C205" s="14"/>
      <c r="D205" s="14"/>
      <c r="E205" s="14"/>
      <c r="F205" s="14"/>
      <c r="G205" s="14"/>
    </row>
    <row r="206" spans="1:7" ht="15" customHeight="1" x14ac:dyDescent="0.2">
      <c r="A206" s="14"/>
      <c r="B206" s="105"/>
      <c r="C206" s="14"/>
      <c r="D206" s="14"/>
      <c r="E206" s="14"/>
      <c r="F206" s="14"/>
      <c r="G206" s="14"/>
    </row>
    <row r="207" spans="1:7" ht="15" customHeight="1" x14ac:dyDescent="0.2">
      <c r="A207" s="14"/>
      <c r="B207" s="105"/>
      <c r="C207" s="14"/>
      <c r="D207" s="14"/>
      <c r="E207" s="14"/>
      <c r="F207" s="14"/>
      <c r="G207" s="14"/>
    </row>
    <row r="208" spans="1:7" ht="15" customHeight="1" x14ac:dyDescent="0.2">
      <c r="A208" s="14"/>
      <c r="B208" s="105"/>
      <c r="C208" s="14"/>
      <c r="D208" s="14"/>
      <c r="E208" s="14"/>
      <c r="F208" s="14"/>
      <c r="G208" s="14"/>
    </row>
    <row r="209" spans="1:7" ht="15" customHeight="1" x14ac:dyDescent="0.2">
      <c r="A209" s="14"/>
      <c r="B209" s="105"/>
      <c r="C209" s="14"/>
      <c r="D209" s="14"/>
      <c r="E209" s="14"/>
      <c r="F209" s="14"/>
      <c r="G209" s="14"/>
    </row>
    <row r="210" spans="1:7" ht="15" customHeight="1" x14ac:dyDescent="0.2">
      <c r="A210" s="14"/>
      <c r="B210" s="105"/>
      <c r="C210" s="14"/>
      <c r="D210" s="14"/>
      <c r="E210" s="14"/>
      <c r="F210" s="14"/>
      <c r="G210" s="14"/>
    </row>
    <row r="211" spans="1:7" ht="15" customHeight="1" x14ac:dyDescent="0.2">
      <c r="A211" s="14"/>
      <c r="B211" s="105"/>
      <c r="C211" s="14"/>
      <c r="D211" s="14"/>
      <c r="E211" s="14"/>
      <c r="F211" s="14"/>
      <c r="G211" s="14"/>
    </row>
    <row r="212" spans="1:7" ht="15" customHeight="1" x14ac:dyDescent="0.2">
      <c r="A212" s="14"/>
      <c r="B212" s="105"/>
      <c r="C212" s="14"/>
      <c r="D212" s="14"/>
      <c r="E212" s="14"/>
      <c r="F212" s="14"/>
      <c r="G212" s="14"/>
    </row>
    <row r="213" spans="1:7" ht="15" customHeight="1" x14ac:dyDescent="0.2">
      <c r="A213" s="14"/>
      <c r="B213" s="105"/>
      <c r="C213" s="14"/>
      <c r="D213" s="14"/>
      <c r="E213" s="14"/>
      <c r="F213" s="14"/>
      <c r="G213" s="14"/>
    </row>
    <row r="214" spans="1:7" ht="15" customHeight="1" x14ac:dyDescent="0.2">
      <c r="A214" s="14"/>
      <c r="B214" s="105"/>
      <c r="C214" s="14"/>
      <c r="D214" s="14"/>
      <c r="E214" s="14"/>
      <c r="F214" s="14"/>
      <c r="G214" s="14"/>
    </row>
    <row r="215" spans="1:7" ht="15" customHeight="1" x14ac:dyDescent="0.2">
      <c r="A215" s="14"/>
      <c r="B215" s="105"/>
      <c r="C215" s="14"/>
      <c r="D215" s="14"/>
      <c r="E215" s="14"/>
      <c r="F215" s="14"/>
      <c r="G215" s="14"/>
    </row>
    <row r="216" spans="1:7" ht="15" customHeight="1" x14ac:dyDescent="0.2">
      <c r="A216" s="14"/>
      <c r="B216" s="105"/>
      <c r="C216" s="14"/>
      <c r="D216" s="14"/>
      <c r="E216" s="14"/>
      <c r="F216" s="14"/>
      <c r="G216" s="14"/>
    </row>
    <row r="217" spans="1:7" ht="15" customHeight="1" x14ac:dyDescent="0.2">
      <c r="A217" s="14"/>
      <c r="B217" s="105"/>
      <c r="C217" s="14"/>
      <c r="D217" s="14"/>
      <c r="E217" s="14"/>
      <c r="F217" s="14"/>
      <c r="G217" s="14"/>
    </row>
    <row r="218" spans="1:7" ht="15" customHeight="1" x14ac:dyDescent="0.2">
      <c r="A218" s="14"/>
      <c r="B218" s="105"/>
      <c r="C218" s="14"/>
      <c r="D218" s="14"/>
      <c r="E218" s="14"/>
      <c r="F218" s="14"/>
      <c r="G218" s="14"/>
    </row>
    <row r="219" spans="1:7" ht="15" customHeight="1" x14ac:dyDescent="0.2">
      <c r="A219" s="14"/>
      <c r="B219" s="105"/>
      <c r="C219" s="14"/>
      <c r="D219" s="14"/>
      <c r="E219" s="14"/>
      <c r="F219" s="14"/>
      <c r="G219" s="14"/>
    </row>
    <row r="220" spans="1:7" x14ac:dyDescent="0.2">
      <c r="A220" s="14"/>
      <c r="B220" s="105"/>
      <c r="C220" s="14"/>
      <c r="D220" s="14"/>
      <c r="E220" s="14"/>
      <c r="F220" s="14"/>
      <c r="G220" s="14"/>
    </row>
  </sheetData>
  <sheetProtection formatCells="0" formatColumns="0" formatRows="0"/>
  <mergeCells count="7">
    <mergeCell ref="Q1:Y1"/>
    <mergeCell ref="L24:M24"/>
    <mergeCell ref="L25:L26"/>
    <mergeCell ref="M25:M26"/>
    <mergeCell ref="L6:O6"/>
    <mergeCell ref="L7:O7"/>
    <mergeCell ref="L13:O13"/>
  </mergeCells>
  <conditionalFormatting sqref="A26:B26 B27:B58">
    <cfRule type="cellIs" dxfId="28" priority="12" operator="greaterThan">
      <formula>0</formula>
    </cfRule>
  </conditionalFormatting>
  <conditionalFormatting sqref="C26:D26">
    <cfRule type="cellIs" dxfId="27" priority="11" operator="greaterThan">
      <formula>0</formula>
    </cfRule>
  </conditionalFormatting>
  <conditionalFormatting sqref="A27:A58 C27:D58">
    <cfRule type="cellIs" dxfId="26" priority="10" operator="greaterThan">
      <formula>0</formula>
    </cfRule>
  </conditionalFormatting>
  <conditionalFormatting sqref="D22">
    <cfRule type="cellIs" dxfId="25" priority="9" operator="greaterThan">
      <formula>0</formula>
    </cfRule>
  </conditionalFormatting>
  <conditionalFormatting sqref="D9:D20">
    <cfRule type="cellIs" dxfId="24" priority="8" operator="greaterThan">
      <formula>0</formula>
    </cfRule>
  </conditionalFormatting>
  <conditionalFormatting sqref="D3">
    <cfRule type="cellIs" dxfId="23" priority="7" operator="greaterThan">
      <formula>0</formula>
    </cfRule>
  </conditionalFormatting>
  <conditionalFormatting sqref="D4:D7">
    <cfRule type="cellIs" dxfId="22" priority="6" operator="greaterThan">
      <formula>0</formula>
    </cfRule>
  </conditionalFormatting>
  <conditionalFormatting sqref="H18:H21">
    <cfRule type="cellIs" dxfId="21" priority="5" operator="greaterThan">
      <formula>0</formula>
    </cfRule>
  </conditionalFormatting>
  <conditionalFormatting sqref="H7:H8">
    <cfRule type="cellIs" dxfId="20" priority="1" operator="greaterThan">
      <formula>0</formula>
    </cfRule>
  </conditionalFormatting>
  <dataValidations count="1">
    <dataValidation type="list" allowBlank="1" showInputMessage="1" showErrorMessage="1" sqref="H20">
      <formula1>$H$27:$H$33</formula1>
    </dataValidation>
  </dataValidations>
  <pageMargins left="0.75" right="0.75" top="1" bottom="1" header="0" footer="0"/>
  <pageSetup paperSize="9" orientation="portrait" r:id="rId1"/>
  <headerFooter alignWithMargins="0"/>
  <ignoredErrors>
    <ignoredError sqref="I20" evalError="1"/>
    <ignoredError sqref="L17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AI220"/>
  <sheetViews>
    <sheetView topLeftCell="J1" zoomScaleNormal="100" workbookViewId="0">
      <selection activeCell="L11" sqref="L11"/>
    </sheetView>
  </sheetViews>
  <sheetFormatPr baseColWidth="10" defaultRowHeight="12" x14ac:dyDescent="0.2"/>
  <cols>
    <col min="1" max="1" width="11.875" style="11" customWidth="1"/>
    <col min="2" max="2" width="11.875" style="106" customWidth="1"/>
    <col min="3" max="3" width="11.875" style="11" customWidth="1"/>
    <col min="4" max="4" width="18.125" style="11" customWidth="1"/>
    <col min="5" max="6" width="13.125" style="11" customWidth="1"/>
    <col min="7" max="7" width="21.25" style="11" customWidth="1"/>
    <col min="8" max="8" width="11" style="11"/>
    <col min="9" max="9" width="11" style="13"/>
    <col min="10" max="10" width="11" style="11"/>
    <col min="11" max="11" width="21.5" style="11" customWidth="1"/>
    <col min="12" max="13" width="11.125" style="11" customWidth="1"/>
    <col min="14" max="14" width="29.25" style="11" customWidth="1"/>
    <col min="15" max="15" width="24" style="11" customWidth="1"/>
    <col min="16" max="16" width="11" style="11"/>
    <col min="17" max="19" width="11" style="12"/>
    <col min="20" max="20" width="17.875" style="12" customWidth="1"/>
    <col min="21" max="24" width="11" style="12"/>
    <col min="25" max="25" width="5.125" style="12" customWidth="1"/>
    <col min="26" max="26" width="11" style="11"/>
    <col min="27" max="27" width="0.875" style="11" customWidth="1"/>
    <col min="28" max="16384" width="11" style="11"/>
  </cols>
  <sheetData>
    <row r="1" spans="1:35" ht="15" customHeight="1" x14ac:dyDescent="0.2">
      <c r="B1" s="11"/>
      <c r="K1" s="94" t="s">
        <v>86</v>
      </c>
      <c r="Q1" s="118"/>
      <c r="R1" s="118"/>
      <c r="S1" s="118"/>
      <c r="T1" s="118"/>
      <c r="U1" s="118"/>
      <c r="V1" s="118"/>
      <c r="W1" s="118"/>
      <c r="X1" s="118"/>
      <c r="Y1" s="118"/>
    </row>
    <row r="2" spans="1:35" ht="15" customHeight="1" x14ac:dyDescent="0.2">
      <c r="A2" s="78" t="s">
        <v>42</v>
      </c>
      <c r="B2" s="101"/>
      <c r="C2" s="41"/>
      <c r="D2" s="109" t="str">
        <f>'Ingreso Datos'!C2</f>
        <v>C1BH-L12-L10-3+823-HL</v>
      </c>
      <c r="F2" s="93" t="s">
        <v>87</v>
      </c>
      <c r="G2" s="92"/>
      <c r="H2" s="92"/>
      <c r="I2" s="91"/>
    </row>
    <row r="3" spans="1:35" ht="15" customHeight="1" x14ac:dyDescent="0.2">
      <c r="A3" s="78" t="s">
        <v>8</v>
      </c>
      <c r="B3" s="101"/>
      <c r="C3" s="41"/>
      <c r="D3" s="96">
        <v>45449</v>
      </c>
      <c r="F3" s="90" t="s">
        <v>33</v>
      </c>
      <c r="G3" s="89"/>
      <c r="H3" s="89"/>
      <c r="I3" s="88"/>
      <c r="K3" s="87" t="s">
        <v>0</v>
      </c>
      <c r="L3" s="86" t="str">
        <f>D2</f>
        <v>C1BH-L12-L10-3+823-HL</v>
      </c>
      <c r="M3" s="73"/>
      <c r="N3" s="72"/>
      <c r="O3" s="71"/>
      <c r="P3" s="70"/>
      <c r="Q3" s="70"/>
      <c r="R3" s="70"/>
      <c r="S3" s="70"/>
      <c r="T3" s="70"/>
      <c r="U3" s="70"/>
    </row>
    <row r="4" spans="1:35" ht="15" customHeight="1" x14ac:dyDescent="0.2">
      <c r="A4" s="78" t="s">
        <v>43</v>
      </c>
      <c r="B4" s="101"/>
      <c r="C4" s="41"/>
      <c r="D4" s="95" t="s">
        <v>110</v>
      </c>
      <c r="F4" s="85" t="s">
        <v>32</v>
      </c>
      <c r="G4" s="84"/>
      <c r="H4" s="84"/>
      <c r="I4" s="83"/>
      <c r="K4" s="81" t="s">
        <v>85</v>
      </c>
      <c r="L4" s="82" t="str">
        <f>+'Ingreso Datos'!C3</f>
        <v>1.914.753-D</v>
      </c>
      <c r="M4" s="73"/>
      <c r="N4" s="72"/>
      <c r="O4" s="71"/>
      <c r="P4" s="70"/>
      <c r="Q4" s="70"/>
      <c r="R4" s="70"/>
      <c r="S4" s="70"/>
      <c r="T4" s="70"/>
      <c r="U4" s="70"/>
    </row>
    <row r="5" spans="1:35" ht="15" customHeight="1" x14ac:dyDescent="0.2">
      <c r="A5" s="78" t="s">
        <v>84</v>
      </c>
      <c r="B5" s="101"/>
      <c r="C5" s="41"/>
      <c r="D5" s="95" t="s">
        <v>113</v>
      </c>
      <c r="K5" s="81" t="s">
        <v>6</v>
      </c>
      <c r="L5" s="82" t="str">
        <f>+'Ingreso Datos'!C4</f>
        <v>-</v>
      </c>
      <c r="M5" s="73"/>
      <c r="N5" s="72"/>
      <c r="O5" s="71"/>
      <c r="P5" s="70"/>
      <c r="Q5" s="70"/>
      <c r="R5" s="70"/>
      <c r="S5" s="70"/>
      <c r="T5" s="70"/>
      <c r="U5" s="70"/>
      <c r="AA5" s="80" t="str">
        <f>+CONCATENATE(A2,"  ",":","  ",D2)</f>
        <v>PROYECTO  :  C1BH-L12-L10-3+823-HL</v>
      </c>
      <c r="AB5" s="79"/>
      <c r="AC5" s="79"/>
      <c r="AD5" s="79"/>
      <c r="AE5" s="79"/>
      <c r="AF5" s="79"/>
      <c r="AG5" s="79"/>
      <c r="AH5" s="79"/>
      <c r="AI5" s="79"/>
    </row>
    <row r="6" spans="1:35" ht="15" customHeight="1" x14ac:dyDescent="0.2">
      <c r="A6" s="78" t="s">
        <v>83</v>
      </c>
      <c r="B6" s="101"/>
      <c r="C6" s="41"/>
      <c r="D6" s="95" t="s">
        <v>112</v>
      </c>
      <c r="K6" s="67" t="s">
        <v>82</v>
      </c>
      <c r="L6" s="125">
        <f>D3</f>
        <v>45449</v>
      </c>
      <c r="M6" s="126"/>
      <c r="N6" s="126"/>
      <c r="O6" s="127"/>
      <c r="P6" s="70"/>
      <c r="Q6" s="70"/>
      <c r="R6" s="70"/>
      <c r="S6" s="70"/>
      <c r="T6" s="70"/>
      <c r="U6" s="70"/>
      <c r="AA6" s="80" t="str">
        <f>+CONCATENATE(A4,"  ",":","  ",D4)</f>
        <v>MUESTRA  :  C1BH-L12-L10-3+823-HL (02,84-03,33)</v>
      </c>
      <c r="AB6" s="79"/>
      <c r="AC6" s="79"/>
      <c r="AD6" s="79"/>
      <c r="AE6" s="79"/>
      <c r="AF6" s="79"/>
      <c r="AG6" s="79"/>
      <c r="AH6" s="79"/>
      <c r="AI6" s="79"/>
    </row>
    <row r="7" spans="1:35" ht="15" customHeight="1" x14ac:dyDescent="0.2">
      <c r="A7" s="78" t="s">
        <v>12</v>
      </c>
      <c r="B7" s="101"/>
      <c r="C7" s="41"/>
      <c r="D7" s="95" t="s">
        <v>111</v>
      </c>
      <c r="F7" s="97" t="s">
        <v>89</v>
      </c>
      <c r="G7" s="98"/>
      <c r="H7" s="99"/>
      <c r="K7" s="67" t="s">
        <v>81</v>
      </c>
      <c r="L7" s="125">
        <f>D3</f>
        <v>45449</v>
      </c>
      <c r="M7" s="126"/>
      <c r="N7" s="126"/>
      <c r="O7" s="127"/>
      <c r="P7" s="70"/>
      <c r="Q7" s="70"/>
      <c r="R7" s="70"/>
      <c r="S7" s="70"/>
      <c r="T7" s="70"/>
      <c r="U7" s="70"/>
    </row>
    <row r="8" spans="1:35" ht="15" customHeight="1" x14ac:dyDescent="0.2">
      <c r="B8" s="11"/>
      <c r="F8" s="100" t="s">
        <v>90</v>
      </c>
      <c r="G8" s="98"/>
      <c r="H8" s="99"/>
      <c r="K8" s="77"/>
      <c r="L8" s="76"/>
      <c r="M8" s="17"/>
      <c r="P8" s="70"/>
      <c r="Q8" s="70"/>
      <c r="R8" s="70"/>
      <c r="S8" s="70"/>
      <c r="T8" s="70"/>
      <c r="U8" s="70"/>
    </row>
    <row r="9" spans="1:35" ht="15" customHeight="1" x14ac:dyDescent="0.2">
      <c r="A9" s="42" t="s">
        <v>13</v>
      </c>
      <c r="B9" s="102"/>
      <c r="C9" s="41"/>
      <c r="D9" s="95">
        <v>6.09</v>
      </c>
      <c r="E9" s="11" t="s">
        <v>25</v>
      </c>
      <c r="F9" s="52" t="s">
        <v>36</v>
      </c>
      <c r="G9" s="41">
        <f>+ROUND(AVERAGE(D9:D17),1)*10</f>
        <v>61</v>
      </c>
      <c r="H9" s="75" t="str">
        <f>+CONCATENATE("D",G9)</f>
        <v>D61</v>
      </c>
      <c r="K9" s="67" t="s">
        <v>80</v>
      </c>
      <c r="L9" s="74" t="str">
        <f>D4</f>
        <v>C1BH-L12-L10-3+823-HL (02,84-03,33)</v>
      </c>
      <c r="M9" s="73"/>
      <c r="N9" s="72"/>
      <c r="O9" s="71"/>
      <c r="P9" s="70"/>
      <c r="Q9" s="70"/>
      <c r="R9" s="70"/>
      <c r="S9" s="70"/>
      <c r="T9" s="70"/>
      <c r="U9" s="70"/>
    </row>
    <row r="10" spans="1:35" ht="15" customHeight="1" x14ac:dyDescent="0.2">
      <c r="A10" s="42" t="s">
        <v>14</v>
      </c>
      <c r="B10" s="102"/>
      <c r="C10" s="41"/>
      <c r="D10" s="95">
        <v>6.09</v>
      </c>
      <c r="E10" s="11" t="s">
        <v>25</v>
      </c>
      <c r="F10" s="52" t="s">
        <v>34</v>
      </c>
      <c r="G10" s="41"/>
      <c r="H10" s="69">
        <f>D18/AVERAGE(D9:D17)</f>
        <v>2.1354261726592445</v>
      </c>
      <c r="K10" s="67" t="s">
        <v>10</v>
      </c>
      <c r="L10" s="66" t="str">
        <f>D5</f>
        <v>Toba lítica</v>
      </c>
      <c r="M10" s="68"/>
      <c r="N10" s="64"/>
      <c r="O10" s="63"/>
      <c r="P10" s="12"/>
    </row>
    <row r="11" spans="1:35" ht="15" customHeight="1" x14ac:dyDescent="0.2">
      <c r="A11" s="42" t="s">
        <v>15</v>
      </c>
      <c r="B11" s="102"/>
      <c r="C11" s="41"/>
      <c r="D11" s="95">
        <v>6.09</v>
      </c>
      <c r="E11" s="11" t="s">
        <v>25</v>
      </c>
      <c r="F11" s="42" t="s">
        <v>79</v>
      </c>
      <c r="G11" s="41"/>
      <c r="H11" s="57">
        <f>(AVERAGE(D9:D11))*10</f>
        <v>60.9</v>
      </c>
      <c r="I11" s="56" t="s">
        <v>28</v>
      </c>
      <c r="K11" s="67" t="s">
        <v>11</v>
      </c>
      <c r="L11" s="66" t="str">
        <f>D6</f>
        <v>No presenta</v>
      </c>
      <c r="M11" s="65"/>
      <c r="N11" s="64"/>
      <c r="O11" s="63"/>
      <c r="P11" s="12"/>
    </row>
    <row r="12" spans="1:35" ht="15" customHeight="1" x14ac:dyDescent="0.2">
      <c r="A12" s="42" t="s">
        <v>17</v>
      </c>
      <c r="B12" s="102"/>
      <c r="C12" s="41"/>
      <c r="D12" s="95">
        <v>6.09</v>
      </c>
      <c r="E12" s="11" t="s">
        <v>25</v>
      </c>
      <c r="F12" s="42" t="s">
        <v>78</v>
      </c>
      <c r="G12" s="41"/>
      <c r="H12" s="57">
        <f>(AVERAGE(D12:D14))*10</f>
        <v>60.9</v>
      </c>
      <c r="I12" s="56" t="s">
        <v>28</v>
      </c>
      <c r="K12" s="67" t="s">
        <v>12</v>
      </c>
      <c r="L12" s="66" t="str">
        <f>D7</f>
        <v>Oxidación y zeolitización</v>
      </c>
      <c r="M12" s="65"/>
      <c r="N12" s="64"/>
      <c r="O12" s="63"/>
      <c r="P12" s="12"/>
    </row>
    <row r="13" spans="1:35" ht="15" customHeight="1" x14ac:dyDescent="0.2">
      <c r="A13" s="42" t="s">
        <v>18</v>
      </c>
      <c r="B13" s="102"/>
      <c r="C13" s="41"/>
      <c r="D13" s="95">
        <v>6.09</v>
      </c>
      <c r="E13" s="59" t="s">
        <v>25</v>
      </c>
      <c r="F13" s="42" t="s">
        <v>77</v>
      </c>
      <c r="G13" s="41"/>
      <c r="H13" s="57">
        <f>(AVERAGE(D15:D17))*10</f>
        <v>60.833333333333329</v>
      </c>
      <c r="I13" s="56" t="s">
        <v>28</v>
      </c>
      <c r="K13" s="67" t="s">
        <v>106</v>
      </c>
      <c r="L13" s="128" t="s">
        <v>118</v>
      </c>
      <c r="M13" s="129"/>
      <c r="N13" s="129"/>
      <c r="O13" s="130"/>
      <c r="P13" s="12"/>
    </row>
    <row r="14" spans="1:35" ht="15" customHeight="1" x14ac:dyDescent="0.2">
      <c r="A14" s="42" t="s">
        <v>19</v>
      </c>
      <c r="B14" s="102"/>
      <c r="C14" s="41"/>
      <c r="D14" s="95">
        <v>6.09</v>
      </c>
      <c r="E14" s="11" t="s">
        <v>25</v>
      </c>
      <c r="F14" s="42" t="s">
        <v>16</v>
      </c>
      <c r="G14" s="41"/>
      <c r="H14" s="57">
        <f>(((H11/2)^2*PI())+(((H12/2)^2*PI())*4)+((H13/2)^2*PI()))/6</f>
        <v>2911.8302386520427</v>
      </c>
      <c r="I14" s="56" t="s">
        <v>76</v>
      </c>
    </row>
    <row r="15" spans="1:35" ht="15" customHeight="1" x14ac:dyDescent="0.2">
      <c r="A15" s="42" t="s">
        <v>20</v>
      </c>
      <c r="B15" s="102"/>
      <c r="C15" s="41"/>
      <c r="D15" s="95">
        <v>6.08</v>
      </c>
      <c r="E15" s="11" t="s">
        <v>25</v>
      </c>
      <c r="F15" s="47" t="s">
        <v>2</v>
      </c>
      <c r="G15" s="41"/>
      <c r="H15" s="57">
        <f>(I20*D21)</f>
        <v>378.20567695495964</v>
      </c>
      <c r="I15" s="56" t="s">
        <v>29</v>
      </c>
      <c r="K15" s="62" t="s">
        <v>75</v>
      </c>
      <c r="N15" s="61" t="s">
        <v>74</v>
      </c>
    </row>
    <row r="16" spans="1:35" ht="15" customHeight="1" x14ac:dyDescent="0.2">
      <c r="A16" s="42" t="s">
        <v>21</v>
      </c>
      <c r="B16" s="102"/>
      <c r="C16" s="41"/>
      <c r="D16" s="95">
        <v>6.09</v>
      </c>
      <c r="E16" s="59" t="s">
        <v>25</v>
      </c>
      <c r="F16" s="42" t="s">
        <v>5</v>
      </c>
      <c r="G16" s="41"/>
      <c r="H16" s="57">
        <f>(H19/H15)</f>
        <v>2.6213250101956174</v>
      </c>
      <c r="I16" s="56" t="s">
        <v>30</v>
      </c>
      <c r="K16" s="51" t="s">
        <v>73</v>
      </c>
      <c r="L16" s="58">
        <f>AVERAGE(H11:H13)/10</f>
        <v>6.0877777777777773</v>
      </c>
      <c r="N16" s="60" t="s">
        <v>91</v>
      </c>
      <c r="O16" s="112">
        <f>+H18</f>
        <v>5</v>
      </c>
      <c r="P16" s="54"/>
      <c r="Q16" s="53"/>
    </row>
    <row r="17" spans="1:17" ht="15" customHeight="1" x14ac:dyDescent="0.2">
      <c r="A17" s="42" t="s">
        <v>22</v>
      </c>
      <c r="B17" s="102"/>
      <c r="C17" s="41"/>
      <c r="D17" s="95">
        <v>6.08</v>
      </c>
      <c r="E17" s="11" t="s">
        <v>25</v>
      </c>
      <c r="F17" s="42" t="s">
        <v>3</v>
      </c>
      <c r="G17" s="41"/>
      <c r="H17" s="57">
        <f>(H16/((H21+100)))*100</f>
        <v>2.609062416836486</v>
      </c>
      <c r="I17" s="56" t="s">
        <v>30</v>
      </c>
      <c r="K17" s="51" t="s">
        <v>72</v>
      </c>
      <c r="L17" s="58">
        <f>AVERAGE(D18:D20)</f>
        <v>12.993333333333334</v>
      </c>
      <c r="N17" s="51" t="s">
        <v>92</v>
      </c>
      <c r="O17" s="113">
        <f>(MAX(O27:O424))</f>
        <v>139.77887908833432</v>
      </c>
      <c r="P17" s="54"/>
      <c r="Q17" s="53"/>
    </row>
    <row r="18" spans="1:17" ht="15" customHeight="1" x14ac:dyDescent="0.2">
      <c r="A18" s="47" t="s">
        <v>70</v>
      </c>
      <c r="B18" s="103"/>
      <c r="C18" s="41"/>
      <c r="D18" s="95">
        <v>13</v>
      </c>
      <c r="E18" s="11" t="s">
        <v>25</v>
      </c>
      <c r="F18" s="52" t="s">
        <v>69</v>
      </c>
      <c r="G18" s="41"/>
      <c r="H18" s="95">
        <v>5</v>
      </c>
      <c r="I18" s="13" t="s">
        <v>68</v>
      </c>
      <c r="K18" s="51" t="s">
        <v>71</v>
      </c>
      <c r="L18" s="44">
        <f>H19</f>
        <v>991.4</v>
      </c>
      <c r="M18" s="12"/>
      <c r="N18" s="55" t="s">
        <v>93</v>
      </c>
      <c r="O18" s="111">
        <f>SLOPE(O40:O44,M40:M44)*100</f>
        <v>48886.464319704486</v>
      </c>
      <c r="P18" s="50"/>
      <c r="Q18" s="50"/>
    </row>
    <row r="19" spans="1:17" ht="15" customHeight="1" x14ac:dyDescent="0.2">
      <c r="A19" s="47" t="s">
        <v>65</v>
      </c>
      <c r="B19" s="103"/>
      <c r="C19" s="41"/>
      <c r="D19" s="95">
        <v>12.99</v>
      </c>
      <c r="E19" s="11" t="s">
        <v>25</v>
      </c>
      <c r="F19" s="47" t="s">
        <v>1</v>
      </c>
      <c r="G19" s="41"/>
      <c r="H19" s="95">
        <v>991.4</v>
      </c>
      <c r="I19" s="13" t="s">
        <v>26</v>
      </c>
      <c r="K19" s="51" t="s">
        <v>67</v>
      </c>
      <c r="L19" s="44">
        <f>H16</f>
        <v>2.6213250101956174</v>
      </c>
      <c r="M19" s="12"/>
      <c r="N19" s="51" t="s">
        <v>66</v>
      </c>
      <c r="O19" s="20">
        <f>SLOPE(L40:L44,M40:M44)*-1</f>
        <v>0.24865005002025223</v>
      </c>
      <c r="P19" s="40"/>
      <c r="Q19" s="40"/>
    </row>
    <row r="20" spans="1:17" ht="15" customHeight="1" x14ac:dyDescent="0.2">
      <c r="A20" s="47" t="s">
        <v>63</v>
      </c>
      <c r="B20" s="103"/>
      <c r="C20" s="41"/>
      <c r="D20" s="95">
        <v>12.99</v>
      </c>
      <c r="E20" s="11" t="s">
        <v>25</v>
      </c>
      <c r="F20" s="46" t="s">
        <v>62</v>
      </c>
      <c r="G20" s="41"/>
      <c r="H20" s="95" t="s">
        <v>99</v>
      </c>
      <c r="I20" s="45">
        <f>(((AVERAGE(D9:D17)/2)^2)*PI())</f>
        <v>29.107671392121059</v>
      </c>
      <c r="K20" s="51" t="s">
        <v>64</v>
      </c>
      <c r="L20" s="44">
        <f>H17</f>
        <v>2.609062416836486</v>
      </c>
      <c r="M20" s="12"/>
      <c r="N20" s="49" t="s">
        <v>62</v>
      </c>
      <c r="O20" s="48" t="str">
        <f>H20</f>
        <v>Matriz (Tipo A)</v>
      </c>
      <c r="P20" s="40"/>
      <c r="Q20" s="40"/>
    </row>
    <row r="21" spans="1:17" ht="15" customHeight="1" x14ac:dyDescent="0.2">
      <c r="A21" s="11" t="s">
        <v>60</v>
      </c>
      <c r="B21" s="11"/>
      <c r="D21" s="43">
        <f>+AVERAGE(D18:D20)</f>
        <v>12.993333333333334</v>
      </c>
      <c r="E21" s="11" t="s">
        <v>25</v>
      </c>
      <c r="F21" s="42" t="s">
        <v>9</v>
      </c>
      <c r="G21" s="41"/>
      <c r="H21" s="95">
        <v>0.47</v>
      </c>
      <c r="I21" s="24" t="s">
        <v>27</v>
      </c>
      <c r="K21" s="51" t="s">
        <v>61</v>
      </c>
      <c r="L21" s="44">
        <f>H21</f>
        <v>0.47</v>
      </c>
      <c r="M21" s="12"/>
      <c r="N21" s="40"/>
      <c r="O21" s="40"/>
      <c r="P21" s="40"/>
      <c r="Q21" s="40"/>
    </row>
    <row r="22" spans="1:17" ht="15" customHeight="1" x14ac:dyDescent="0.2">
      <c r="A22" s="11" t="s">
        <v>37</v>
      </c>
      <c r="B22" s="11"/>
      <c r="D22" s="95">
        <v>0.5</v>
      </c>
      <c r="E22" s="11" t="s">
        <v>96</v>
      </c>
      <c r="F22" s="11" t="s">
        <v>59</v>
      </c>
      <c r="H22" s="11">
        <f>((H11+H12+H13)/3)/10</f>
        <v>6.0877777777777773</v>
      </c>
      <c r="N22" s="40"/>
      <c r="O22" s="40"/>
      <c r="P22" s="15"/>
      <c r="Q22" s="15"/>
    </row>
    <row r="23" spans="1:17" ht="15" customHeight="1" x14ac:dyDescent="0.2">
      <c r="A23" s="39" t="s">
        <v>58</v>
      </c>
      <c r="B23" s="39" t="s">
        <v>58</v>
      </c>
      <c r="C23" s="39" t="s">
        <v>4</v>
      </c>
      <c r="D23" s="39" t="s">
        <v>4</v>
      </c>
      <c r="E23" s="36" t="s">
        <v>23</v>
      </c>
      <c r="F23" s="38" t="s">
        <v>24</v>
      </c>
      <c r="G23" s="37" t="s">
        <v>24</v>
      </c>
      <c r="P23" s="15"/>
      <c r="Q23" s="15"/>
    </row>
    <row r="24" spans="1:17" ht="15" customHeight="1" x14ac:dyDescent="0.2">
      <c r="A24" s="35" t="s">
        <v>56</v>
      </c>
      <c r="B24" s="35" t="s">
        <v>97</v>
      </c>
      <c r="C24" s="34" t="s">
        <v>55</v>
      </c>
      <c r="D24" s="33" t="s">
        <v>54</v>
      </c>
      <c r="E24" s="33" t="s">
        <v>54</v>
      </c>
      <c r="F24" s="34" t="s">
        <v>53</v>
      </c>
      <c r="G24" s="33" t="s">
        <v>35</v>
      </c>
      <c r="K24" s="36" t="s">
        <v>57</v>
      </c>
      <c r="L24" s="119" t="s">
        <v>4</v>
      </c>
      <c r="M24" s="120"/>
      <c r="N24" s="36" t="s">
        <v>24</v>
      </c>
      <c r="O24" s="36" t="s">
        <v>24</v>
      </c>
      <c r="P24" s="15"/>
      <c r="Q24" s="15"/>
    </row>
    <row r="25" spans="1:17" ht="15" customHeight="1" x14ac:dyDescent="0.2">
      <c r="A25" s="31" t="s">
        <v>31</v>
      </c>
      <c r="B25" s="31" t="s">
        <v>31</v>
      </c>
      <c r="C25" s="31" t="s">
        <v>49</v>
      </c>
      <c r="D25" s="31" t="s">
        <v>49</v>
      </c>
      <c r="E25" s="31" t="s">
        <v>7</v>
      </c>
      <c r="F25" s="31" t="s">
        <v>7</v>
      </c>
      <c r="G25" s="31" t="s">
        <v>7</v>
      </c>
      <c r="K25" s="32" t="s">
        <v>52</v>
      </c>
      <c r="L25" s="121" t="s">
        <v>51</v>
      </c>
      <c r="M25" s="123" t="s">
        <v>50</v>
      </c>
      <c r="N25" s="32" t="s">
        <v>95</v>
      </c>
      <c r="O25" s="32" t="s">
        <v>95</v>
      </c>
      <c r="P25" s="15"/>
      <c r="Q25" s="15"/>
    </row>
    <row r="26" spans="1:17" ht="15" customHeight="1" x14ac:dyDescent="0.2">
      <c r="A26" s="95">
        <v>0</v>
      </c>
      <c r="B26" s="104">
        <f>+IF(AND(A26&gt;0,A26&lt;=300),1.0191*A26-0.1003,IF(AND(A26=0),0,IF(AND(A26&gt;300,A26&lt;=3000),1.0117*A26-0.7581,"Error")))</f>
        <v>0</v>
      </c>
      <c r="C26" s="95">
        <v>0</v>
      </c>
      <c r="D26" s="95">
        <v>0</v>
      </c>
      <c r="E26" s="22">
        <f t="shared" ref="E26:E58" si="0">((((A26-A$26)*1000)/H$14))</f>
        <v>0</v>
      </c>
      <c r="F26" s="23">
        <f t="shared" ref="F26:F58" si="1">IF((D$21/H$22)&gt;2.5,(E26/(0.88+(0.222*(D$21/H$22)))),E26*1)</f>
        <v>0</v>
      </c>
      <c r="G26" s="22">
        <f t="shared" ref="G26:G58" si="2">F26*((AVERAGE(H$11:H$13)/50)^0.2)</f>
        <v>0</v>
      </c>
      <c r="H26" s="8" t="s">
        <v>98</v>
      </c>
      <c r="K26" s="29" t="s">
        <v>94</v>
      </c>
      <c r="L26" s="122"/>
      <c r="M26" s="124"/>
      <c r="N26" s="30" t="str">
        <f>H9</f>
        <v>D61</v>
      </c>
      <c r="O26" s="29" t="s">
        <v>35</v>
      </c>
      <c r="P26" s="15"/>
      <c r="Q26" s="15"/>
    </row>
    <row r="27" spans="1:17" ht="15" customHeight="1" x14ac:dyDescent="0.2">
      <c r="A27" s="95">
        <v>15.8</v>
      </c>
      <c r="B27" s="104">
        <f t="shared" ref="B27:B58" si="3">+IF(AND(A27&gt;0,A27&lt;=300),1.0191*A27-0.1003,IF(AND(A27=0),0,IF(AND(A27&gt;300,A27&lt;=3000),1.0117*A27-0.7581,"Error")))</f>
        <v>16.001479999999997</v>
      </c>
      <c r="C27" s="95">
        <v>0</v>
      </c>
      <c r="D27" s="95">
        <v>0</v>
      </c>
      <c r="E27" s="22">
        <f t="shared" si="0"/>
        <v>5.4261405044389557</v>
      </c>
      <c r="F27" s="23">
        <f t="shared" si="1"/>
        <v>5.4261405044389557</v>
      </c>
      <c r="G27" s="22">
        <f t="shared" si="2"/>
        <v>5.644023229224846</v>
      </c>
      <c r="H27" s="107" t="s">
        <v>99</v>
      </c>
      <c r="J27" s="28"/>
      <c r="K27" s="114">
        <f t="shared" ref="K27:K59" si="4">+A26</f>
        <v>0</v>
      </c>
      <c r="L27" s="21">
        <f>+(C26)</f>
        <v>0</v>
      </c>
      <c r="M27" s="21">
        <f>+(D26)</f>
        <v>0</v>
      </c>
      <c r="N27" s="110">
        <f t="shared" ref="N27:O58" si="5">F26</f>
        <v>0</v>
      </c>
      <c r="O27" s="110">
        <f t="shared" si="5"/>
        <v>0</v>
      </c>
      <c r="P27" s="15"/>
      <c r="Q27" s="15"/>
    </row>
    <row r="28" spans="1:17" ht="15" customHeight="1" x14ac:dyDescent="0.2">
      <c r="A28" s="95">
        <v>27.9</v>
      </c>
      <c r="B28" s="104">
        <f t="shared" si="3"/>
        <v>28.332589999999996</v>
      </c>
      <c r="C28" s="95">
        <v>-8.1999999999999998E-4</v>
      </c>
      <c r="D28" s="95">
        <v>4.8199999999999996E-3</v>
      </c>
      <c r="E28" s="22">
        <f t="shared" si="0"/>
        <v>9.5816025363194228</v>
      </c>
      <c r="F28" s="23">
        <f t="shared" si="1"/>
        <v>9.5816025363194228</v>
      </c>
      <c r="G28" s="22">
        <f t="shared" si="2"/>
        <v>9.9663448161628629</v>
      </c>
      <c r="H28" s="107" t="s">
        <v>100</v>
      </c>
      <c r="K28" s="114">
        <f t="shared" si="4"/>
        <v>15.8</v>
      </c>
      <c r="L28" s="21">
        <f t="shared" ref="L28:L59" si="6">+(C27)</f>
        <v>0</v>
      </c>
      <c r="M28" s="21">
        <f t="shared" ref="M28:M59" si="7">+(D27)</f>
        <v>0</v>
      </c>
      <c r="N28" s="110">
        <f t="shared" si="5"/>
        <v>5.4261405044389557</v>
      </c>
      <c r="O28" s="110">
        <f t="shared" si="5"/>
        <v>5.644023229224846</v>
      </c>
      <c r="P28" s="15"/>
      <c r="Q28" s="15"/>
    </row>
    <row r="29" spans="1:17" ht="15" customHeight="1" x14ac:dyDescent="0.2">
      <c r="A29" s="95">
        <v>49.400000000000006</v>
      </c>
      <c r="B29" s="104">
        <f t="shared" si="3"/>
        <v>50.24324</v>
      </c>
      <c r="C29" s="95">
        <v>-1.97E-3</v>
      </c>
      <c r="D29" s="95">
        <v>1.1429999999999999E-2</v>
      </c>
      <c r="E29" s="22">
        <f t="shared" si="0"/>
        <v>16.965274741726866</v>
      </c>
      <c r="F29" s="23">
        <f t="shared" si="1"/>
        <v>16.965274741726866</v>
      </c>
      <c r="G29" s="22">
        <f t="shared" si="2"/>
        <v>17.646503007829587</v>
      </c>
      <c r="H29" s="107" t="s">
        <v>101</v>
      </c>
      <c r="K29" s="114">
        <f t="shared" si="4"/>
        <v>27.9</v>
      </c>
      <c r="L29" s="21">
        <f t="shared" si="6"/>
        <v>-8.1999999999999998E-4</v>
      </c>
      <c r="M29" s="21">
        <f t="shared" si="7"/>
        <v>4.8199999999999996E-3</v>
      </c>
      <c r="N29" s="110">
        <f t="shared" si="5"/>
        <v>9.5816025363194228</v>
      </c>
      <c r="O29" s="110">
        <f t="shared" si="5"/>
        <v>9.9663448161628629</v>
      </c>
      <c r="P29" s="15"/>
      <c r="Q29" s="15"/>
    </row>
    <row r="30" spans="1:17" ht="15" customHeight="1" x14ac:dyDescent="0.2">
      <c r="A30" s="95">
        <v>70</v>
      </c>
      <c r="B30" s="104">
        <f t="shared" si="3"/>
        <v>71.236699999999985</v>
      </c>
      <c r="C30" s="95">
        <v>-3.0899999999999999E-3</v>
      </c>
      <c r="D30" s="95">
        <v>1.7659999999999999E-2</v>
      </c>
      <c r="E30" s="22">
        <f t="shared" si="0"/>
        <v>24.039862994349804</v>
      </c>
      <c r="F30" s="23">
        <f t="shared" si="1"/>
        <v>24.039862994349804</v>
      </c>
      <c r="G30" s="22">
        <f t="shared" si="2"/>
        <v>25.005166205426534</v>
      </c>
      <c r="H30" s="107" t="s">
        <v>102</v>
      </c>
      <c r="K30" s="114">
        <f t="shared" si="4"/>
        <v>49.400000000000006</v>
      </c>
      <c r="L30" s="21">
        <f t="shared" si="6"/>
        <v>-1.97E-3</v>
      </c>
      <c r="M30" s="21">
        <f t="shared" si="7"/>
        <v>1.1429999999999999E-2</v>
      </c>
      <c r="N30" s="110">
        <f t="shared" si="5"/>
        <v>16.965274741726866</v>
      </c>
      <c r="O30" s="110">
        <f t="shared" si="5"/>
        <v>17.646503007829587</v>
      </c>
      <c r="P30" s="15"/>
      <c r="Q30" s="15"/>
    </row>
    <row r="31" spans="1:17" ht="15" customHeight="1" x14ac:dyDescent="0.2">
      <c r="A31" s="95">
        <v>76.799999999999898</v>
      </c>
      <c r="B31" s="104">
        <f t="shared" si="3"/>
        <v>78.166579999999882</v>
      </c>
      <c r="C31" s="95">
        <v>-3.7299999999999998E-3</v>
      </c>
      <c r="D31" s="95">
        <v>2.0830000000000001E-2</v>
      </c>
      <c r="E31" s="22">
        <f t="shared" si="0"/>
        <v>26.375163970943749</v>
      </c>
      <c r="F31" s="23">
        <f t="shared" si="1"/>
        <v>26.375163970943749</v>
      </c>
      <c r="G31" s="22">
        <f t="shared" si="2"/>
        <v>27.434239493953648</v>
      </c>
      <c r="H31" s="107" t="s">
        <v>103</v>
      </c>
      <c r="K31" s="114">
        <f t="shared" si="4"/>
        <v>70</v>
      </c>
      <c r="L31" s="21">
        <f t="shared" si="6"/>
        <v>-3.0899999999999999E-3</v>
      </c>
      <c r="M31" s="21">
        <f t="shared" si="7"/>
        <v>1.7659999999999999E-2</v>
      </c>
      <c r="N31" s="110">
        <f t="shared" si="5"/>
        <v>24.039862994349804</v>
      </c>
      <c r="O31" s="110">
        <f t="shared" si="5"/>
        <v>25.005166205426534</v>
      </c>
      <c r="P31" s="15"/>
      <c r="Q31" s="15"/>
    </row>
    <row r="32" spans="1:17" ht="15" customHeight="1" x14ac:dyDescent="0.2">
      <c r="A32" s="95">
        <v>86.9</v>
      </c>
      <c r="B32" s="104">
        <f t="shared" si="3"/>
        <v>88.459489999999988</v>
      </c>
      <c r="C32" s="95">
        <v>-3.8400000000000001E-3</v>
      </c>
      <c r="D32" s="95">
        <v>2.351E-2</v>
      </c>
      <c r="E32" s="22">
        <f t="shared" si="0"/>
        <v>29.843772774414258</v>
      </c>
      <c r="F32" s="23">
        <f t="shared" si="1"/>
        <v>29.843772774414258</v>
      </c>
      <c r="G32" s="22">
        <f t="shared" si="2"/>
        <v>31.042127760736658</v>
      </c>
      <c r="H32" s="107" t="s">
        <v>104</v>
      </c>
      <c r="K32" s="114">
        <f t="shared" si="4"/>
        <v>76.799999999999898</v>
      </c>
      <c r="L32" s="21">
        <f t="shared" si="6"/>
        <v>-3.7299999999999998E-3</v>
      </c>
      <c r="M32" s="21">
        <f t="shared" si="7"/>
        <v>2.0830000000000001E-2</v>
      </c>
      <c r="N32" s="110">
        <f t="shared" si="5"/>
        <v>26.375163970943749</v>
      </c>
      <c r="O32" s="110">
        <f t="shared" si="5"/>
        <v>27.434239493953648</v>
      </c>
      <c r="P32" s="15"/>
      <c r="Q32" s="15"/>
    </row>
    <row r="33" spans="1:25" ht="15" customHeight="1" x14ac:dyDescent="0.2">
      <c r="A33" s="95">
        <v>98.3</v>
      </c>
      <c r="B33" s="104">
        <f t="shared" si="3"/>
        <v>100.07722999999999</v>
      </c>
      <c r="C33" s="95">
        <v>-4.2199999999999998E-3</v>
      </c>
      <c r="D33" s="95">
        <v>2.7959999999999999E-2</v>
      </c>
      <c r="E33" s="22">
        <f t="shared" si="0"/>
        <v>33.758836176351224</v>
      </c>
      <c r="F33" s="23">
        <f t="shared" si="1"/>
        <v>33.758836176351224</v>
      </c>
      <c r="G33" s="22">
        <f t="shared" si="2"/>
        <v>35.114397685620403</v>
      </c>
      <c r="H33" s="107" t="s">
        <v>105</v>
      </c>
      <c r="K33" s="114">
        <f t="shared" si="4"/>
        <v>86.9</v>
      </c>
      <c r="L33" s="21">
        <f t="shared" si="6"/>
        <v>-3.8400000000000001E-3</v>
      </c>
      <c r="M33" s="21">
        <f t="shared" si="7"/>
        <v>2.351E-2</v>
      </c>
      <c r="N33" s="110">
        <f t="shared" si="5"/>
        <v>29.843772774414258</v>
      </c>
      <c r="O33" s="110">
        <f t="shared" si="5"/>
        <v>31.042127760736658</v>
      </c>
      <c r="P33" s="15"/>
      <c r="Q33" s="15"/>
    </row>
    <row r="34" spans="1:25" ht="15" customHeight="1" x14ac:dyDescent="0.2">
      <c r="A34" s="95">
        <v>114.9</v>
      </c>
      <c r="B34" s="104">
        <f t="shared" si="3"/>
        <v>116.99428999999999</v>
      </c>
      <c r="C34" s="95">
        <v>-5.0299999999999997E-3</v>
      </c>
      <c r="D34" s="95">
        <v>3.5060000000000001E-2</v>
      </c>
      <c r="E34" s="22">
        <f t="shared" si="0"/>
        <v>39.459717972154181</v>
      </c>
      <c r="F34" s="23">
        <f t="shared" si="1"/>
        <v>39.459717972154181</v>
      </c>
      <c r="G34" s="22">
        <f t="shared" si="2"/>
        <v>41.044194242907274</v>
      </c>
      <c r="K34" s="114">
        <f t="shared" si="4"/>
        <v>98.3</v>
      </c>
      <c r="L34" s="21">
        <f t="shared" si="6"/>
        <v>-4.2199999999999998E-3</v>
      </c>
      <c r="M34" s="21">
        <f t="shared" si="7"/>
        <v>2.7959999999999999E-2</v>
      </c>
      <c r="N34" s="110">
        <f t="shared" si="5"/>
        <v>33.758836176351224</v>
      </c>
      <c r="O34" s="110">
        <f t="shared" si="5"/>
        <v>35.114397685620403</v>
      </c>
      <c r="P34" s="15"/>
      <c r="Q34" s="15"/>
    </row>
    <row r="35" spans="1:25" ht="15" customHeight="1" x14ac:dyDescent="0.2">
      <c r="A35" s="95">
        <v>124.9</v>
      </c>
      <c r="B35" s="104">
        <f t="shared" si="3"/>
        <v>127.18528999999999</v>
      </c>
      <c r="C35" s="95">
        <v>-5.94E-3</v>
      </c>
      <c r="D35" s="95">
        <v>4.027E-2</v>
      </c>
      <c r="E35" s="22">
        <f t="shared" si="0"/>
        <v>42.893984114204152</v>
      </c>
      <c r="F35" s="23">
        <f t="shared" si="1"/>
        <v>42.893984114204152</v>
      </c>
      <c r="G35" s="22">
        <f t="shared" si="2"/>
        <v>44.616360843682486</v>
      </c>
      <c r="K35" s="114">
        <f t="shared" si="4"/>
        <v>114.9</v>
      </c>
      <c r="L35" s="21">
        <f t="shared" si="6"/>
        <v>-5.0299999999999997E-3</v>
      </c>
      <c r="M35" s="21">
        <f t="shared" si="7"/>
        <v>3.5060000000000001E-2</v>
      </c>
      <c r="N35" s="110">
        <f t="shared" si="5"/>
        <v>39.459717972154181</v>
      </c>
      <c r="O35" s="110">
        <f t="shared" si="5"/>
        <v>41.044194242907274</v>
      </c>
      <c r="P35" s="15"/>
      <c r="Q35" s="15"/>
    </row>
    <row r="36" spans="1:25" ht="15" customHeight="1" x14ac:dyDescent="0.2">
      <c r="A36" s="95">
        <v>141.9</v>
      </c>
      <c r="B36" s="104">
        <f t="shared" si="3"/>
        <v>144.50998999999999</v>
      </c>
      <c r="C36" s="95">
        <v>-8.09E-3</v>
      </c>
      <c r="D36" s="95">
        <v>5.0259999999999999E-2</v>
      </c>
      <c r="E36" s="22">
        <f t="shared" si="0"/>
        <v>48.732236555689106</v>
      </c>
      <c r="F36" s="23">
        <f t="shared" si="1"/>
        <v>48.732236555689106</v>
      </c>
      <c r="G36" s="22">
        <f t="shared" si="2"/>
        <v>50.689044065000367</v>
      </c>
      <c r="K36" s="114">
        <f t="shared" si="4"/>
        <v>124.9</v>
      </c>
      <c r="L36" s="21">
        <f t="shared" si="6"/>
        <v>-5.94E-3</v>
      </c>
      <c r="M36" s="21">
        <f t="shared" si="7"/>
        <v>4.027E-2</v>
      </c>
      <c r="N36" s="110">
        <f t="shared" si="5"/>
        <v>42.893984114204152</v>
      </c>
      <c r="O36" s="110">
        <f t="shared" si="5"/>
        <v>44.616360843682486</v>
      </c>
      <c r="P36" s="15"/>
      <c r="Q36" s="15"/>
    </row>
    <row r="37" spans="1:25" ht="15" customHeight="1" x14ac:dyDescent="0.2">
      <c r="A37" s="95">
        <v>150</v>
      </c>
      <c r="B37" s="104">
        <f t="shared" si="3"/>
        <v>152.76469999999998</v>
      </c>
      <c r="C37" s="95">
        <v>-9.3100000000000006E-3</v>
      </c>
      <c r="D37" s="95">
        <v>5.5480000000000002E-2</v>
      </c>
      <c r="E37" s="22">
        <f t="shared" si="0"/>
        <v>51.513992130749578</v>
      </c>
      <c r="F37" s="23">
        <f t="shared" si="1"/>
        <v>51.513992130749578</v>
      </c>
      <c r="G37" s="22">
        <f t="shared" si="2"/>
        <v>53.582499011628286</v>
      </c>
      <c r="K37" s="114">
        <f t="shared" si="4"/>
        <v>141.9</v>
      </c>
      <c r="L37" s="21">
        <f t="shared" si="6"/>
        <v>-8.09E-3</v>
      </c>
      <c r="M37" s="21">
        <f t="shared" si="7"/>
        <v>5.0259999999999999E-2</v>
      </c>
      <c r="N37" s="110">
        <f t="shared" si="5"/>
        <v>48.732236555689106</v>
      </c>
      <c r="O37" s="110">
        <f t="shared" si="5"/>
        <v>50.689044065000367</v>
      </c>
      <c r="P37" s="15"/>
      <c r="Q37" s="15"/>
    </row>
    <row r="38" spans="1:25" ht="15" customHeight="1" x14ac:dyDescent="0.2">
      <c r="A38" s="95">
        <v>163</v>
      </c>
      <c r="B38" s="104">
        <f t="shared" si="3"/>
        <v>166.01299999999998</v>
      </c>
      <c r="C38" s="95">
        <v>-1.1310000000000001E-2</v>
      </c>
      <c r="D38" s="95">
        <v>6.3969999999999999E-2</v>
      </c>
      <c r="E38" s="22">
        <f t="shared" si="0"/>
        <v>55.978538115414544</v>
      </c>
      <c r="F38" s="23">
        <f t="shared" si="1"/>
        <v>55.978538115414544</v>
      </c>
      <c r="G38" s="22">
        <f t="shared" si="2"/>
        <v>58.226315592636077</v>
      </c>
      <c r="K38" s="114">
        <f t="shared" si="4"/>
        <v>150</v>
      </c>
      <c r="L38" s="21">
        <f t="shared" si="6"/>
        <v>-9.3100000000000006E-3</v>
      </c>
      <c r="M38" s="21">
        <f t="shared" si="7"/>
        <v>5.5480000000000002E-2</v>
      </c>
      <c r="N38" s="110">
        <f t="shared" si="5"/>
        <v>51.513992130749578</v>
      </c>
      <c r="O38" s="110">
        <f t="shared" si="5"/>
        <v>53.582499011628286</v>
      </c>
      <c r="P38" s="15"/>
      <c r="Q38" s="15"/>
    </row>
    <row r="39" spans="1:25" ht="15" customHeight="1" x14ac:dyDescent="0.2">
      <c r="A39" s="95">
        <v>172.5</v>
      </c>
      <c r="B39" s="104">
        <f t="shared" si="3"/>
        <v>175.69444999999999</v>
      </c>
      <c r="C39" s="95">
        <v>-1.281E-2</v>
      </c>
      <c r="D39" s="95">
        <v>7.0370000000000002E-2</v>
      </c>
      <c r="E39" s="22">
        <f t="shared" si="0"/>
        <v>59.241090950362015</v>
      </c>
      <c r="F39" s="23">
        <f t="shared" si="1"/>
        <v>59.241090950362015</v>
      </c>
      <c r="G39" s="22">
        <f t="shared" si="2"/>
        <v>61.619873863372526</v>
      </c>
      <c r="K39" s="114">
        <f t="shared" si="4"/>
        <v>163</v>
      </c>
      <c r="L39" s="21">
        <f t="shared" si="6"/>
        <v>-1.1310000000000001E-2</v>
      </c>
      <c r="M39" s="21">
        <f t="shared" si="7"/>
        <v>6.3969999999999999E-2</v>
      </c>
      <c r="N39" s="110">
        <f t="shared" si="5"/>
        <v>55.978538115414544</v>
      </c>
      <c r="O39" s="110">
        <f t="shared" si="5"/>
        <v>58.226315592636077</v>
      </c>
      <c r="P39" s="15"/>
      <c r="Q39" s="15"/>
    </row>
    <row r="40" spans="1:25" ht="15" customHeight="1" x14ac:dyDescent="0.2">
      <c r="A40" s="95">
        <v>181.5</v>
      </c>
      <c r="B40" s="104">
        <f t="shared" si="3"/>
        <v>184.86634999999998</v>
      </c>
      <c r="C40" s="95">
        <v>-1.423E-2</v>
      </c>
      <c r="D40" s="95">
        <v>7.6509999999999995E-2</v>
      </c>
      <c r="E40" s="22">
        <f t="shared" si="0"/>
        <v>62.331930478206992</v>
      </c>
      <c r="F40" s="23">
        <f t="shared" si="1"/>
        <v>62.331930478206992</v>
      </c>
      <c r="G40" s="22">
        <f t="shared" si="2"/>
        <v>64.834823804070226</v>
      </c>
      <c r="K40" s="114">
        <f t="shared" si="4"/>
        <v>172.5</v>
      </c>
      <c r="L40" s="21">
        <f t="shared" si="6"/>
        <v>-1.281E-2</v>
      </c>
      <c r="M40" s="21">
        <f t="shared" si="7"/>
        <v>7.0370000000000002E-2</v>
      </c>
      <c r="N40" s="110">
        <f t="shared" si="5"/>
        <v>59.241090950362015</v>
      </c>
      <c r="O40" s="110">
        <f t="shared" si="5"/>
        <v>61.619873863372526</v>
      </c>
      <c r="P40" s="15"/>
      <c r="Q40" s="15"/>
    </row>
    <row r="41" spans="1:25" ht="15" customHeight="1" x14ac:dyDescent="0.2">
      <c r="A41" s="95">
        <v>196.5</v>
      </c>
      <c r="B41" s="104">
        <f t="shared" si="3"/>
        <v>200.15284999999997</v>
      </c>
      <c r="C41" s="95">
        <v>-1.6879999999999999E-2</v>
      </c>
      <c r="D41" s="95">
        <v>8.7349999999999997E-2</v>
      </c>
      <c r="E41" s="22">
        <f t="shared" si="0"/>
        <v>67.483329691281952</v>
      </c>
      <c r="F41" s="23">
        <f t="shared" si="1"/>
        <v>67.483329691281952</v>
      </c>
      <c r="G41" s="22">
        <f t="shared" si="2"/>
        <v>70.193073705233061</v>
      </c>
      <c r="K41" s="114">
        <f t="shared" si="4"/>
        <v>181.5</v>
      </c>
      <c r="L41" s="21">
        <f t="shared" si="6"/>
        <v>-1.423E-2</v>
      </c>
      <c r="M41" s="21">
        <f t="shared" si="7"/>
        <v>7.6509999999999995E-2</v>
      </c>
      <c r="N41" s="110">
        <f t="shared" si="5"/>
        <v>62.331930478206992</v>
      </c>
      <c r="O41" s="110">
        <f t="shared" si="5"/>
        <v>64.834823804070226</v>
      </c>
      <c r="P41" s="15"/>
      <c r="Q41" s="15"/>
      <c r="R41" s="27"/>
      <c r="S41" s="27"/>
      <c r="T41" s="27"/>
      <c r="U41" s="27"/>
      <c r="V41" s="27"/>
      <c r="W41" s="27"/>
      <c r="X41" s="27"/>
    </row>
    <row r="42" spans="1:25" ht="15" customHeight="1" x14ac:dyDescent="0.2">
      <c r="A42" s="95">
        <v>208.6</v>
      </c>
      <c r="B42" s="104">
        <f t="shared" si="3"/>
        <v>212.48395999999997</v>
      </c>
      <c r="C42" s="95">
        <v>-1.9060000000000001E-2</v>
      </c>
      <c r="D42" s="95">
        <v>9.6159999999999995E-2</v>
      </c>
      <c r="E42" s="22">
        <f t="shared" si="0"/>
        <v>71.638791723162413</v>
      </c>
      <c r="F42" s="23">
        <f t="shared" si="1"/>
        <v>71.638791723162413</v>
      </c>
      <c r="G42" s="22">
        <f t="shared" si="2"/>
        <v>74.515395292171064</v>
      </c>
      <c r="K42" s="114">
        <f t="shared" si="4"/>
        <v>196.5</v>
      </c>
      <c r="L42" s="21">
        <f t="shared" si="6"/>
        <v>-1.6879999999999999E-2</v>
      </c>
      <c r="M42" s="21">
        <f t="shared" si="7"/>
        <v>8.7349999999999997E-2</v>
      </c>
      <c r="N42" s="110">
        <f t="shared" si="5"/>
        <v>67.483329691281952</v>
      </c>
      <c r="O42" s="110">
        <f t="shared" si="5"/>
        <v>70.193073705233061</v>
      </c>
      <c r="P42" s="15"/>
      <c r="Q42" s="15"/>
    </row>
    <row r="43" spans="1:25" ht="15" customHeight="1" x14ac:dyDescent="0.2">
      <c r="A43" s="95">
        <v>232.79999999999998</v>
      </c>
      <c r="B43" s="104">
        <f t="shared" si="3"/>
        <v>237.14617999999996</v>
      </c>
      <c r="C43" s="95">
        <v>-2.3730000000000001E-2</v>
      </c>
      <c r="D43" s="95">
        <v>0.11434999999999999</v>
      </c>
      <c r="E43" s="22">
        <f t="shared" si="0"/>
        <v>79.949715786923335</v>
      </c>
      <c r="F43" s="23">
        <f t="shared" si="1"/>
        <v>79.949715786923335</v>
      </c>
      <c r="G43" s="22">
        <f t="shared" si="2"/>
        <v>83.160038466047084</v>
      </c>
      <c r="K43" s="114">
        <f t="shared" si="4"/>
        <v>208.6</v>
      </c>
      <c r="L43" s="21">
        <f t="shared" si="6"/>
        <v>-1.9060000000000001E-2</v>
      </c>
      <c r="M43" s="21">
        <f t="shared" si="7"/>
        <v>9.6159999999999995E-2</v>
      </c>
      <c r="N43" s="110">
        <f t="shared" si="5"/>
        <v>71.638791723162413</v>
      </c>
      <c r="O43" s="110">
        <f t="shared" si="5"/>
        <v>74.515395292171064</v>
      </c>
      <c r="P43" s="15"/>
      <c r="Q43" s="15"/>
    </row>
    <row r="44" spans="1:25" ht="15" customHeight="1" x14ac:dyDescent="0.2">
      <c r="A44" s="95">
        <v>239.5</v>
      </c>
      <c r="B44" s="104">
        <f t="shared" si="3"/>
        <v>243.97414999999998</v>
      </c>
      <c r="C44" s="95">
        <v>-2.5080000000000002E-2</v>
      </c>
      <c r="D44" s="95">
        <v>0.11952</v>
      </c>
      <c r="E44" s="22">
        <f t="shared" si="0"/>
        <v>82.250674102096824</v>
      </c>
      <c r="F44" s="23">
        <f t="shared" si="1"/>
        <v>82.250674102096824</v>
      </c>
      <c r="G44" s="22">
        <f t="shared" si="2"/>
        <v>85.553390088566488</v>
      </c>
      <c r="K44" s="114">
        <f t="shared" si="4"/>
        <v>232.79999999999998</v>
      </c>
      <c r="L44" s="21">
        <f t="shared" si="6"/>
        <v>-2.3730000000000001E-2</v>
      </c>
      <c r="M44" s="21">
        <f t="shared" si="7"/>
        <v>0.11434999999999999</v>
      </c>
      <c r="N44" s="110">
        <f t="shared" si="5"/>
        <v>79.949715786923335</v>
      </c>
      <c r="O44" s="110">
        <f t="shared" si="5"/>
        <v>83.160038466047084</v>
      </c>
      <c r="P44" s="15"/>
      <c r="Q44" s="15"/>
      <c r="Y44" s="26"/>
    </row>
    <row r="45" spans="1:25" ht="15" customHeight="1" x14ac:dyDescent="0.2">
      <c r="A45" s="95">
        <v>247.6</v>
      </c>
      <c r="B45" s="104">
        <f t="shared" si="3"/>
        <v>252.22885999999997</v>
      </c>
      <c r="C45" s="95">
        <v>-2.6700000000000002E-2</v>
      </c>
      <c r="D45" s="95">
        <v>0.12570999999999999</v>
      </c>
      <c r="E45" s="22">
        <f t="shared" si="0"/>
        <v>85.03242967715731</v>
      </c>
      <c r="F45" s="23">
        <f t="shared" si="1"/>
        <v>85.03242967715731</v>
      </c>
      <c r="G45" s="22">
        <f t="shared" si="2"/>
        <v>88.446845035194428</v>
      </c>
      <c r="K45" s="114">
        <f t="shared" si="4"/>
        <v>239.5</v>
      </c>
      <c r="L45" s="21">
        <f t="shared" si="6"/>
        <v>-2.5080000000000002E-2</v>
      </c>
      <c r="M45" s="21">
        <f t="shared" si="7"/>
        <v>0.11952</v>
      </c>
      <c r="N45" s="110">
        <f t="shared" si="5"/>
        <v>82.250674102096824</v>
      </c>
      <c r="O45" s="110">
        <f t="shared" si="5"/>
        <v>85.553390088566488</v>
      </c>
      <c r="P45" s="15"/>
      <c r="Q45" s="15"/>
      <c r="T45" s="26"/>
      <c r="U45" s="26"/>
      <c r="V45" s="26"/>
    </row>
    <row r="46" spans="1:25" ht="15" customHeight="1" x14ac:dyDescent="0.2">
      <c r="A46" s="95">
        <v>258.60000000000002</v>
      </c>
      <c r="B46" s="104">
        <f t="shared" si="3"/>
        <v>263.43896000000001</v>
      </c>
      <c r="C46" s="95">
        <v>-2.8969999999999999E-2</v>
      </c>
      <c r="D46" s="95">
        <v>0.13425999999999999</v>
      </c>
      <c r="E46" s="22">
        <f t="shared" si="0"/>
        <v>88.810122433412289</v>
      </c>
      <c r="F46" s="23">
        <f t="shared" si="1"/>
        <v>88.810122433412289</v>
      </c>
      <c r="G46" s="22">
        <f t="shared" si="2"/>
        <v>92.376228296047188</v>
      </c>
      <c r="K46" s="114">
        <f t="shared" si="4"/>
        <v>247.6</v>
      </c>
      <c r="L46" s="21">
        <f t="shared" si="6"/>
        <v>-2.6700000000000002E-2</v>
      </c>
      <c r="M46" s="21">
        <f t="shared" si="7"/>
        <v>0.12570999999999999</v>
      </c>
      <c r="N46" s="110">
        <f t="shared" si="5"/>
        <v>85.03242967715731</v>
      </c>
      <c r="O46" s="110">
        <f t="shared" si="5"/>
        <v>88.446845035194428</v>
      </c>
      <c r="P46" s="15"/>
      <c r="Q46" s="15"/>
    </row>
    <row r="47" spans="1:25" ht="15" customHeight="1" x14ac:dyDescent="0.2">
      <c r="A47" s="95">
        <v>264.89999999999998</v>
      </c>
      <c r="B47" s="104">
        <f t="shared" si="3"/>
        <v>269.85928999999993</v>
      </c>
      <c r="C47" s="95">
        <v>-3.0280000000000001E-2</v>
      </c>
      <c r="D47" s="95">
        <v>0.13913</v>
      </c>
      <c r="E47" s="22">
        <f t="shared" si="0"/>
        <v>90.973710102903766</v>
      </c>
      <c r="F47" s="23">
        <f t="shared" si="1"/>
        <v>90.973710102903766</v>
      </c>
      <c r="G47" s="22">
        <f t="shared" si="2"/>
        <v>94.626693254535567</v>
      </c>
      <c r="K47" s="114">
        <f t="shared" si="4"/>
        <v>258.60000000000002</v>
      </c>
      <c r="L47" s="21">
        <f t="shared" si="6"/>
        <v>-2.8969999999999999E-2</v>
      </c>
      <c r="M47" s="21">
        <f t="shared" si="7"/>
        <v>0.13425999999999999</v>
      </c>
      <c r="N47" s="110">
        <f t="shared" si="5"/>
        <v>88.810122433412289</v>
      </c>
      <c r="O47" s="110">
        <f t="shared" si="5"/>
        <v>92.376228296047188</v>
      </c>
      <c r="P47" s="15"/>
      <c r="Q47" s="15"/>
    </row>
    <row r="48" spans="1:25" ht="15" customHeight="1" x14ac:dyDescent="0.2">
      <c r="A48" s="95">
        <v>275.2</v>
      </c>
      <c r="B48" s="104">
        <f t="shared" si="3"/>
        <v>280.35601999999994</v>
      </c>
      <c r="C48" s="95">
        <v>-3.2390000000000002E-2</v>
      </c>
      <c r="D48" s="95">
        <v>0.14693999999999999</v>
      </c>
      <c r="E48" s="22">
        <f t="shared" si="0"/>
        <v>94.511004229215231</v>
      </c>
      <c r="F48" s="23">
        <f t="shared" si="1"/>
        <v>94.511004229215231</v>
      </c>
      <c r="G48" s="22">
        <f t="shared" si="2"/>
        <v>98.306024853334037</v>
      </c>
      <c r="K48" s="114">
        <f t="shared" si="4"/>
        <v>264.89999999999998</v>
      </c>
      <c r="L48" s="21">
        <f t="shared" si="6"/>
        <v>-3.0280000000000001E-2</v>
      </c>
      <c r="M48" s="21">
        <f t="shared" si="7"/>
        <v>0.13913</v>
      </c>
      <c r="N48" s="110">
        <f t="shared" si="5"/>
        <v>90.973710102903766</v>
      </c>
      <c r="O48" s="110">
        <f t="shared" si="5"/>
        <v>94.626693254535567</v>
      </c>
      <c r="P48" s="15"/>
      <c r="Q48" s="15"/>
    </row>
    <row r="49" spans="1:22" ht="15" customHeight="1" x14ac:dyDescent="0.2">
      <c r="A49" s="95">
        <v>284.59999999999997</v>
      </c>
      <c r="B49" s="104">
        <f t="shared" si="3"/>
        <v>289.93555999999995</v>
      </c>
      <c r="C49" s="95">
        <v>-3.4439999999999998E-2</v>
      </c>
      <c r="D49" s="95">
        <v>0.15425</v>
      </c>
      <c r="E49" s="22">
        <f t="shared" si="0"/>
        <v>97.739214402742178</v>
      </c>
      <c r="F49" s="23">
        <f t="shared" si="1"/>
        <v>97.739214402742178</v>
      </c>
      <c r="G49" s="22">
        <f t="shared" si="2"/>
        <v>101.66386145806271</v>
      </c>
      <c r="K49" s="114">
        <f t="shared" si="4"/>
        <v>275.2</v>
      </c>
      <c r="L49" s="21">
        <f t="shared" si="6"/>
        <v>-3.2390000000000002E-2</v>
      </c>
      <c r="M49" s="21">
        <f t="shared" si="7"/>
        <v>0.14693999999999999</v>
      </c>
      <c r="N49" s="110">
        <f t="shared" si="5"/>
        <v>94.511004229215231</v>
      </c>
      <c r="O49" s="110">
        <f t="shared" si="5"/>
        <v>98.306024853334037</v>
      </c>
      <c r="P49" s="15"/>
      <c r="Q49" s="15"/>
      <c r="V49" s="25"/>
    </row>
    <row r="50" spans="1:22" ht="15" customHeight="1" x14ac:dyDescent="0.2">
      <c r="A50" s="95">
        <v>297.3</v>
      </c>
      <c r="B50" s="104">
        <f t="shared" si="3"/>
        <v>302.87813</v>
      </c>
      <c r="C50" s="95">
        <v>-3.7269999999999998E-2</v>
      </c>
      <c r="D50" s="95">
        <v>0.16400999999999999</v>
      </c>
      <c r="E50" s="22">
        <f t="shared" si="0"/>
        <v>102.10073240314567</v>
      </c>
      <c r="F50" s="23">
        <f t="shared" si="1"/>
        <v>102.10073240314567</v>
      </c>
      <c r="G50" s="22">
        <f t="shared" si="2"/>
        <v>106.20051304104727</v>
      </c>
      <c r="K50" s="114">
        <f t="shared" si="4"/>
        <v>284.59999999999997</v>
      </c>
      <c r="L50" s="21">
        <f t="shared" si="6"/>
        <v>-3.4439999999999998E-2</v>
      </c>
      <c r="M50" s="21">
        <f t="shared" si="7"/>
        <v>0.15425</v>
      </c>
      <c r="N50" s="110">
        <f t="shared" si="5"/>
        <v>97.739214402742178</v>
      </c>
      <c r="O50" s="110">
        <f t="shared" si="5"/>
        <v>101.66386145806271</v>
      </c>
      <c r="P50" s="15"/>
      <c r="Q50" s="15"/>
    </row>
    <row r="51" spans="1:22" ht="15" customHeight="1" x14ac:dyDescent="0.2">
      <c r="A51" s="95">
        <v>313.8</v>
      </c>
      <c r="B51" s="104">
        <f t="shared" si="3"/>
        <v>316.71336000000002</v>
      </c>
      <c r="C51" s="95">
        <v>-4.1169999999999998E-2</v>
      </c>
      <c r="D51" s="95">
        <v>0.17712</v>
      </c>
      <c r="E51" s="22">
        <f t="shared" si="0"/>
        <v>107.76727153752812</v>
      </c>
      <c r="F51" s="23">
        <f t="shared" si="1"/>
        <v>107.76727153752812</v>
      </c>
      <c r="G51" s="22">
        <f t="shared" si="2"/>
        <v>112.09458793232638</v>
      </c>
      <c r="K51" s="114">
        <f t="shared" si="4"/>
        <v>297.3</v>
      </c>
      <c r="L51" s="21">
        <f t="shared" si="6"/>
        <v>-3.7269999999999998E-2</v>
      </c>
      <c r="M51" s="21">
        <f t="shared" si="7"/>
        <v>0.16400999999999999</v>
      </c>
      <c r="N51" s="110">
        <f t="shared" si="5"/>
        <v>102.10073240314567</v>
      </c>
      <c r="O51" s="110">
        <f t="shared" si="5"/>
        <v>106.20051304104727</v>
      </c>
      <c r="P51" s="15"/>
      <c r="Q51" s="15"/>
      <c r="V51" s="25"/>
    </row>
    <row r="52" spans="1:22" ht="15" customHeight="1" x14ac:dyDescent="0.2">
      <c r="A52" s="95">
        <v>324.7</v>
      </c>
      <c r="B52" s="104">
        <f t="shared" si="3"/>
        <v>327.74088999999998</v>
      </c>
      <c r="C52" s="95">
        <v>-4.3909999999999998E-2</v>
      </c>
      <c r="D52" s="95">
        <v>0.18626000000000001</v>
      </c>
      <c r="E52" s="22">
        <f t="shared" si="0"/>
        <v>111.51062163236259</v>
      </c>
      <c r="F52" s="23">
        <f t="shared" si="1"/>
        <v>111.51062163236259</v>
      </c>
      <c r="G52" s="22">
        <f t="shared" si="2"/>
        <v>115.98824952717136</v>
      </c>
      <c r="K52" s="114">
        <f t="shared" si="4"/>
        <v>313.8</v>
      </c>
      <c r="L52" s="21">
        <f t="shared" si="6"/>
        <v>-4.1169999999999998E-2</v>
      </c>
      <c r="M52" s="21">
        <f t="shared" si="7"/>
        <v>0.17712</v>
      </c>
      <c r="N52" s="110">
        <f t="shared" si="5"/>
        <v>107.76727153752812</v>
      </c>
      <c r="O52" s="110">
        <f t="shared" si="5"/>
        <v>112.09458793232638</v>
      </c>
      <c r="P52" s="15"/>
      <c r="Q52" s="15"/>
      <c r="V52" s="25"/>
    </row>
    <row r="53" spans="1:22" ht="15" customHeight="1" x14ac:dyDescent="0.2">
      <c r="A53" s="95">
        <v>334.3</v>
      </c>
      <c r="B53" s="104">
        <f t="shared" si="3"/>
        <v>337.45321000000001</v>
      </c>
      <c r="C53" s="95">
        <v>-4.6420000000000003E-2</v>
      </c>
      <c r="D53" s="95">
        <v>0.19453999999999999</v>
      </c>
      <c r="E53" s="22">
        <f t="shared" si="0"/>
        <v>114.80751712873057</v>
      </c>
      <c r="F53" s="23">
        <f t="shared" si="1"/>
        <v>114.80751712873057</v>
      </c>
      <c r="G53" s="22">
        <f t="shared" si="2"/>
        <v>119.41752946391559</v>
      </c>
      <c r="K53" s="114">
        <f t="shared" si="4"/>
        <v>324.7</v>
      </c>
      <c r="L53" s="21">
        <f t="shared" si="6"/>
        <v>-4.3909999999999998E-2</v>
      </c>
      <c r="M53" s="21">
        <f t="shared" si="7"/>
        <v>0.18626000000000001</v>
      </c>
      <c r="N53" s="110">
        <f t="shared" si="5"/>
        <v>111.51062163236259</v>
      </c>
      <c r="O53" s="110">
        <f t="shared" si="5"/>
        <v>115.98824952717136</v>
      </c>
      <c r="P53" s="15"/>
      <c r="Q53" s="15"/>
      <c r="V53" s="25"/>
    </row>
    <row r="54" spans="1:22" ht="15" customHeight="1" x14ac:dyDescent="0.2">
      <c r="A54" s="95">
        <v>351.09999999999997</v>
      </c>
      <c r="B54" s="104">
        <f t="shared" si="3"/>
        <v>354.44976999999994</v>
      </c>
      <c r="C54" s="95">
        <v>-5.1090000000000003E-2</v>
      </c>
      <c r="D54" s="95">
        <v>0.20945</v>
      </c>
      <c r="E54" s="22">
        <f t="shared" si="0"/>
        <v>120.5770842473745</v>
      </c>
      <c r="F54" s="23">
        <f t="shared" si="1"/>
        <v>120.5770842473745</v>
      </c>
      <c r="G54" s="22">
        <f t="shared" si="2"/>
        <v>125.41876935321793</v>
      </c>
      <c r="K54" s="114">
        <f t="shared" si="4"/>
        <v>334.3</v>
      </c>
      <c r="L54" s="21">
        <f t="shared" si="6"/>
        <v>-4.6420000000000003E-2</v>
      </c>
      <c r="M54" s="21">
        <f t="shared" si="7"/>
        <v>0.19453999999999999</v>
      </c>
      <c r="N54" s="110">
        <f t="shared" si="5"/>
        <v>114.80751712873057</v>
      </c>
      <c r="O54" s="110">
        <f t="shared" si="5"/>
        <v>119.41752946391559</v>
      </c>
      <c r="P54" s="15"/>
      <c r="Q54" s="15"/>
      <c r="V54" s="25"/>
    </row>
    <row r="55" spans="1:22" ht="15" customHeight="1" x14ac:dyDescent="0.2">
      <c r="A55" s="95">
        <v>365.8</v>
      </c>
      <c r="B55" s="104">
        <f t="shared" si="3"/>
        <v>369.32176000000004</v>
      </c>
      <c r="C55" s="95">
        <v>-5.5480000000000002E-2</v>
      </c>
      <c r="D55" s="95">
        <v>0.22217999999999999</v>
      </c>
      <c r="E55" s="22">
        <f t="shared" si="0"/>
        <v>125.62545547618798</v>
      </c>
      <c r="F55" s="23">
        <f t="shared" si="1"/>
        <v>125.62545547618798</v>
      </c>
      <c r="G55" s="22">
        <f t="shared" si="2"/>
        <v>130.66985425635752</v>
      </c>
      <c r="K55" s="114">
        <f t="shared" si="4"/>
        <v>351.09999999999997</v>
      </c>
      <c r="L55" s="21">
        <f t="shared" si="6"/>
        <v>-5.1090000000000003E-2</v>
      </c>
      <c r="M55" s="21">
        <f t="shared" si="7"/>
        <v>0.20945</v>
      </c>
      <c r="N55" s="110">
        <f t="shared" si="5"/>
        <v>120.5770842473745</v>
      </c>
      <c r="O55" s="110">
        <f t="shared" si="5"/>
        <v>125.41876935321793</v>
      </c>
      <c r="P55" s="15"/>
      <c r="Q55" s="15"/>
      <c r="V55" s="25"/>
    </row>
    <row r="56" spans="1:22" ht="15" customHeight="1" x14ac:dyDescent="0.2">
      <c r="A56" s="95">
        <v>380.59999999999997</v>
      </c>
      <c r="B56" s="104">
        <f t="shared" si="3"/>
        <v>384.29491999999999</v>
      </c>
      <c r="C56" s="95">
        <v>-6.3719999999999999E-2</v>
      </c>
      <c r="D56" s="95">
        <v>0.24274000000000001</v>
      </c>
      <c r="E56" s="22">
        <f t="shared" si="0"/>
        <v>130.70816936642191</v>
      </c>
      <c r="F56" s="23">
        <f t="shared" si="1"/>
        <v>130.70816936642191</v>
      </c>
      <c r="G56" s="22">
        <f t="shared" si="2"/>
        <v>135.95666082550483</v>
      </c>
      <c r="K56" s="114">
        <f t="shared" si="4"/>
        <v>365.8</v>
      </c>
      <c r="L56" s="21">
        <f t="shared" si="6"/>
        <v>-5.5480000000000002E-2</v>
      </c>
      <c r="M56" s="21">
        <f t="shared" si="7"/>
        <v>0.22217999999999999</v>
      </c>
      <c r="N56" s="110">
        <f t="shared" si="5"/>
        <v>125.62545547618798</v>
      </c>
      <c r="O56" s="110">
        <f t="shared" si="5"/>
        <v>130.66985425635752</v>
      </c>
      <c r="P56" s="15"/>
      <c r="Q56" s="15"/>
      <c r="V56" s="25"/>
    </row>
    <row r="57" spans="1:22" ht="15" customHeight="1" x14ac:dyDescent="0.2">
      <c r="A57" s="95">
        <v>389.59999999999997</v>
      </c>
      <c r="B57" s="104">
        <f t="shared" si="3"/>
        <v>393.40021999999999</v>
      </c>
      <c r="C57" s="95">
        <v>-7.2639999999999996E-2</v>
      </c>
      <c r="D57" s="95">
        <v>0.26379000000000002</v>
      </c>
      <c r="E57" s="22">
        <f t="shared" si="0"/>
        <v>133.7990088942669</v>
      </c>
      <c r="F57" s="23">
        <f t="shared" si="1"/>
        <v>133.7990088942669</v>
      </c>
      <c r="G57" s="22">
        <f t="shared" si="2"/>
        <v>139.17161076620255</v>
      </c>
      <c r="K57" s="114">
        <f t="shared" si="4"/>
        <v>380.59999999999997</v>
      </c>
      <c r="L57" s="21">
        <f t="shared" si="6"/>
        <v>-6.3719999999999999E-2</v>
      </c>
      <c r="M57" s="21">
        <f t="shared" si="7"/>
        <v>0.24274000000000001</v>
      </c>
      <c r="N57" s="110">
        <f t="shared" si="5"/>
        <v>130.70816936642191</v>
      </c>
      <c r="O57" s="110">
        <f t="shared" si="5"/>
        <v>135.95666082550483</v>
      </c>
      <c r="P57" s="15"/>
      <c r="Q57" s="15"/>
      <c r="V57" s="25"/>
    </row>
    <row r="58" spans="1:22" ht="15" customHeight="1" x14ac:dyDescent="0.2">
      <c r="A58" s="95">
        <v>391.3</v>
      </c>
      <c r="B58" s="104">
        <f t="shared" si="3"/>
        <v>395.12011000000001</v>
      </c>
      <c r="C58" s="95">
        <v>-7.7799999999999994E-2</v>
      </c>
      <c r="D58" s="95">
        <v>0.26578000000000002</v>
      </c>
      <c r="E58" s="22">
        <f t="shared" si="0"/>
        <v>134.3828341384154</v>
      </c>
      <c r="F58" s="23">
        <f t="shared" si="1"/>
        <v>134.3828341384154</v>
      </c>
      <c r="G58" s="22">
        <f t="shared" si="2"/>
        <v>139.77887908833432</v>
      </c>
      <c r="K58" s="114">
        <f t="shared" si="4"/>
        <v>389.59999999999997</v>
      </c>
      <c r="L58" s="21">
        <f t="shared" si="6"/>
        <v>-7.2639999999999996E-2</v>
      </c>
      <c r="M58" s="21">
        <f t="shared" si="7"/>
        <v>0.26379000000000002</v>
      </c>
      <c r="N58" s="110">
        <f t="shared" si="5"/>
        <v>133.7990088942669</v>
      </c>
      <c r="O58" s="110">
        <f t="shared" si="5"/>
        <v>139.17161076620255</v>
      </c>
      <c r="P58" s="15"/>
      <c r="Q58" s="15"/>
    </row>
    <row r="59" spans="1:22" ht="15" customHeight="1" x14ac:dyDescent="0.2">
      <c r="A59" s="14"/>
      <c r="B59" s="105"/>
      <c r="C59" s="14"/>
      <c r="D59" s="14"/>
      <c r="E59" s="14"/>
      <c r="F59" s="14"/>
      <c r="G59" s="14"/>
      <c r="K59" s="114">
        <f t="shared" si="4"/>
        <v>391.3</v>
      </c>
      <c r="L59" s="21">
        <f t="shared" si="6"/>
        <v>-7.7799999999999994E-2</v>
      </c>
      <c r="M59" s="21">
        <f t="shared" si="7"/>
        <v>0.26578000000000002</v>
      </c>
      <c r="N59" s="110">
        <f t="shared" ref="N59:O59" si="8">F58</f>
        <v>134.3828341384154</v>
      </c>
      <c r="O59" s="110">
        <f t="shared" si="8"/>
        <v>139.77887908833432</v>
      </c>
      <c r="P59" s="15"/>
      <c r="Q59" s="15"/>
      <c r="V59" s="25"/>
    </row>
    <row r="60" spans="1:22" ht="15" customHeight="1" x14ac:dyDescent="0.2">
      <c r="A60" s="14"/>
      <c r="B60" s="105"/>
      <c r="C60" s="14"/>
      <c r="D60" s="14"/>
      <c r="E60" s="14"/>
      <c r="F60" s="14"/>
      <c r="G60" s="14"/>
      <c r="K60" s="15"/>
      <c r="L60" s="16"/>
      <c r="M60" s="16"/>
      <c r="N60" s="15"/>
      <c r="O60" s="15"/>
      <c r="P60" s="15"/>
      <c r="Q60" s="15"/>
      <c r="V60" s="25"/>
    </row>
    <row r="61" spans="1:22" ht="15" customHeight="1" x14ac:dyDescent="0.2">
      <c r="A61" s="14"/>
      <c r="B61" s="105"/>
      <c r="C61" s="14"/>
      <c r="D61" s="14"/>
      <c r="E61" s="14"/>
      <c r="F61" s="14"/>
      <c r="G61" s="14"/>
      <c r="K61" s="18" t="s">
        <v>48</v>
      </c>
      <c r="L61" s="16"/>
      <c r="M61" s="16"/>
      <c r="N61" s="15"/>
      <c r="O61" s="15"/>
      <c r="P61" s="15"/>
      <c r="Q61" s="15"/>
    </row>
    <row r="62" spans="1:22" ht="15" customHeight="1" x14ac:dyDescent="0.2">
      <c r="A62" s="14"/>
      <c r="B62" s="105"/>
      <c r="C62" s="14"/>
      <c r="D62" s="14"/>
      <c r="E62" s="14"/>
      <c r="F62" s="14"/>
      <c r="G62" s="14"/>
      <c r="K62" s="19" t="s">
        <v>88</v>
      </c>
      <c r="L62" s="16"/>
      <c r="M62" s="16"/>
      <c r="N62" s="15"/>
      <c r="O62" s="15"/>
      <c r="P62" s="15"/>
      <c r="Q62" s="15"/>
      <c r="U62" s="25"/>
    </row>
    <row r="63" spans="1:22" ht="15" customHeight="1" x14ac:dyDescent="0.2">
      <c r="A63" s="14"/>
      <c r="B63" s="105"/>
      <c r="C63" s="14"/>
      <c r="D63" s="14"/>
      <c r="E63" s="14"/>
      <c r="F63" s="14"/>
      <c r="G63" s="14"/>
      <c r="K63" s="19" t="s">
        <v>47</v>
      </c>
      <c r="L63" s="16"/>
      <c r="M63" s="16"/>
      <c r="O63" s="15"/>
      <c r="P63" s="15"/>
      <c r="Q63" s="15"/>
    </row>
    <row r="64" spans="1:22" ht="15" customHeight="1" x14ac:dyDescent="0.2">
      <c r="A64" s="14"/>
      <c r="B64" s="105"/>
      <c r="C64" s="14"/>
      <c r="D64" s="14"/>
      <c r="E64" s="14"/>
      <c r="F64" s="14"/>
      <c r="G64" s="14"/>
      <c r="K64" s="17" t="s">
        <v>46</v>
      </c>
      <c r="L64" s="16"/>
      <c r="M64" s="16"/>
      <c r="O64" s="15"/>
      <c r="P64" s="15"/>
      <c r="Q64" s="15"/>
    </row>
    <row r="65" spans="1:22" ht="15" customHeight="1" x14ac:dyDescent="0.2">
      <c r="A65" s="14"/>
      <c r="B65" s="105"/>
      <c r="C65" s="14"/>
      <c r="D65" s="14"/>
      <c r="E65" s="14"/>
      <c r="F65" s="14"/>
      <c r="G65" s="14"/>
      <c r="L65" s="16"/>
      <c r="M65" s="16"/>
      <c r="O65" s="15"/>
      <c r="P65" s="15"/>
      <c r="Q65" s="15"/>
    </row>
    <row r="66" spans="1:22" ht="15" customHeight="1" x14ac:dyDescent="0.2">
      <c r="A66" s="14"/>
      <c r="B66" s="105"/>
      <c r="C66" s="14"/>
      <c r="D66" s="14"/>
      <c r="E66" s="14"/>
      <c r="F66" s="14"/>
      <c r="G66" s="14"/>
      <c r="K66" s="18" t="s">
        <v>45</v>
      </c>
      <c r="O66" s="15"/>
      <c r="P66" s="15"/>
      <c r="Q66" s="15"/>
    </row>
    <row r="67" spans="1:22" ht="15" customHeight="1" x14ac:dyDescent="0.2">
      <c r="A67" s="14"/>
      <c r="B67" s="105"/>
      <c r="C67" s="14"/>
      <c r="D67" s="14"/>
      <c r="E67" s="14"/>
      <c r="F67" s="14"/>
      <c r="G67" s="14"/>
      <c r="K67" s="17" t="str">
        <f>+CONCATENATE("a. Velocidad de ensayo: ",D22, E22)</f>
        <v>a. Velocidad de ensayo: 0,5 MPa/s</v>
      </c>
      <c r="O67" s="15"/>
      <c r="P67" s="15"/>
      <c r="Q67" s="15"/>
    </row>
    <row r="68" spans="1:22" ht="15" customHeight="1" x14ac:dyDescent="0.2">
      <c r="A68" s="14"/>
      <c r="B68" s="105"/>
      <c r="C68" s="14"/>
      <c r="D68" s="14"/>
      <c r="E68" s="14"/>
      <c r="F68" s="14"/>
      <c r="G68" s="14"/>
      <c r="K68" s="17" t="s">
        <v>44</v>
      </c>
      <c r="O68" s="15"/>
      <c r="P68" s="15"/>
      <c r="Q68" s="15"/>
    </row>
    <row r="69" spans="1:22" ht="15" customHeight="1" x14ac:dyDescent="0.2">
      <c r="A69" s="14"/>
      <c r="B69" s="105"/>
      <c r="C69" s="14"/>
      <c r="D69" s="14"/>
      <c r="E69" s="14"/>
      <c r="F69" s="14"/>
      <c r="G69" s="14"/>
      <c r="K69" s="108" t="str">
        <f>IF(H10&lt;2,"b. La probeta no cumple con la relación de esbeltez 2,50&gt; L/D&gt;2,00. ",IF(H10&gt;2.5,"b. La probeta no cumple con la relación de esbeltez 2,50&gt;L/D&gt;2,00.",IF(H10&gt;2," ",IF(H10&lt;2.5," "))))</f>
        <v xml:space="preserve"> </v>
      </c>
      <c r="L69" s="16"/>
      <c r="M69" s="16"/>
      <c r="O69" s="15"/>
      <c r="P69" s="15"/>
      <c r="Q69" s="15"/>
    </row>
    <row r="70" spans="1:22" ht="15" customHeight="1" x14ac:dyDescent="0.2">
      <c r="A70" s="14"/>
      <c r="B70" s="105"/>
      <c r="C70" s="14"/>
      <c r="D70" s="14"/>
      <c r="E70" s="14"/>
      <c r="F70" s="14"/>
      <c r="G70" s="14"/>
      <c r="O70" s="15"/>
      <c r="P70" s="15"/>
      <c r="Q70" s="15"/>
    </row>
    <row r="71" spans="1:22" ht="15" customHeight="1" x14ac:dyDescent="0.2">
      <c r="A71" s="14"/>
      <c r="B71" s="105"/>
      <c r="C71" s="14"/>
      <c r="D71" s="14"/>
      <c r="E71" s="14"/>
      <c r="F71" s="14"/>
      <c r="G71" s="14"/>
      <c r="O71" s="15"/>
      <c r="P71" s="15"/>
      <c r="Q71" s="15"/>
    </row>
    <row r="72" spans="1:22" ht="15" customHeight="1" x14ac:dyDescent="0.2">
      <c r="A72" s="14"/>
      <c r="B72" s="105"/>
      <c r="C72" s="14"/>
      <c r="D72" s="14"/>
      <c r="E72" s="14"/>
      <c r="F72" s="14"/>
      <c r="G72" s="14"/>
      <c r="O72" s="15"/>
      <c r="P72" s="15"/>
      <c r="Q72" s="15"/>
    </row>
    <row r="73" spans="1:22" ht="15" customHeight="1" x14ac:dyDescent="0.2">
      <c r="A73" s="14"/>
      <c r="B73" s="105"/>
      <c r="C73" s="14"/>
      <c r="D73" s="14"/>
      <c r="E73" s="14"/>
      <c r="F73" s="14"/>
      <c r="G73" s="14"/>
      <c r="P73" s="15"/>
      <c r="Q73" s="15"/>
    </row>
    <row r="74" spans="1:22" ht="15" customHeight="1" x14ac:dyDescent="0.2">
      <c r="A74" s="14"/>
      <c r="B74" s="105"/>
      <c r="C74" s="14"/>
      <c r="D74" s="14"/>
      <c r="E74" s="14"/>
      <c r="F74" s="14"/>
      <c r="G74" s="14"/>
      <c r="P74" s="15"/>
      <c r="Q74" s="15"/>
      <c r="V74" s="24"/>
    </row>
    <row r="75" spans="1:22" ht="15" customHeight="1" x14ac:dyDescent="0.2">
      <c r="A75" s="14"/>
      <c r="B75" s="105"/>
      <c r="C75" s="14"/>
      <c r="D75" s="14"/>
      <c r="E75" s="14"/>
      <c r="F75" s="14"/>
      <c r="G75" s="14"/>
      <c r="P75" s="15"/>
      <c r="Q75" s="15"/>
    </row>
    <row r="76" spans="1:22" ht="15" customHeight="1" x14ac:dyDescent="0.2">
      <c r="A76" s="14"/>
      <c r="B76" s="105"/>
      <c r="C76" s="14"/>
      <c r="D76" s="14"/>
      <c r="E76" s="14"/>
      <c r="F76" s="14"/>
      <c r="G76" s="14"/>
      <c r="P76" s="15"/>
      <c r="Q76" s="15"/>
    </row>
    <row r="77" spans="1:22" ht="15" customHeight="1" x14ac:dyDescent="0.2">
      <c r="A77" s="14"/>
      <c r="B77" s="105"/>
      <c r="C77" s="14"/>
      <c r="D77" s="14"/>
      <c r="E77" s="14"/>
      <c r="F77" s="14"/>
      <c r="G77" s="14"/>
      <c r="P77" s="15"/>
      <c r="Q77" s="15"/>
    </row>
    <row r="78" spans="1:22" ht="15" customHeight="1" x14ac:dyDescent="0.2">
      <c r="A78" s="14"/>
      <c r="B78" s="105"/>
      <c r="C78" s="14"/>
      <c r="D78" s="14"/>
      <c r="E78" s="14"/>
      <c r="F78" s="14"/>
      <c r="G78" s="14"/>
    </row>
    <row r="79" spans="1:22" ht="15" customHeight="1" x14ac:dyDescent="0.2">
      <c r="A79" s="14"/>
      <c r="B79" s="105"/>
      <c r="C79" s="14"/>
      <c r="D79" s="14"/>
      <c r="E79" s="14"/>
      <c r="F79" s="14"/>
      <c r="G79" s="14"/>
    </row>
    <row r="80" spans="1:22" ht="15" customHeight="1" x14ac:dyDescent="0.2">
      <c r="A80" s="14"/>
      <c r="B80" s="105"/>
      <c r="C80" s="14"/>
      <c r="D80" s="14"/>
      <c r="E80" s="14"/>
      <c r="F80" s="14"/>
      <c r="G80" s="14"/>
    </row>
    <row r="81" spans="1:7" ht="15" customHeight="1" x14ac:dyDescent="0.2">
      <c r="A81" s="14"/>
      <c r="B81" s="105"/>
      <c r="C81" s="14"/>
      <c r="D81" s="14"/>
      <c r="E81" s="14"/>
      <c r="F81" s="14"/>
      <c r="G81" s="14"/>
    </row>
    <row r="82" spans="1:7" ht="15" customHeight="1" x14ac:dyDescent="0.2">
      <c r="A82" s="14"/>
      <c r="B82" s="105"/>
      <c r="C82" s="14"/>
      <c r="D82" s="14"/>
      <c r="E82" s="14"/>
      <c r="F82" s="14"/>
      <c r="G82" s="14"/>
    </row>
    <row r="83" spans="1:7" ht="15" customHeight="1" x14ac:dyDescent="0.2">
      <c r="A83" s="14"/>
      <c r="B83" s="105"/>
      <c r="C83" s="14"/>
      <c r="D83" s="14"/>
      <c r="E83" s="14"/>
      <c r="F83" s="14"/>
      <c r="G83" s="14"/>
    </row>
    <row r="84" spans="1:7" ht="15" customHeight="1" x14ac:dyDescent="0.2">
      <c r="A84" s="14"/>
      <c r="B84" s="105"/>
      <c r="C84" s="14"/>
      <c r="D84" s="14"/>
      <c r="E84" s="14"/>
      <c r="F84" s="14"/>
      <c r="G84" s="14"/>
    </row>
    <row r="85" spans="1:7" ht="15" customHeight="1" x14ac:dyDescent="0.2">
      <c r="A85" s="14"/>
      <c r="B85" s="105"/>
      <c r="C85" s="14"/>
      <c r="D85" s="14"/>
      <c r="E85" s="14"/>
      <c r="F85" s="14"/>
      <c r="G85" s="14"/>
    </row>
    <row r="86" spans="1:7" ht="15" customHeight="1" x14ac:dyDescent="0.2">
      <c r="A86" s="14"/>
      <c r="B86" s="105"/>
      <c r="C86" s="14"/>
      <c r="D86" s="14"/>
      <c r="E86" s="14"/>
      <c r="F86" s="14"/>
      <c r="G86" s="14"/>
    </row>
    <row r="87" spans="1:7" ht="15" customHeight="1" x14ac:dyDescent="0.2">
      <c r="A87" s="14"/>
      <c r="B87" s="105"/>
      <c r="C87" s="14"/>
      <c r="D87" s="14"/>
      <c r="E87" s="14"/>
      <c r="F87" s="14"/>
      <c r="G87" s="14"/>
    </row>
    <row r="88" spans="1:7" ht="15" customHeight="1" x14ac:dyDescent="0.2">
      <c r="A88" s="14"/>
      <c r="B88" s="105"/>
      <c r="C88" s="14"/>
      <c r="D88" s="14"/>
      <c r="E88" s="14"/>
      <c r="F88" s="14"/>
      <c r="G88" s="14"/>
    </row>
    <row r="89" spans="1:7" ht="15" customHeight="1" x14ac:dyDescent="0.2">
      <c r="A89" s="14"/>
      <c r="B89" s="105"/>
      <c r="C89" s="14"/>
      <c r="D89" s="14"/>
      <c r="E89" s="14"/>
      <c r="F89" s="14"/>
      <c r="G89" s="14"/>
    </row>
    <row r="90" spans="1:7" ht="15" customHeight="1" x14ac:dyDescent="0.2">
      <c r="A90" s="14"/>
      <c r="B90" s="105"/>
      <c r="C90" s="14"/>
      <c r="D90" s="14"/>
      <c r="E90" s="14"/>
      <c r="F90" s="14"/>
      <c r="G90" s="14"/>
    </row>
    <row r="91" spans="1:7" ht="15" customHeight="1" x14ac:dyDescent="0.2">
      <c r="A91" s="14"/>
      <c r="B91" s="105"/>
      <c r="C91" s="14"/>
      <c r="D91" s="14"/>
      <c r="E91" s="14"/>
      <c r="F91" s="14"/>
      <c r="G91" s="14"/>
    </row>
    <row r="92" spans="1:7" ht="15" customHeight="1" x14ac:dyDescent="0.2">
      <c r="A92" s="14"/>
      <c r="B92" s="105"/>
      <c r="C92" s="14"/>
      <c r="D92" s="14"/>
      <c r="E92" s="14"/>
      <c r="F92" s="14"/>
      <c r="G92" s="14"/>
    </row>
    <row r="93" spans="1:7" ht="15" customHeight="1" x14ac:dyDescent="0.2">
      <c r="A93" s="14"/>
      <c r="B93" s="105"/>
      <c r="C93" s="14"/>
      <c r="D93" s="14"/>
      <c r="E93" s="14"/>
      <c r="F93" s="14"/>
      <c r="G93" s="14"/>
    </row>
    <row r="94" spans="1:7" ht="15" customHeight="1" x14ac:dyDescent="0.2">
      <c r="A94" s="14"/>
      <c r="B94" s="105"/>
      <c r="C94" s="14"/>
      <c r="D94" s="14"/>
      <c r="E94" s="14"/>
      <c r="F94" s="14"/>
      <c r="G94" s="14"/>
    </row>
    <row r="95" spans="1:7" ht="15" customHeight="1" x14ac:dyDescent="0.2">
      <c r="A95" s="14"/>
      <c r="B95" s="105"/>
      <c r="C95" s="14"/>
      <c r="D95" s="14"/>
      <c r="E95" s="14"/>
      <c r="F95" s="14"/>
      <c r="G95" s="14"/>
    </row>
    <row r="96" spans="1:7" ht="15" customHeight="1" x14ac:dyDescent="0.2">
      <c r="A96" s="14"/>
      <c r="B96" s="105"/>
      <c r="C96" s="14"/>
      <c r="D96" s="14"/>
      <c r="E96" s="14"/>
      <c r="F96" s="14"/>
      <c r="G96" s="14"/>
    </row>
    <row r="97" spans="1:7" ht="15" customHeight="1" x14ac:dyDescent="0.2">
      <c r="A97" s="14"/>
      <c r="B97" s="105"/>
      <c r="C97" s="14"/>
      <c r="D97" s="14"/>
      <c r="E97" s="14"/>
      <c r="F97" s="14"/>
      <c r="G97" s="14"/>
    </row>
    <row r="98" spans="1:7" ht="15" customHeight="1" x14ac:dyDescent="0.2">
      <c r="A98" s="14"/>
      <c r="B98" s="105"/>
      <c r="C98" s="14"/>
      <c r="D98" s="14"/>
      <c r="E98" s="14"/>
      <c r="F98" s="14"/>
      <c r="G98" s="14"/>
    </row>
    <row r="99" spans="1:7" ht="15" customHeight="1" x14ac:dyDescent="0.2">
      <c r="A99" s="14"/>
      <c r="B99" s="105"/>
      <c r="C99" s="14"/>
      <c r="D99" s="14"/>
      <c r="E99" s="14"/>
      <c r="F99" s="14"/>
      <c r="G99" s="14"/>
    </row>
    <row r="100" spans="1:7" ht="15" customHeight="1" x14ac:dyDescent="0.2">
      <c r="A100" s="14"/>
      <c r="B100" s="105"/>
      <c r="C100" s="14"/>
      <c r="D100" s="14"/>
      <c r="E100" s="14"/>
      <c r="F100" s="14"/>
      <c r="G100" s="14"/>
    </row>
    <row r="101" spans="1:7" ht="15" customHeight="1" x14ac:dyDescent="0.2">
      <c r="A101" s="14"/>
      <c r="B101" s="105"/>
      <c r="C101" s="14"/>
      <c r="D101" s="14"/>
      <c r="E101" s="14"/>
      <c r="F101" s="14"/>
      <c r="G101" s="14"/>
    </row>
    <row r="102" spans="1:7" ht="15" customHeight="1" x14ac:dyDescent="0.2">
      <c r="A102" s="14"/>
      <c r="B102" s="105"/>
      <c r="C102" s="14"/>
      <c r="D102" s="14"/>
      <c r="E102" s="14"/>
      <c r="F102" s="14"/>
      <c r="G102" s="14"/>
    </row>
    <row r="103" spans="1:7" ht="15" customHeight="1" x14ac:dyDescent="0.2">
      <c r="A103" s="14"/>
      <c r="B103" s="105"/>
      <c r="C103" s="14"/>
      <c r="D103" s="14"/>
      <c r="E103" s="14"/>
      <c r="F103" s="14"/>
      <c r="G103" s="14"/>
    </row>
    <row r="104" spans="1:7" ht="15" customHeight="1" x14ac:dyDescent="0.2">
      <c r="A104" s="14"/>
      <c r="B104" s="105"/>
      <c r="C104" s="14"/>
      <c r="D104" s="14"/>
      <c r="E104" s="14"/>
      <c r="F104" s="14"/>
      <c r="G104" s="14"/>
    </row>
    <row r="105" spans="1:7" ht="15" customHeight="1" x14ac:dyDescent="0.2">
      <c r="A105" s="14"/>
      <c r="B105" s="105"/>
      <c r="C105" s="14"/>
      <c r="D105" s="14"/>
      <c r="E105" s="14"/>
      <c r="F105" s="14"/>
      <c r="G105" s="14"/>
    </row>
    <row r="106" spans="1:7" ht="15" customHeight="1" x14ac:dyDescent="0.2">
      <c r="A106" s="14"/>
      <c r="B106" s="105"/>
      <c r="C106" s="14"/>
      <c r="D106" s="14"/>
      <c r="E106" s="14"/>
      <c r="F106" s="14"/>
      <c r="G106" s="14"/>
    </row>
    <row r="107" spans="1:7" ht="15" customHeight="1" x14ac:dyDescent="0.2">
      <c r="A107" s="14"/>
      <c r="B107" s="105"/>
      <c r="C107" s="14"/>
      <c r="D107" s="14"/>
      <c r="E107" s="14"/>
      <c r="F107" s="14"/>
      <c r="G107" s="14"/>
    </row>
    <row r="108" spans="1:7" ht="15" customHeight="1" x14ac:dyDescent="0.2">
      <c r="A108" s="14"/>
      <c r="B108" s="105"/>
      <c r="C108" s="14"/>
      <c r="D108" s="14"/>
      <c r="E108" s="14"/>
      <c r="F108" s="14"/>
      <c r="G108" s="14"/>
    </row>
    <row r="109" spans="1:7" ht="15" customHeight="1" x14ac:dyDescent="0.2">
      <c r="A109" s="14"/>
      <c r="B109" s="105"/>
      <c r="C109" s="14"/>
      <c r="D109" s="14"/>
      <c r="E109" s="14"/>
      <c r="F109" s="14"/>
      <c r="G109" s="14"/>
    </row>
    <row r="110" spans="1:7" ht="15" customHeight="1" x14ac:dyDescent="0.2">
      <c r="A110" s="14"/>
      <c r="B110" s="105"/>
      <c r="C110" s="14"/>
      <c r="D110" s="14"/>
      <c r="E110" s="14"/>
      <c r="F110" s="14"/>
      <c r="G110" s="14"/>
    </row>
    <row r="111" spans="1:7" ht="15" customHeight="1" x14ac:dyDescent="0.2">
      <c r="A111" s="14"/>
      <c r="B111" s="105"/>
      <c r="C111" s="14"/>
      <c r="D111" s="14"/>
      <c r="E111" s="14"/>
      <c r="F111" s="14"/>
      <c r="G111" s="14"/>
    </row>
    <row r="112" spans="1:7" ht="15" customHeight="1" x14ac:dyDescent="0.2">
      <c r="A112" s="14"/>
      <c r="B112" s="105"/>
      <c r="C112" s="14"/>
      <c r="D112" s="14"/>
      <c r="E112" s="14"/>
      <c r="F112" s="14"/>
      <c r="G112" s="14"/>
    </row>
    <row r="113" spans="1:7" ht="15" customHeight="1" x14ac:dyDescent="0.2">
      <c r="A113" s="14"/>
      <c r="B113" s="105"/>
      <c r="C113" s="14"/>
      <c r="D113" s="14"/>
      <c r="E113" s="14"/>
      <c r="F113" s="14"/>
      <c r="G113" s="14"/>
    </row>
    <row r="114" spans="1:7" ht="15" customHeight="1" x14ac:dyDescent="0.2">
      <c r="A114" s="14"/>
      <c r="B114" s="105"/>
      <c r="C114" s="14"/>
      <c r="D114" s="14"/>
      <c r="E114" s="14"/>
      <c r="F114" s="14"/>
      <c r="G114" s="14"/>
    </row>
    <row r="115" spans="1:7" ht="15" customHeight="1" x14ac:dyDescent="0.2">
      <c r="A115" s="14"/>
      <c r="B115" s="105"/>
      <c r="C115" s="14"/>
      <c r="D115" s="14"/>
      <c r="E115" s="14"/>
      <c r="F115" s="14"/>
      <c r="G115" s="14"/>
    </row>
    <row r="116" spans="1:7" ht="15" customHeight="1" x14ac:dyDescent="0.2">
      <c r="A116" s="14"/>
      <c r="B116" s="105"/>
      <c r="C116" s="14"/>
      <c r="D116" s="14"/>
      <c r="E116" s="14"/>
      <c r="F116" s="14"/>
      <c r="G116" s="14"/>
    </row>
    <row r="117" spans="1:7" ht="15" customHeight="1" x14ac:dyDescent="0.2">
      <c r="A117" s="14"/>
      <c r="B117" s="105"/>
      <c r="C117" s="14"/>
      <c r="D117" s="14"/>
      <c r="E117" s="14"/>
      <c r="F117" s="14"/>
      <c r="G117" s="14"/>
    </row>
    <row r="118" spans="1:7" ht="15" customHeight="1" x14ac:dyDescent="0.2">
      <c r="A118" s="14"/>
      <c r="B118" s="105"/>
      <c r="C118" s="14"/>
      <c r="D118" s="14"/>
      <c r="E118" s="14"/>
      <c r="F118" s="14"/>
      <c r="G118" s="14"/>
    </row>
    <row r="119" spans="1:7" ht="15" customHeight="1" x14ac:dyDescent="0.2">
      <c r="A119" s="14"/>
      <c r="B119" s="105"/>
      <c r="C119" s="14"/>
      <c r="D119" s="14"/>
      <c r="E119" s="14"/>
      <c r="F119" s="14"/>
      <c r="G119" s="14"/>
    </row>
    <row r="120" spans="1:7" ht="15" customHeight="1" x14ac:dyDescent="0.2">
      <c r="A120" s="14"/>
      <c r="B120" s="105"/>
      <c r="C120" s="14"/>
      <c r="D120" s="14"/>
      <c r="E120" s="14"/>
      <c r="F120" s="14"/>
      <c r="G120" s="14"/>
    </row>
    <row r="121" spans="1:7" ht="15" customHeight="1" x14ac:dyDescent="0.2">
      <c r="A121" s="14"/>
      <c r="B121" s="105"/>
      <c r="C121" s="14"/>
      <c r="D121" s="14"/>
      <c r="E121" s="14"/>
      <c r="F121" s="14"/>
      <c r="G121" s="14"/>
    </row>
    <row r="122" spans="1:7" ht="15" customHeight="1" x14ac:dyDescent="0.2">
      <c r="A122" s="14"/>
      <c r="B122" s="105"/>
      <c r="C122" s="14"/>
      <c r="D122" s="14"/>
      <c r="E122" s="14"/>
      <c r="F122" s="14"/>
      <c r="G122" s="14"/>
    </row>
    <row r="123" spans="1:7" ht="15" customHeight="1" x14ac:dyDescent="0.2">
      <c r="A123" s="14"/>
      <c r="B123" s="105"/>
      <c r="C123" s="14"/>
      <c r="D123" s="14"/>
      <c r="E123" s="14"/>
      <c r="F123" s="14"/>
      <c r="G123" s="14"/>
    </row>
    <row r="124" spans="1:7" ht="15" customHeight="1" x14ac:dyDescent="0.2">
      <c r="A124" s="14"/>
      <c r="B124" s="105"/>
      <c r="C124" s="14"/>
      <c r="D124" s="14"/>
      <c r="E124" s="14"/>
      <c r="F124" s="14"/>
      <c r="G124" s="14"/>
    </row>
    <row r="125" spans="1:7" ht="15" customHeight="1" x14ac:dyDescent="0.2">
      <c r="A125" s="14"/>
      <c r="B125" s="105"/>
      <c r="C125" s="14"/>
      <c r="D125" s="14"/>
      <c r="E125" s="14"/>
      <c r="F125" s="14"/>
      <c r="G125" s="14"/>
    </row>
    <row r="126" spans="1:7" ht="15" customHeight="1" x14ac:dyDescent="0.2">
      <c r="A126" s="14"/>
      <c r="B126" s="105"/>
      <c r="C126" s="14"/>
      <c r="D126" s="14"/>
      <c r="E126" s="14"/>
      <c r="F126" s="14"/>
      <c r="G126" s="14"/>
    </row>
    <row r="127" spans="1:7" ht="15" customHeight="1" x14ac:dyDescent="0.2">
      <c r="A127" s="14"/>
      <c r="B127" s="105"/>
      <c r="C127" s="14"/>
      <c r="D127" s="14"/>
      <c r="E127" s="14"/>
      <c r="F127" s="14"/>
      <c r="G127" s="14"/>
    </row>
    <row r="128" spans="1:7" ht="15" customHeight="1" x14ac:dyDescent="0.2">
      <c r="A128" s="14"/>
      <c r="B128" s="105"/>
      <c r="C128" s="14"/>
      <c r="D128" s="14"/>
      <c r="E128" s="14"/>
      <c r="F128" s="14"/>
      <c r="G128" s="14"/>
    </row>
    <row r="129" spans="1:7" ht="15" customHeight="1" x14ac:dyDescent="0.2">
      <c r="A129" s="14"/>
      <c r="B129" s="105"/>
      <c r="C129" s="14"/>
      <c r="D129" s="14"/>
      <c r="E129" s="14"/>
      <c r="F129" s="14"/>
      <c r="G129" s="14"/>
    </row>
    <row r="130" spans="1:7" ht="15" customHeight="1" x14ac:dyDescent="0.2">
      <c r="A130" s="14"/>
      <c r="B130" s="105"/>
      <c r="C130" s="14"/>
      <c r="D130" s="14"/>
      <c r="E130" s="14"/>
      <c r="F130" s="14"/>
      <c r="G130" s="14"/>
    </row>
    <row r="131" spans="1:7" ht="15" customHeight="1" x14ac:dyDescent="0.2">
      <c r="A131" s="14"/>
      <c r="B131" s="105"/>
      <c r="C131" s="14"/>
      <c r="D131" s="14"/>
      <c r="E131" s="14"/>
      <c r="F131" s="14"/>
      <c r="G131" s="14"/>
    </row>
    <row r="132" spans="1:7" ht="15" customHeight="1" x14ac:dyDescent="0.2">
      <c r="A132" s="14"/>
      <c r="B132" s="105"/>
      <c r="C132" s="14"/>
      <c r="D132" s="14"/>
      <c r="E132" s="14"/>
      <c r="F132" s="14"/>
      <c r="G132" s="14"/>
    </row>
    <row r="133" spans="1:7" ht="15" customHeight="1" x14ac:dyDescent="0.2">
      <c r="A133" s="14"/>
      <c r="B133" s="105"/>
      <c r="C133" s="14"/>
      <c r="D133" s="14"/>
      <c r="E133" s="14"/>
      <c r="F133" s="14"/>
      <c r="G133" s="14"/>
    </row>
    <row r="134" spans="1:7" ht="15" customHeight="1" x14ac:dyDescent="0.2">
      <c r="A134" s="14"/>
      <c r="B134" s="105"/>
      <c r="C134" s="14"/>
      <c r="D134" s="14"/>
      <c r="E134" s="14"/>
      <c r="F134" s="14"/>
      <c r="G134" s="14"/>
    </row>
    <row r="135" spans="1:7" ht="15" customHeight="1" x14ac:dyDescent="0.2">
      <c r="A135" s="14"/>
      <c r="B135" s="105"/>
      <c r="C135" s="14"/>
      <c r="D135" s="14"/>
      <c r="E135" s="14"/>
      <c r="F135" s="14"/>
      <c r="G135" s="14"/>
    </row>
    <row r="136" spans="1:7" ht="15" customHeight="1" x14ac:dyDescent="0.2">
      <c r="A136" s="14"/>
      <c r="B136" s="105"/>
      <c r="C136" s="14"/>
      <c r="D136" s="14"/>
      <c r="E136" s="14"/>
      <c r="F136" s="14"/>
      <c r="G136" s="14"/>
    </row>
    <row r="137" spans="1:7" ht="15" customHeight="1" x14ac:dyDescent="0.2">
      <c r="A137" s="14"/>
      <c r="B137" s="105"/>
      <c r="C137" s="14"/>
      <c r="D137" s="14"/>
      <c r="E137" s="14"/>
      <c r="F137" s="14"/>
      <c r="G137" s="14"/>
    </row>
    <row r="138" spans="1:7" ht="15" customHeight="1" x14ac:dyDescent="0.2">
      <c r="A138" s="14"/>
      <c r="B138" s="105"/>
      <c r="C138" s="14"/>
      <c r="D138" s="14"/>
      <c r="E138" s="14"/>
      <c r="F138" s="14"/>
      <c r="G138" s="14"/>
    </row>
    <row r="139" spans="1:7" ht="15" customHeight="1" x14ac:dyDescent="0.2">
      <c r="A139" s="14"/>
      <c r="B139" s="105"/>
      <c r="C139" s="14"/>
      <c r="D139" s="14"/>
      <c r="E139" s="14"/>
      <c r="F139" s="14"/>
      <c r="G139" s="14"/>
    </row>
    <row r="140" spans="1:7" ht="15" customHeight="1" x14ac:dyDescent="0.2">
      <c r="A140" s="14"/>
      <c r="B140" s="105"/>
      <c r="C140" s="14"/>
      <c r="D140" s="14"/>
      <c r="E140" s="14"/>
      <c r="F140" s="14"/>
      <c r="G140" s="14"/>
    </row>
    <row r="141" spans="1:7" ht="15" customHeight="1" x14ac:dyDescent="0.2">
      <c r="A141" s="14"/>
      <c r="B141" s="105"/>
      <c r="C141" s="14"/>
      <c r="D141" s="14"/>
      <c r="E141" s="14"/>
      <c r="F141" s="14"/>
      <c r="G141" s="14"/>
    </row>
    <row r="142" spans="1:7" ht="15" customHeight="1" x14ac:dyDescent="0.2">
      <c r="A142" s="14"/>
      <c r="B142" s="105"/>
      <c r="C142" s="14"/>
      <c r="D142" s="14"/>
      <c r="E142" s="14"/>
      <c r="F142" s="14"/>
      <c r="G142" s="14"/>
    </row>
    <row r="143" spans="1:7" ht="15" customHeight="1" x14ac:dyDescent="0.2">
      <c r="A143" s="14"/>
      <c r="B143" s="105"/>
      <c r="C143" s="14"/>
      <c r="D143" s="14"/>
      <c r="E143" s="14"/>
      <c r="F143" s="14"/>
      <c r="G143" s="14"/>
    </row>
    <row r="144" spans="1:7" ht="15" customHeight="1" x14ac:dyDescent="0.2">
      <c r="A144" s="14"/>
      <c r="B144" s="105"/>
      <c r="C144" s="14"/>
      <c r="D144" s="14"/>
      <c r="E144" s="14"/>
      <c r="F144" s="14"/>
      <c r="G144" s="14"/>
    </row>
    <row r="145" spans="1:7" ht="15" customHeight="1" x14ac:dyDescent="0.2">
      <c r="A145" s="14"/>
      <c r="B145" s="105"/>
      <c r="C145" s="14"/>
      <c r="D145" s="14"/>
      <c r="E145" s="14"/>
      <c r="F145" s="14"/>
      <c r="G145" s="14"/>
    </row>
    <row r="146" spans="1:7" ht="15" customHeight="1" x14ac:dyDescent="0.2">
      <c r="A146" s="14"/>
      <c r="B146" s="105"/>
      <c r="C146" s="14"/>
      <c r="D146" s="14"/>
      <c r="E146" s="14"/>
      <c r="F146" s="14"/>
      <c r="G146" s="14"/>
    </row>
    <row r="147" spans="1:7" ht="15" customHeight="1" x14ac:dyDescent="0.2">
      <c r="A147" s="14"/>
      <c r="B147" s="105"/>
      <c r="C147" s="14"/>
      <c r="D147" s="14"/>
      <c r="E147" s="14"/>
      <c r="F147" s="14"/>
      <c r="G147" s="14"/>
    </row>
    <row r="148" spans="1:7" ht="15" customHeight="1" x14ac:dyDescent="0.2">
      <c r="A148" s="14"/>
      <c r="B148" s="105"/>
      <c r="C148" s="14"/>
      <c r="D148" s="14"/>
      <c r="E148" s="14"/>
      <c r="F148" s="14"/>
      <c r="G148" s="14"/>
    </row>
    <row r="149" spans="1:7" ht="15" customHeight="1" x14ac:dyDescent="0.2">
      <c r="A149" s="14"/>
      <c r="B149" s="105"/>
      <c r="C149" s="14"/>
      <c r="D149" s="14"/>
      <c r="E149" s="14"/>
      <c r="F149" s="14"/>
      <c r="G149" s="14"/>
    </row>
    <row r="150" spans="1:7" ht="15" customHeight="1" x14ac:dyDescent="0.2">
      <c r="A150" s="14"/>
      <c r="B150" s="105"/>
      <c r="C150" s="14"/>
      <c r="D150" s="14"/>
      <c r="E150" s="14"/>
      <c r="F150" s="14"/>
      <c r="G150" s="14"/>
    </row>
    <row r="151" spans="1:7" ht="15" customHeight="1" x14ac:dyDescent="0.2">
      <c r="A151" s="14"/>
      <c r="B151" s="105"/>
      <c r="C151" s="14"/>
      <c r="D151" s="14"/>
      <c r="E151" s="14"/>
      <c r="F151" s="14"/>
      <c r="G151" s="14"/>
    </row>
    <row r="152" spans="1:7" ht="15" customHeight="1" x14ac:dyDescent="0.2">
      <c r="A152" s="14"/>
      <c r="B152" s="105"/>
      <c r="C152" s="14"/>
      <c r="D152" s="14"/>
      <c r="E152" s="14"/>
      <c r="F152" s="14"/>
      <c r="G152" s="14"/>
    </row>
    <row r="153" spans="1:7" ht="15" customHeight="1" x14ac:dyDescent="0.2">
      <c r="A153" s="14"/>
      <c r="B153" s="105"/>
      <c r="C153" s="14"/>
      <c r="D153" s="14"/>
      <c r="E153" s="14"/>
      <c r="F153" s="14"/>
      <c r="G153" s="14"/>
    </row>
    <row r="154" spans="1:7" ht="15" customHeight="1" x14ac:dyDescent="0.2">
      <c r="A154" s="14"/>
      <c r="B154" s="105"/>
      <c r="C154" s="14"/>
      <c r="D154" s="14"/>
      <c r="E154" s="14"/>
      <c r="F154" s="14"/>
      <c r="G154" s="14"/>
    </row>
    <row r="155" spans="1:7" ht="15" customHeight="1" x14ac:dyDescent="0.2">
      <c r="A155" s="14"/>
      <c r="B155" s="105"/>
      <c r="C155" s="14"/>
      <c r="D155" s="14"/>
      <c r="E155" s="14"/>
      <c r="F155" s="14"/>
      <c r="G155" s="14"/>
    </row>
    <row r="156" spans="1:7" ht="15" customHeight="1" x14ac:dyDescent="0.2">
      <c r="A156" s="14"/>
      <c r="B156" s="105"/>
      <c r="C156" s="14"/>
      <c r="D156" s="14"/>
      <c r="E156" s="14"/>
      <c r="F156" s="14"/>
      <c r="G156" s="14"/>
    </row>
    <row r="157" spans="1:7" ht="15" customHeight="1" x14ac:dyDescent="0.2">
      <c r="A157" s="14"/>
      <c r="B157" s="105"/>
      <c r="C157" s="14"/>
      <c r="D157" s="14"/>
      <c r="E157" s="14"/>
      <c r="F157" s="14"/>
      <c r="G157" s="14"/>
    </row>
    <row r="158" spans="1:7" ht="15" customHeight="1" x14ac:dyDescent="0.2">
      <c r="A158" s="14"/>
      <c r="B158" s="105"/>
      <c r="C158" s="14"/>
      <c r="D158" s="14"/>
      <c r="E158" s="14"/>
      <c r="F158" s="14"/>
      <c r="G158" s="14"/>
    </row>
    <row r="159" spans="1:7" ht="15" customHeight="1" x14ac:dyDescent="0.2">
      <c r="A159" s="14"/>
      <c r="B159" s="105"/>
      <c r="C159" s="14"/>
      <c r="D159" s="14"/>
      <c r="E159" s="14"/>
      <c r="F159" s="14"/>
      <c r="G159" s="14"/>
    </row>
    <row r="160" spans="1:7" ht="15" customHeight="1" x14ac:dyDescent="0.2">
      <c r="A160" s="14"/>
      <c r="B160" s="105"/>
      <c r="C160" s="14"/>
      <c r="D160" s="14"/>
      <c r="E160" s="14"/>
      <c r="F160" s="14"/>
      <c r="G160" s="14"/>
    </row>
    <row r="161" spans="1:7" ht="15" customHeight="1" x14ac:dyDescent="0.2">
      <c r="A161" s="14"/>
      <c r="B161" s="105"/>
      <c r="C161" s="14"/>
      <c r="D161" s="14"/>
      <c r="E161" s="14"/>
      <c r="F161" s="14"/>
      <c r="G161" s="14"/>
    </row>
    <row r="162" spans="1:7" ht="15" customHeight="1" x14ac:dyDescent="0.2">
      <c r="A162" s="14"/>
      <c r="B162" s="105"/>
      <c r="C162" s="14"/>
      <c r="D162" s="14"/>
      <c r="E162" s="14"/>
      <c r="F162" s="14"/>
      <c r="G162" s="14"/>
    </row>
    <row r="163" spans="1:7" ht="15" customHeight="1" x14ac:dyDescent="0.2">
      <c r="A163" s="14"/>
      <c r="B163" s="105"/>
      <c r="C163" s="14"/>
      <c r="D163" s="14"/>
      <c r="E163" s="14"/>
      <c r="F163" s="14"/>
      <c r="G163" s="14"/>
    </row>
    <row r="164" spans="1:7" ht="15" customHeight="1" x14ac:dyDescent="0.2">
      <c r="A164" s="14"/>
      <c r="B164" s="105"/>
      <c r="C164" s="14"/>
      <c r="D164" s="14"/>
      <c r="E164" s="14"/>
      <c r="F164" s="14"/>
      <c r="G164" s="14"/>
    </row>
    <row r="165" spans="1:7" ht="15" customHeight="1" x14ac:dyDescent="0.2">
      <c r="A165" s="14"/>
      <c r="B165" s="105"/>
      <c r="C165" s="14"/>
      <c r="D165" s="14"/>
      <c r="E165" s="14"/>
      <c r="F165" s="14"/>
      <c r="G165" s="14"/>
    </row>
    <row r="166" spans="1:7" ht="15" customHeight="1" x14ac:dyDescent="0.2">
      <c r="A166" s="14"/>
      <c r="B166" s="105"/>
      <c r="C166" s="14"/>
      <c r="D166" s="14"/>
      <c r="E166" s="14"/>
      <c r="F166" s="14"/>
      <c r="G166" s="14"/>
    </row>
    <row r="167" spans="1:7" ht="15" customHeight="1" x14ac:dyDescent="0.2">
      <c r="A167" s="14"/>
      <c r="B167" s="105"/>
      <c r="C167" s="14"/>
      <c r="D167" s="14"/>
      <c r="E167" s="14"/>
      <c r="F167" s="14"/>
      <c r="G167" s="14"/>
    </row>
    <row r="168" spans="1:7" ht="15" customHeight="1" x14ac:dyDescent="0.2">
      <c r="A168" s="14"/>
      <c r="B168" s="105"/>
      <c r="C168" s="14"/>
      <c r="D168" s="14"/>
      <c r="E168" s="14"/>
      <c r="F168" s="14"/>
      <c r="G168" s="14"/>
    </row>
    <row r="169" spans="1:7" ht="15" customHeight="1" x14ac:dyDescent="0.2">
      <c r="A169" s="14"/>
      <c r="B169" s="105"/>
      <c r="C169" s="14"/>
      <c r="D169" s="14"/>
      <c r="E169" s="14"/>
      <c r="F169" s="14"/>
      <c r="G169" s="14"/>
    </row>
    <row r="170" spans="1:7" ht="15" customHeight="1" x14ac:dyDescent="0.2">
      <c r="A170" s="14"/>
      <c r="B170" s="105"/>
      <c r="C170" s="14"/>
      <c r="D170" s="14"/>
      <c r="E170" s="14"/>
      <c r="F170" s="14"/>
      <c r="G170" s="14"/>
    </row>
    <row r="171" spans="1:7" ht="15" customHeight="1" x14ac:dyDescent="0.2">
      <c r="A171" s="14"/>
      <c r="B171" s="105"/>
      <c r="C171" s="14"/>
      <c r="D171" s="14"/>
      <c r="E171" s="14"/>
      <c r="F171" s="14"/>
      <c r="G171" s="14"/>
    </row>
    <row r="172" spans="1:7" ht="15" customHeight="1" x14ac:dyDescent="0.2">
      <c r="A172" s="14"/>
      <c r="B172" s="105"/>
      <c r="C172" s="14"/>
      <c r="D172" s="14"/>
      <c r="E172" s="14"/>
      <c r="F172" s="14"/>
      <c r="G172" s="14"/>
    </row>
    <row r="173" spans="1:7" ht="15" customHeight="1" x14ac:dyDescent="0.2">
      <c r="A173" s="14"/>
      <c r="B173" s="105"/>
      <c r="C173" s="14"/>
      <c r="D173" s="14"/>
      <c r="E173" s="14"/>
      <c r="F173" s="14"/>
      <c r="G173" s="14"/>
    </row>
    <row r="174" spans="1:7" ht="15" customHeight="1" x14ac:dyDescent="0.2">
      <c r="A174" s="14"/>
      <c r="B174" s="105"/>
      <c r="C174" s="14"/>
      <c r="D174" s="14"/>
      <c r="E174" s="14"/>
      <c r="F174" s="14"/>
      <c r="G174" s="14"/>
    </row>
    <row r="175" spans="1:7" ht="15" customHeight="1" x14ac:dyDescent="0.2">
      <c r="A175" s="14"/>
      <c r="B175" s="105"/>
      <c r="C175" s="14"/>
      <c r="D175" s="14"/>
      <c r="E175" s="14"/>
      <c r="F175" s="14"/>
      <c r="G175" s="14"/>
    </row>
    <row r="176" spans="1:7" ht="15" customHeight="1" x14ac:dyDescent="0.2">
      <c r="A176" s="14"/>
      <c r="B176" s="105"/>
      <c r="C176" s="14"/>
      <c r="D176" s="14"/>
      <c r="E176" s="14"/>
      <c r="F176" s="14"/>
      <c r="G176" s="14"/>
    </row>
    <row r="177" spans="1:7" ht="15" customHeight="1" x14ac:dyDescent="0.2">
      <c r="A177" s="14"/>
      <c r="B177" s="105"/>
      <c r="C177" s="14"/>
      <c r="D177" s="14"/>
      <c r="E177" s="14"/>
      <c r="F177" s="14"/>
      <c r="G177" s="14"/>
    </row>
    <row r="178" spans="1:7" ht="15" customHeight="1" x14ac:dyDescent="0.2">
      <c r="A178" s="14"/>
      <c r="B178" s="105"/>
      <c r="C178" s="14"/>
      <c r="D178" s="14"/>
      <c r="E178" s="14"/>
      <c r="F178" s="14"/>
      <c r="G178" s="14"/>
    </row>
    <row r="179" spans="1:7" ht="15" customHeight="1" x14ac:dyDescent="0.2">
      <c r="A179" s="14"/>
      <c r="B179" s="105"/>
      <c r="C179" s="14"/>
      <c r="D179" s="14"/>
      <c r="E179" s="14"/>
      <c r="F179" s="14"/>
      <c r="G179" s="14"/>
    </row>
    <row r="180" spans="1:7" ht="15" customHeight="1" x14ac:dyDescent="0.2">
      <c r="A180" s="14"/>
      <c r="B180" s="105"/>
      <c r="C180" s="14"/>
      <c r="D180" s="14"/>
      <c r="E180" s="14"/>
      <c r="F180" s="14"/>
      <c r="G180" s="14"/>
    </row>
    <row r="181" spans="1:7" ht="15" customHeight="1" x14ac:dyDescent="0.2">
      <c r="A181" s="14"/>
      <c r="B181" s="105"/>
      <c r="C181" s="14"/>
      <c r="D181" s="14"/>
      <c r="E181" s="14"/>
      <c r="F181" s="14"/>
      <c r="G181" s="14"/>
    </row>
    <row r="182" spans="1:7" ht="15" customHeight="1" x14ac:dyDescent="0.2">
      <c r="A182" s="14"/>
      <c r="B182" s="105"/>
      <c r="C182" s="14"/>
      <c r="D182" s="14"/>
      <c r="E182" s="14"/>
      <c r="F182" s="14"/>
      <c r="G182" s="14"/>
    </row>
    <row r="183" spans="1:7" ht="15" customHeight="1" x14ac:dyDescent="0.2">
      <c r="A183" s="14"/>
      <c r="B183" s="105"/>
      <c r="C183" s="14"/>
      <c r="D183" s="14"/>
      <c r="E183" s="14"/>
      <c r="F183" s="14"/>
      <c r="G183" s="14"/>
    </row>
    <row r="184" spans="1:7" ht="15" customHeight="1" x14ac:dyDescent="0.2">
      <c r="A184" s="14"/>
      <c r="B184" s="105"/>
      <c r="C184" s="14"/>
      <c r="D184" s="14"/>
      <c r="E184" s="14"/>
      <c r="F184" s="14"/>
      <c r="G184" s="14"/>
    </row>
    <row r="185" spans="1:7" ht="15" customHeight="1" x14ac:dyDescent="0.2">
      <c r="A185" s="14"/>
      <c r="B185" s="105"/>
      <c r="C185" s="14"/>
      <c r="D185" s="14"/>
      <c r="E185" s="14"/>
      <c r="F185" s="14"/>
      <c r="G185" s="14"/>
    </row>
    <row r="186" spans="1:7" ht="15" customHeight="1" x14ac:dyDescent="0.2">
      <c r="A186" s="14"/>
      <c r="B186" s="105"/>
      <c r="C186" s="14"/>
      <c r="D186" s="14"/>
      <c r="E186" s="14"/>
      <c r="F186" s="14"/>
      <c r="G186" s="14"/>
    </row>
    <row r="187" spans="1:7" ht="15" customHeight="1" x14ac:dyDescent="0.2">
      <c r="A187" s="14"/>
      <c r="B187" s="105"/>
      <c r="C187" s="14"/>
      <c r="D187" s="14"/>
      <c r="E187" s="14"/>
      <c r="F187" s="14"/>
      <c r="G187" s="14"/>
    </row>
    <row r="188" spans="1:7" ht="15" customHeight="1" x14ac:dyDescent="0.2">
      <c r="A188" s="14"/>
      <c r="B188" s="105"/>
      <c r="C188" s="14"/>
      <c r="D188" s="14"/>
      <c r="E188" s="14"/>
      <c r="F188" s="14"/>
      <c r="G188" s="14"/>
    </row>
    <row r="189" spans="1:7" ht="15" customHeight="1" x14ac:dyDescent="0.2">
      <c r="A189" s="14"/>
      <c r="B189" s="105"/>
      <c r="C189" s="14"/>
      <c r="D189" s="14"/>
      <c r="E189" s="14"/>
      <c r="F189" s="14"/>
      <c r="G189" s="14"/>
    </row>
    <row r="190" spans="1:7" ht="15" customHeight="1" x14ac:dyDescent="0.2">
      <c r="A190" s="14"/>
      <c r="B190" s="105"/>
      <c r="C190" s="14"/>
      <c r="D190" s="14"/>
      <c r="E190" s="14"/>
      <c r="F190" s="14"/>
      <c r="G190" s="14"/>
    </row>
    <row r="191" spans="1:7" ht="15" customHeight="1" x14ac:dyDescent="0.2">
      <c r="A191" s="14"/>
      <c r="B191" s="105"/>
      <c r="C191" s="14"/>
      <c r="D191" s="14"/>
      <c r="E191" s="14"/>
      <c r="F191" s="14"/>
      <c r="G191" s="14"/>
    </row>
    <row r="192" spans="1:7" ht="15" customHeight="1" x14ac:dyDescent="0.2">
      <c r="A192" s="14"/>
      <c r="B192" s="105"/>
      <c r="C192" s="14"/>
      <c r="D192" s="14"/>
      <c r="E192" s="14"/>
      <c r="F192" s="14"/>
      <c r="G192" s="14"/>
    </row>
    <row r="193" spans="1:7" ht="15" customHeight="1" x14ac:dyDescent="0.2">
      <c r="A193" s="14"/>
      <c r="B193" s="105"/>
      <c r="C193" s="14"/>
      <c r="D193" s="14"/>
      <c r="E193" s="14"/>
      <c r="F193" s="14"/>
      <c r="G193" s="14"/>
    </row>
    <row r="194" spans="1:7" ht="15" customHeight="1" x14ac:dyDescent="0.2">
      <c r="A194" s="14"/>
      <c r="B194" s="105"/>
      <c r="C194" s="14"/>
      <c r="D194" s="14"/>
      <c r="E194" s="14"/>
      <c r="F194" s="14"/>
      <c r="G194" s="14"/>
    </row>
    <row r="195" spans="1:7" ht="15" customHeight="1" x14ac:dyDescent="0.2">
      <c r="A195" s="14"/>
      <c r="B195" s="105"/>
      <c r="C195" s="14"/>
      <c r="D195" s="14"/>
      <c r="E195" s="14"/>
      <c r="F195" s="14"/>
      <c r="G195" s="14"/>
    </row>
    <row r="196" spans="1:7" ht="15" customHeight="1" x14ac:dyDescent="0.2">
      <c r="A196" s="14"/>
      <c r="B196" s="105"/>
      <c r="C196" s="14"/>
      <c r="D196" s="14"/>
      <c r="E196" s="14"/>
      <c r="F196" s="14"/>
      <c r="G196" s="14"/>
    </row>
    <row r="197" spans="1:7" ht="15" customHeight="1" x14ac:dyDescent="0.2">
      <c r="A197" s="14"/>
      <c r="B197" s="105"/>
      <c r="C197" s="14"/>
      <c r="D197" s="14"/>
      <c r="E197" s="14"/>
      <c r="F197" s="14"/>
      <c r="G197" s="14"/>
    </row>
    <row r="198" spans="1:7" ht="15" customHeight="1" x14ac:dyDescent="0.2">
      <c r="A198" s="14"/>
      <c r="B198" s="105"/>
      <c r="C198" s="14"/>
      <c r="D198" s="14"/>
      <c r="E198" s="14"/>
      <c r="F198" s="14"/>
      <c r="G198" s="14"/>
    </row>
    <row r="199" spans="1:7" ht="15" customHeight="1" x14ac:dyDescent="0.2">
      <c r="A199" s="14"/>
      <c r="B199" s="105"/>
      <c r="C199" s="14"/>
      <c r="D199" s="14"/>
      <c r="E199" s="14"/>
      <c r="F199" s="14"/>
      <c r="G199" s="14"/>
    </row>
    <row r="200" spans="1:7" ht="15" customHeight="1" x14ac:dyDescent="0.2">
      <c r="A200" s="14"/>
      <c r="B200" s="105"/>
      <c r="C200" s="14"/>
      <c r="D200" s="14"/>
      <c r="E200" s="14"/>
      <c r="F200" s="14"/>
      <c r="G200" s="14"/>
    </row>
    <row r="201" spans="1:7" ht="15" customHeight="1" x14ac:dyDescent="0.2">
      <c r="A201" s="14"/>
      <c r="B201" s="105"/>
      <c r="C201" s="14"/>
      <c r="D201" s="14"/>
      <c r="E201" s="14"/>
      <c r="F201" s="14"/>
      <c r="G201" s="14"/>
    </row>
    <row r="202" spans="1:7" ht="15" customHeight="1" x14ac:dyDescent="0.2">
      <c r="A202" s="14"/>
      <c r="B202" s="105"/>
      <c r="C202" s="14"/>
      <c r="D202" s="14"/>
      <c r="E202" s="14"/>
      <c r="F202" s="14"/>
      <c r="G202" s="14"/>
    </row>
    <row r="203" spans="1:7" ht="15" customHeight="1" x14ac:dyDescent="0.2">
      <c r="A203" s="14"/>
      <c r="B203" s="105"/>
      <c r="C203" s="14"/>
      <c r="D203" s="14"/>
      <c r="E203" s="14"/>
      <c r="F203" s="14"/>
      <c r="G203" s="14"/>
    </row>
    <row r="204" spans="1:7" ht="15" customHeight="1" x14ac:dyDescent="0.2">
      <c r="A204" s="14"/>
      <c r="B204" s="105"/>
      <c r="C204" s="14"/>
      <c r="D204" s="14"/>
      <c r="E204" s="14"/>
      <c r="F204" s="14"/>
      <c r="G204" s="14"/>
    </row>
    <row r="205" spans="1:7" ht="15" customHeight="1" x14ac:dyDescent="0.2">
      <c r="A205" s="14"/>
      <c r="B205" s="105"/>
      <c r="C205" s="14"/>
      <c r="D205" s="14"/>
      <c r="E205" s="14"/>
      <c r="F205" s="14"/>
      <c r="G205" s="14"/>
    </row>
    <row r="206" spans="1:7" ht="15" customHeight="1" x14ac:dyDescent="0.2">
      <c r="A206" s="14"/>
      <c r="B206" s="105"/>
      <c r="C206" s="14"/>
      <c r="D206" s="14"/>
      <c r="E206" s="14"/>
      <c r="F206" s="14"/>
      <c r="G206" s="14"/>
    </row>
    <row r="207" spans="1:7" ht="15" customHeight="1" x14ac:dyDescent="0.2">
      <c r="A207" s="14"/>
      <c r="B207" s="105"/>
      <c r="C207" s="14"/>
      <c r="D207" s="14"/>
      <c r="E207" s="14"/>
      <c r="F207" s="14"/>
      <c r="G207" s="14"/>
    </row>
    <row r="208" spans="1:7" ht="15" customHeight="1" x14ac:dyDescent="0.2">
      <c r="A208" s="14"/>
      <c r="B208" s="105"/>
      <c r="C208" s="14"/>
      <c r="D208" s="14"/>
      <c r="E208" s="14"/>
      <c r="F208" s="14"/>
      <c r="G208" s="14"/>
    </row>
    <row r="209" spans="1:7" ht="15" customHeight="1" x14ac:dyDescent="0.2">
      <c r="A209" s="14"/>
      <c r="B209" s="105"/>
      <c r="C209" s="14"/>
      <c r="D209" s="14"/>
      <c r="E209" s="14"/>
      <c r="F209" s="14"/>
      <c r="G209" s="14"/>
    </row>
    <row r="210" spans="1:7" ht="15" customHeight="1" x14ac:dyDescent="0.2">
      <c r="A210" s="14"/>
      <c r="B210" s="105"/>
      <c r="C210" s="14"/>
      <c r="D210" s="14"/>
      <c r="E210" s="14"/>
      <c r="F210" s="14"/>
      <c r="G210" s="14"/>
    </row>
    <row r="211" spans="1:7" ht="15" customHeight="1" x14ac:dyDescent="0.2">
      <c r="A211" s="14"/>
      <c r="B211" s="105"/>
      <c r="C211" s="14"/>
      <c r="D211" s="14"/>
      <c r="E211" s="14"/>
      <c r="F211" s="14"/>
      <c r="G211" s="14"/>
    </row>
    <row r="212" spans="1:7" ht="15" customHeight="1" x14ac:dyDescent="0.2">
      <c r="A212" s="14"/>
      <c r="B212" s="105"/>
      <c r="C212" s="14"/>
      <c r="D212" s="14"/>
      <c r="E212" s="14"/>
      <c r="F212" s="14"/>
      <c r="G212" s="14"/>
    </row>
    <row r="213" spans="1:7" ht="15" customHeight="1" x14ac:dyDescent="0.2">
      <c r="A213" s="14"/>
      <c r="B213" s="105"/>
      <c r="C213" s="14"/>
      <c r="D213" s="14"/>
      <c r="E213" s="14"/>
      <c r="F213" s="14"/>
      <c r="G213" s="14"/>
    </row>
    <row r="214" spans="1:7" ht="15" customHeight="1" x14ac:dyDescent="0.2">
      <c r="A214" s="14"/>
      <c r="B214" s="105"/>
      <c r="C214" s="14"/>
      <c r="D214" s="14"/>
      <c r="E214" s="14"/>
      <c r="F214" s="14"/>
      <c r="G214" s="14"/>
    </row>
    <row r="215" spans="1:7" ht="15" customHeight="1" x14ac:dyDescent="0.2">
      <c r="A215" s="14"/>
      <c r="B215" s="105"/>
      <c r="C215" s="14"/>
      <c r="D215" s="14"/>
      <c r="E215" s="14"/>
      <c r="F215" s="14"/>
      <c r="G215" s="14"/>
    </row>
    <row r="216" spans="1:7" ht="15" customHeight="1" x14ac:dyDescent="0.2">
      <c r="A216" s="14"/>
      <c r="B216" s="105"/>
      <c r="C216" s="14"/>
      <c r="D216" s="14"/>
      <c r="E216" s="14"/>
      <c r="F216" s="14"/>
      <c r="G216" s="14"/>
    </row>
    <row r="217" spans="1:7" ht="15" customHeight="1" x14ac:dyDescent="0.2">
      <c r="A217" s="14"/>
      <c r="B217" s="105"/>
      <c r="C217" s="14"/>
      <c r="D217" s="14"/>
      <c r="E217" s="14"/>
      <c r="F217" s="14"/>
      <c r="G217" s="14"/>
    </row>
    <row r="218" spans="1:7" ht="15" customHeight="1" x14ac:dyDescent="0.2">
      <c r="A218" s="14"/>
      <c r="B218" s="105"/>
      <c r="C218" s="14"/>
      <c r="D218" s="14"/>
      <c r="E218" s="14"/>
      <c r="F218" s="14"/>
      <c r="G218" s="14"/>
    </row>
    <row r="219" spans="1:7" ht="15" customHeight="1" x14ac:dyDescent="0.2">
      <c r="A219" s="14"/>
      <c r="B219" s="105"/>
      <c r="C219" s="14"/>
      <c r="D219" s="14"/>
      <c r="E219" s="14"/>
      <c r="F219" s="14"/>
      <c r="G219" s="14"/>
    </row>
    <row r="220" spans="1:7" x14ac:dyDescent="0.2">
      <c r="A220" s="14"/>
      <c r="B220" s="105"/>
      <c r="C220" s="14"/>
      <c r="D220" s="14"/>
      <c r="E220" s="14"/>
      <c r="F220" s="14"/>
      <c r="G220" s="14"/>
    </row>
  </sheetData>
  <sheetProtection formatCells="0" formatColumns="0" formatRows="0"/>
  <mergeCells count="7">
    <mergeCell ref="Q1:Y1"/>
    <mergeCell ref="L6:O6"/>
    <mergeCell ref="L7:O7"/>
    <mergeCell ref="L24:M24"/>
    <mergeCell ref="L25:L26"/>
    <mergeCell ref="M25:M26"/>
    <mergeCell ref="L13:O13"/>
  </mergeCells>
  <conditionalFormatting sqref="A26:B26 B27:B58">
    <cfRule type="cellIs" dxfId="19" priority="10" operator="greaterThan">
      <formula>0</formula>
    </cfRule>
  </conditionalFormatting>
  <conditionalFormatting sqref="C26:D26">
    <cfRule type="cellIs" dxfId="18" priority="9" operator="greaterThan">
      <formula>0</formula>
    </cfRule>
  </conditionalFormatting>
  <conditionalFormatting sqref="A27:A58 C27:D58">
    <cfRule type="cellIs" dxfId="17" priority="8" operator="greaterThan">
      <formula>0</formula>
    </cfRule>
  </conditionalFormatting>
  <conditionalFormatting sqref="D22">
    <cfRule type="cellIs" dxfId="16" priority="7" operator="greaterThan">
      <formula>0</formula>
    </cfRule>
  </conditionalFormatting>
  <conditionalFormatting sqref="D9:D20">
    <cfRule type="cellIs" dxfId="15" priority="6" operator="greaterThan">
      <formula>0</formula>
    </cfRule>
  </conditionalFormatting>
  <conditionalFormatting sqref="D3">
    <cfRule type="cellIs" dxfId="14" priority="5" operator="greaterThan">
      <formula>0</formula>
    </cfRule>
  </conditionalFormatting>
  <conditionalFormatting sqref="D4">
    <cfRule type="cellIs" dxfId="13" priority="4" operator="greaterThan">
      <formula>0</formula>
    </cfRule>
  </conditionalFormatting>
  <conditionalFormatting sqref="H18:H21">
    <cfRule type="cellIs" dxfId="12" priority="3" operator="greaterThan">
      <formula>0</formula>
    </cfRule>
  </conditionalFormatting>
  <conditionalFormatting sqref="H7:H8">
    <cfRule type="cellIs" dxfId="11" priority="2" operator="greaterThan">
      <formula>0</formula>
    </cfRule>
  </conditionalFormatting>
  <conditionalFormatting sqref="D5:D7">
    <cfRule type="cellIs" dxfId="10" priority="1" operator="greaterThan">
      <formula>0</formula>
    </cfRule>
  </conditionalFormatting>
  <dataValidations count="1">
    <dataValidation type="list" allowBlank="1" showInputMessage="1" showErrorMessage="1" sqref="H20">
      <formula1>$H$27:$H$33</formula1>
    </dataValidation>
  </dataValidations>
  <pageMargins left="0.75" right="0.75" top="1" bottom="1" header="0" footer="0"/>
  <pageSetup paperSize="9" orientation="portrait" r:id="rId1"/>
  <headerFooter alignWithMargins="0"/>
  <ignoredErrors>
    <ignoredError sqref="L17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92D050"/>
  </sheetPr>
  <dimension ref="A1:AI220"/>
  <sheetViews>
    <sheetView topLeftCell="J1" zoomScaleNormal="100" workbookViewId="0">
      <selection activeCell="L11" sqref="L11"/>
    </sheetView>
  </sheetViews>
  <sheetFormatPr baseColWidth="10" defaultRowHeight="12" x14ac:dyDescent="0.2"/>
  <cols>
    <col min="1" max="1" width="11.875" style="11" customWidth="1"/>
    <col min="2" max="2" width="11.875" style="106" customWidth="1"/>
    <col min="3" max="3" width="11.875" style="11" customWidth="1"/>
    <col min="4" max="4" width="18.125" style="11" customWidth="1"/>
    <col min="5" max="6" width="13.125" style="11" customWidth="1"/>
    <col min="7" max="7" width="21.25" style="11" customWidth="1"/>
    <col min="8" max="8" width="11" style="11"/>
    <col min="9" max="9" width="11" style="13"/>
    <col min="10" max="10" width="11" style="11"/>
    <col min="11" max="11" width="21.5" style="11" customWidth="1"/>
    <col min="12" max="13" width="11.125" style="11" customWidth="1"/>
    <col min="14" max="14" width="29.25" style="11" customWidth="1"/>
    <col min="15" max="15" width="24" style="11" customWidth="1"/>
    <col min="16" max="16" width="11" style="11"/>
    <col min="17" max="19" width="11" style="12"/>
    <col min="20" max="20" width="17.875" style="12" customWidth="1"/>
    <col min="21" max="24" width="11" style="12"/>
    <col min="25" max="25" width="5.125" style="12" customWidth="1"/>
    <col min="26" max="26" width="11" style="11"/>
    <col min="27" max="27" width="0.875" style="11" customWidth="1"/>
    <col min="28" max="16384" width="11" style="11"/>
  </cols>
  <sheetData>
    <row r="1" spans="1:35" ht="15" customHeight="1" x14ac:dyDescent="0.2">
      <c r="B1" s="11"/>
      <c r="K1" s="94" t="s">
        <v>86</v>
      </c>
      <c r="Q1" s="118"/>
      <c r="R1" s="118"/>
      <c r="S1" s="118"/>
      <c r="T1" s="118"/>
      <c r="U1" s="118"/>
      <c r="V1" s="118"/>
      <c r="W1" s="118"/>
      <c r="X1" s="118"/>
      <c r="Y1" s="118"/>
    </row>
    <row r="2" spans="1:35" ht="15" customHeight="1" x14ac:dyDescent="0.2">
      <c r="A2" s="78" t="s">
        <v>42</v>
      </c>
      <c r="B2" s="101"/>
      <c r="C2" s="41"/>
      <c r="D2" s="109" t="str">
        <f>'Ingreso Datos'!C2</f>
        <v>C1BH-L12-L10-3+823-HL</v>
      </c>
      <c r="F2" s="93" t="s">
        <v>87</v>
      </c>
      <c r="G2" s="92"/>
      <c r="H2" s="92"/>
      <c r="I2" s="91"/>
    </row>
    <row r="3" spans="1:35" ht="15" customHeight="1" x14ac:dyDescent="0.2">
      <c r="A3" s="78" t="s">
        <v>8</v>
      </c>
      <c r="B3" s="101"/>
      <c r="C3" s="41"/>
      <c r="D3" s="96">
        <v>45449</v>
      </c>
      <c r="F3" s="90" t="s">
        <v>33</v>
      </c>
      <c r="G3" s="89"/>
      <c r="H3" s="89"/>
      <c r="I3" s="88"/>
      <c r="K3" s="87" t="s">
        <v>0</v>
      </c>
      <c r="L3" s="86" t="str">
        <f>D2</f>
        <v>C1BH-L12-L10-3+823-HL</v>
      </c>
      <c r="M3" s="73"/>
      <c r="N3" s="72"/>
      <c r="O3" s="71"/>
      <c r="P3" s="70"/>
      <c r="Q3" s="70"/>
      <c r="R3" s="70"/>
      <c r="S3" s="70"/>
      <c r="T3" s="70"/>
      <c r="U3" s="70"/>
    </row>
    <row r="4" spans="1:35" ht="15" customHeight="1" x14ac:dyDescent="0.2">
      <c r="A4" s="78" t="s">
        <v>43</v>
      </c>
      <c r="B4" s="101"/>
      <c r="C4" s="41"/>
      <c r="D4" s="95" t="s">
        <v>110</v>
      </c>
      <c r="F4" s="85" t="s">
        <v>32</v>
      </c>
      <c r="G4" s="84"/>
      <c r="H4" s="84"/>
      <c r="I4" s="83"/>
      <c r="K4" s="81" t="s">
        <v>85</v>
      </c>
      <c r="L4" s="82" t="str">
        <f>+'Ingreso Datos'!C3</f>
        <v>1.914.753-D</v>
      </c>
      <c r="M4" s="73"/>
      <c r="N4" s="72"/>
      <c r="O4" s="71"/>
      <c r="P4" s="70"/>
      <c r="Q4" s="70"/>
      <c r="R4" s="70"/>
      <c r="S4" s="70"/>
      <c r="T4" s="70"/>
      <c r="U4" s="70"/>
    </row>
    <row r="5" spans="1:35" ht="15" customHeight="1" x14ac:dyDescent="0.2">
      <c r="A5" s="78" t="s">
        <v>84</v>
      </c>
      <c r="B5" s="101"/>
      <c r="C5" s="41"/>
      <c r="D5" s="95" t="s">
        <v>113</v>
      </c>
      <c r="K5" s="81" t="s">
        <v>6</v>
      </c>
      <c r="L5" s="82" t="str">
        <f>+'Ingreso Datos'!C4</f>
        <v>-</v>
      </c>
      <c r="M5" s="73"/>
      <c r="N5" s="72"/>
      <c r="O5" s="71"/>
      <c r="P5" s="70"/>
      <c r="Q5" s="70"/>
      <c r="R5" s="70"/>
      <c r="S5" s="70"/>
      <c r="T5" s="70"/>
      <c r="U5" s="70"/>
      <c r="AA5" s="80" t="str">
        <f>+CONCATENATE(A2,"  ",":","  ",D2)</f>
        <v>PROYECTO  :  C1BH-L12-L10-3+823-HL</v>
      </c>
      <c r="AB5" s="79"/>
      <c r="AC5" s="79"/>
      <c r="AD5" s="79"/>
      <c r="AE5" s="79"/>
      <c r="AF5" s="79"/>
      <c r="AG5" s="79"/>
      <c r="AH5" s="79"/>
      <c r="AI5" s="79"/>
    </row>
    <row r="6" spans="1:35" ht="15" customHeight="1" x14ac:dyDescent="0.2">
      <c r="A6" s="78" t="s">
        <v>83</v>
      </c>
      <c r="B6" s="101"/>
      <c r="C6" s="41"/>
      <c r="D6" s="95" t="s">
        <v>112</v>
      </c>
      <c r="K6" s="67" t="s">
        <v>82</v>
      </c>
      <c r="L6" s="125">
        <f>D3</f>
        <v>45449</v>
      </c>
      <c r="M6" s="126"/>
      <c r="N6" s="126"/>
      <c r="O6" s="127"/>
      <c r="P6" s="70"/>
      <c r="Q6" s="70"/>
      <c r="R6" s="70"/>
      <c r="S6" s="70"/>
      <c r="T6" s="70"/>
      <c r="U6" s="70"/>
      <c r="AA6" s="80" t="str">
        <f>+CONCATENATE(A4,"  ",":","  ",D4)</f>
        <v>MUESTRA  :  C1BH-L12-L10-3+823-HL (02,84-03,33)</v>
      </c>
      <c r="AB6" s="79"/>
      <c r="AC6" s="79"/>
      <c r="AD6" s="79"/>
      <c r="AE6" s="79"/>
      <c r="AF6" s="79"/>
      <c r="AG6" s="79"/>
      <c r="AH6" s="79"/>
      <c r="AI6" s="79"/>
    </row>
    <row r="7" spans="1:35" ht="15" customHeight="1" x14ac:dyDescent="0.2">
      <c r="A7" s="78" t="s">
        <v>12</v>
      </c>
      <c r="B7" s="101"/>
      <c r="C7" s="41"/>
      <c r="D7" s="95" t="s">
        <v>111</v>
      </c>
      <c r="F7" s="97" t="s">
        <v>89</v>
      </c>
      <c r="G7" s="98"/>
      <c r="H7" s="99"/>
      <c r="K7" s="67" t="s">
        <v>81</v>
      </c>
      <c r="L7" s="125">
        <f>D3</f>
        <v>45449</v>
      </c>
      <c r="M7" s="126"/>
      <c r="N7" s="126"/>
      <c r="O7" s="127"/>
      <c r="P7" s="70"/>
      <c r="Q7" s="70"/>
      <c r="R7" s="70"/>
      <c r="S7" s="70"/>
      <c r="T7" s="70"/>
      <c r="U7" s="70"/>
    </row>
    <row r="8" spans="1:35" ht="15" customHeight="1" x14ac:dyDescent="0.2">
      <c r="B8" s="11"/>
      <c r="F8" s="100" t="s">
        <v>90</v>
      </c>
      <c r="G8" s="98"/>
      <c r="H8" s="99"/>
      <c r="K8" s="77"/>
      <c r="L8" s="76"/>
      <c r="M8" s="17"/>
      <c r="P8" s="70"/>
      <c r="Q8" s="70"/>
      <c r="R8" s="70"/>
      <c r="S8" s="70"/>
      <c r="T8" s="70"/>
      <c r="U8" s="70"/>
    </row>
    <row r="9" spans="1:35" ht="15" customHeight="1" x14ac:dyDescent="0.2">
      <c r="A9" s="42" t="s">
        <v>13</v>
      </c>
      <c r="B9" s="102"/>
      <c r="C9" s="41"/>
      <c r="D9" s="95">
        <v>6.09</v>
      </c>
      <c r="E9" s="11" t="s">
        <v>25</v>
      </c>
      <c r="F9" s="52" t="s">
        <v>36</v>
      </c>
      <c r="G9" s="41">
        <f>+ROUND(AVERAGE(D9:D17),1)*10</f>
        <v>61</v>
      </c>
      <c r="H9" s="75" t="str">
        <f>+CONCATENATE("D",G9)</f>
        <v>D61</v>
      </c>
      <c r="K9" s="67" t="s">
        <v>80</v>
      </c>
      <c r="L9" s="74" t="str">
        <f>D4</f>
        <v>C1BH-L12-L10-3+823-HL (02,84-03,33)</v>
      </c>
      <c r="M9" s="73"/>
      <c r="N9" s="72"/>
      <c r="O9" s="71"/>
      <c r="P9" s="70"/>
      <c r="Q9" s="70"/>
      <c r="R9" s="70"/>
      <c r="S9" s="70"/>
      <c r="T9" s="70"/>
      <c r="U9" s="70"/>
    </row>
    <row r="10" spans="1:35" ht="15" customHeight="1" x14ac:dyDescent="0.2">
      <c r="A10" s="42" t="s">
        <v>14</v>
      </c>
      <c r="B10" s="102"/>
      <c r="C10" s="41"/>
      <c r="D10" s="95">
        <v>6.09</v>
      </c>
      <c r="E10" s="11" t="s">
        <v>25</v>
      </c>
      <c r="F10" s="52" t="s">
        <v>34</v>
      </c>
      <c r="G10" s="41"/>
      <c r="H10" s="69">
        <f>D18/AVERAGE(D9:D17)</f>
        <v>2.1222850885198032</v>
      </c>
      <c r="K10" s="67" t="s">
        <v>10</v>
      </c>
      <c r="L10" s="66" t="str">
        <f>D5</f>
        <v>Toba lítica</v>
      </c>
      <c r="M10" s="68"/>
      <c r="N10" s="64"/>
      <c r="O10" s="63"/>
      <c r="P10" s="12"/>
    </row>
    <row r="11" spans="1:35" ht="15" customHeight="1" x14ac:dyDescent="0.2">
      <c r="A11" s="42" t="s">
        <v>15</v>
      </c>
      <c r="B11" s="102"/>
      <c r="C11" s="41"/>
      <c r="D11" s="95">
        <v>6.09</v>
      </c>
      <c r="E11" s="11" t="s">
        <v>25</v>
      </c>
      <c r="F11" s="42" t="s">
        <v>79</v>
      </c>
      <c r="G11" s="41"/>
      <c r="H11" s="57">
        <f>(AVERAGE(D9:D11))*10</f>
        <v>60.9</v>
      </c>
      <c r="I11" s="56" t="s">
        <v>28</v>
      </c>
      <c r="K11" s="67" t="s">
        <v>11</v>
      </c>
      <c r="L11" s="66" t="str">
        <f>D6</f>
        <v>No presenta</v>
      </c>
      <c r="M11" s="65"/>
      <c r="N11" s="64"/>
      <c r="O11" s="63"/>
      <c r="P11" s="12"/>
    </row>
    <row r="12" spans="1:35" ht="15" customHeight="1" x14ac:dyDescent="0.2">
      <c r="A12" s="42" t="s">
        <v>17</v>
      </c>
      <c r="B12" s="102"/>
      <c r="C12" s="41"/>
      <c r="D12" s="95">
        <v>6.09</v>
      </c>
      <c r="E12" s="11" t="s">
        <v>25</v>
      </c>
      <c r="F12" s="42" t="s">
        <v>78</v>
      </c>
      <c r="G12" s="41"/>
      <c r="H12" s="57">
        <f>(AVERAGE(D12:D14))*10</f>
        <v>60.9</v>
      </c>
      <c r="I12" s="56" t="s">
        <v>28</v>
      </c>
      <c r="K12" s="67" t="s">
        <v>12</v>
      </c>
      <c r="L12" s="66" t="str">
        <f>D7</f>
        <v>Oxidación y zeolitización</v>
      </c>
      <c r="M12" s="65"/>
      <c r="N12" s="64"/>
      <c r="O12" s="63"/>
      <c r="P12" s="12"/>
    </row>
    <row r="13" spans="1:35" ht="15" customHeight="1" x14ac:dyDescent="0.2">
      <c r="A13" s="42" t="s">
        <v>18</v>
      </c>
      <c r="B13" s="102"/>
      <c r="C13" s="41"/>
      <c r="D13" s="95">
        <v>6.09</v>
      </c>
      <c r="E13" s="59" t="s">
        <v>25</v>
      </c>
      <c r="F13" s="42" t="s">
        <v>77</v>
      </c>
      <c r="G13" s="41"/>
      <c r="H13" s="57">
        <f>(AVERAGE(D15:D17))*10</f>
        <v>60.833333333333329</v>
      </c>
      <c r="I13" s="56" t="s">
        <v>28</v>
      </c>
      <c r="K13" s="67" t="s">
        <v>106</v>
      </c>
      <c r="L13" s="128" t="s">
        <v>118</v>
      </c>
      <c r="M13" s="129"/>
      <c r="N13" s="129"/>
      <c r="O13" s="130"/>
      <c r="P13" s="12"/>
    </row>
    <row r="14" spans="1:35" ht="15" customHeight="1" x14ac:dyDescent="0.2">
      <c r="A14" s="42" t="s">
        <v>19</v>
      </c>
      <c r="B14" s="102"/>
      <c r="C14" s="41"/>
      <c r="D14" s="95">
        <v>6.09</v>
      </c>
      <c r="E14" s="11" t="s">
        <v>25</v>
      </c>
      <c r="F14" s="42" t="s">
        <v>16</v>
      </c>
      <c r="G14" s="41"/>
      <c r="H14" s="57">
        <f>(((H11/2)^2*PI())+(((H12/2)^2*PI())*4)+((H13/2)^2*PI()))/6</f>
        <v>2911.8302386520427</v>
      </c>
      <c r="I14" s="56" t="s">
        <v>76</v>
      </c>
    </row>
    <row r="15" spans="1:35" ht="15" customHeight="1" x14ac:dyDescent="0.2">
      <c r="A15" s="42" t="s">
        <v>20</v>
      </c>
      <c r="B15" s="102"/>
      <c r="C15" s="41"/>
      <c r="D15" s="95">
        <v>6.08</v>
      </c>
      <c r="E15" s="11" t="s">
        <v>25</v>
      </c>
      <c r="F15" s="47" t="s">
        <v>2</v>
      </c>
      <c r="G15" s="41"/>
      <c r="H15" s="57">
        <f>(I20*D21)</f>
        <v>376.3621911001253</v>
      </c>
      <c r="I15" s="56" t="s">
        <v>29</v>
      </c>
      <c r="K15" s="62" t="s">
        <v>75</v>
      </c>
      <c r="N15" s="61" t="s">
        <v>74</v>
      </c>
    </row>
    <row r="16" spans="1:35" ht="15" customHeight="1" x14ac:dyDescent="0.2">
      <c r="A16" s="42" t="s">
        <v>21</v>
      </c>
      <c r="B16" s="102"/>
      <c r="C16" s="41"/>
      <c r="D16" s="95">
        <v>6.08</v>
      </c>
      <c r="E16" s="59" t="s">
        <v>25</v>
      </c>
      <c r="F16" s="42" t="s">
        <v>5</v>
      </c>
      <c r="G16" s="41"/>
      <c r="H16" s="57">
        <f>(H19/H15)</f>
        <v>2.6211719012379602</v>
      </c>
      <c r="I16" s="56" t="s">
        <v>30</v>
      </c>
      <c r="K16" s="51" t="s">
        <v>73</v>
      </c>
      <c r="L16" s="58">
        <f>AVERAGE(H11:H13)/10</f>
        <v>6.0877777777777773</v>
      </c>
      <c r="N16" s="60" t="s">
        <v>91</v>
      </c>
      <c r="O16" s="112">
        <f>+H18</f>
        <v>7.5</v>
      </c>
      <c r="P16" s="54"/>
      <c r="Q16" s="53"/>
    </row>
    <row r="17" spans="1:17" ht="15" customHeight="1" x14ac:dyDescent="0.2">
      <c r="A17" s="42" t="s">
        <v>22</v>
      </c>
      <c r="B17" s="102"/>
      <c r="C17" s="41"/>
      <c r="D17" s="95">
        <v>6.09</v>
      </c>
      <c r="E17" s="11" t="s">
        <v>25</v>
      </c>
      <c r="F17" s="42" t="s">
        <v>3</v>
      </c>
      <c r="G17" s="41"/>
      <c r="H17" s="57">
        <f>(H16/((H21+100)))*100</f>
        <v>2.6060567719605889</v>
      </c>
      <c r="I17" s="56" t="s">
        <v>30</v>
      </c>
      <c r="K17" s="51" t="s">
        <v>72</v>
      </c>
      <c r="L17" s="58">
        <f>AVERAGE(D18:D20)</f>
        <v>12.93</v>
      </c>
      <c r="N17" s="51" t="s">
        <v>92</v>
      </c>
      <c r="O17" s="113">
        <f>(MAX(O27:O424))</f>
        <v>177.53668005852839</v>
      </c>
      <c r="P17" s="54"/>
      <c r="Q17" s="53"/>
    </row>
    <row r="18" spans="1:17" ht="15" customHeight="1" x14ac:dyDescent="0.2">
      <c r="A18" s="47" t="s">
        <v>70</v>
      </c>
      <c r="B18" s="103"/>
      <c r="C18" s="41"/>
      <c r="D18" s="95">
        <v>12.92</v>
      </c>
      <c r="E18" s="11" t="s">
        <v>25</v>
      </c>
      <c r="F18" s="52" t="s">
        <v>69</v>
      </c>
      <c r="G18" s="41"/>
      <c r="H18" s="95">
        <v>7.5</v>
      </c>
      <c r="I18" s="13" t="s">
        <v>68</v>
      </c>
      <c r="K18" s="51" t="s">
        <v>71</v>
      </c>
      <c r="L18" s="44">
        <f>H19</f>
        <v>986.51</v>
      </c>
      <c r="M18" s="12"/>
      <c r="N18" s="55" t="s">
        <v>93</v>
      </c>
      <c r="O18" s="111">
        <f>SLOPE(O39:O44,M39:M44)*100</f>
        <v>40521.45288726093</v>
      </c>
      <c r="P18" s="50"/>
      <c r="Q18" s="50"/>
    </row>
    <row r="19" spans="1:17" ht="15" customHeight="1" x14ac:dyDescent="0.2">
      <c r="A19" s="47" t="s">
        <v>65</v>
      </c>
      <c r="B19" s="103"/>
      <c r="C19" s="41"/>
      <c r="D19" s="95">
        <v>12.94</v>
      </c>
      <c r="E19" s="11" t="s">
        <v>25</v>
      </c>
      <c r="F19" s="47" t="s">
        <v>1</v>
      </c>
      <c r="G19" s="41"/>
      <c r="H19" s="95">
        <v>986.51</v>
      </c>
      <c r="I19" s="13" t="s">
        <v>26</v>
      </c>
      <c r="K19" s="51" t="s">
        <v>67</v>
      </c>
      <c r="L19" s="44">
        <f>H16</f>
        <v>2.6211719012379602</v>
      </c>
      <c r="M19" s="12"/>
      <c r="N19" s="51" t="s">
        <v>66</v>
      </c>
      <c r="O19" s="20">
        <f>SLOPE(L39:L44,M39:M44)*-1</f>
        <v>0.26849702606370757</v>
      </c>
      <c r="P19" s="40"/>
      <c r="Q19" s="40"/>
    </row>
    <row r="20" spans="1:17" ht="15" customHeight="1" x14ac:dyDescent="0.2">
      <c r="A20" s="47" t="s">
        <v>63</v>
      </c>
      <c r="B20" s="103"/>
      <c r="C20" s="41"/>
      <c r="D20" s="95">
        <v>12.93</v>
      </c>
      <c r="E20" s="11" t="s">
        <v>25</v>
      </c>
      <c r="F20" s="46" t="s">
        <v>62</v>
      </c>
      <c r="G20" s="41"/>
      <c r="H20" s="95" t="s">
        <v>99</v>
      </c>
      <c r="I20" s="45">
        <f>(((AVERAGE(D9:D17)/2)^2)*PI())</f>
        <v>29.107671392121059</v>
      </c>
      <c r="K20" s="51" t="s">
        <v>64</v>
      </c>
      <c r="L20" s="44">
        <f>H17</f>
        <v>2.6060567719605889</v>
      </c>
      <c r="M20" s="12"/>
      <c r="N20" s="49" t="s">
        <v>62</v>
      </c>
      <c r="O20" s="48" t="str">
        <f>H20</f>
        <v>Matriz (Tipo A)</v>
      </c>
      <c r="P20" s="40"/>
      <c r="Q20" s="40"/>
    </row>
    <row r="21" spans="1:17" ht="15" customHeight="1" x14ac:dyDescent="0.2">
      <c r="A21" s="11" t="s">
        <v>60</v>
      </c>
      <c r="B21" s="11"/>
      <c r="D21" s="43">
        <f>+AVERAGE(D18:D20)</f>
        <v>12.93</v>
      </c>
      <c r="E21" s="11" t="s">
        <v>25</v>
      </c>
      <c r="F21" s="42" t="s">
        <v>9</v>
      </c>
      <c r="G21" s="41"/>
      <c r="H21" s="95">
        <v>0.57999999999999996</v>
      </c>
      <c r="I21" s="24" t="s">
        <v>27</v>
      </c>
      <c r="K21" s="51" t="s">
        <v>61</v>
      </c>
      <c r="L21" s="44">
        <f>H21</f>
        <v>0.57999999999999996</v>
      </c>
      <c r="M21" s="12"/>
      <c r="N21" s="40"/>
      <c r="O21" s="40"/>
      <c r="P21" s="40"/>
      <c r="Q21" s="40"/>
    </row>
    <row r="22" spans="1:17" ht="15" customHeight="1" x14ac:dyDescent="0.2">
      <c r="A22" s="11" t="s">
        <v>37</v>
      </c>
      <c r="B22" s="11"/>
      <c r="D22" s="95">
        <v>0.5</v>
      </c>
      <c r="E22" s="11" t="s">
        <v>96</v>
      </c>
      <c r="F22" s="11" t="s">
        <v>59</v>
      </c>
      <c r="H22" s="11">
        <f>((H11+H12+H13)/3)/10</f>
        <v>6.0877777777777773</v>
      </c>
      <c r="N22" s="40"/>
      <c r="O22" s="40"/>
      <c r="P22" s="15"/>
      <c r="Q22" s="15"/>
    </row>
    <row r="23" spans="1:17" ht="15" customHeight="1" x14ac:dyDescent="0.2">
      <c r="A23" s="39" t="s">
        <v>58</v>
      </c>
      <c r="B23" s="39" t="s">
        <v>58</v>
      </c>
      <c r="C23" s="39" t="s">
        <v>4</v>
      </c>
      <c r="D23" s="39" t="s">
        <v>4</v>
      </c>
      <c r="E23" s="36" t="s">
        <v>23</v>
      </c>
      <c r="F23" s="38" t="s">
        <v>24</v>
      </c>
      <c r="G23" s="37" t="s">
        <v>24</v>
      </c>
      <c r="P23" s="15"/>
      <c r="Q23" s="15"/>
    </row>
    <row r="24" spans="1:17" ht="15" customHeight="1" x14ac:dyDescent="0.2">
      <c r="A24" s="35" t="s">
        <v>56</v>
      </c>
      <c r="B24" s="35" t="s">
        <v>97</v>
      </c>
      <c r="C24" s="34" t="s">
        <v>55</v>
      </c>
      <c r="D24" s="33" t="s">
        <v>54</v>
      </c>
      <c r="E24" s="33" t="s">
        <v>54</v>
      </c>
      <c r="F24" s="34" t="s">
        <v>53</v>
      </c>
      <c r="G24" s="33" t="s">
        <v>35</v>
      </c>
      <c r="K24" s="36" t="s">
        <v>57</v>
      </c>
      <c r="L24" s="119" t="s">
        <v>4</v>
      </c>
      <c r="M24" s="120"/>
      <c r="N24" s="36" t="s">
        <v>24</v>
      </c>
      <c r="O24" s="36" t="s">
        <v>24</v>
      </c>
      <c r="P24" s="15"/>
      <c r="Q24" s="15"/>
    </row>
    <row r="25" spans="1:17" ht="15" customHeight="1" x14ac:dyDescent="0.2">
      <c r="A25" s="31" t="s">
        <v>31</v>
      </c>
      <c r="B25" s="31" t="s">
        <v>31</v>
      </c>
      <c r="C25" s="31" t="s">
        <v>49</v>
      </c>
      <c r="D25" s="31" t="s">
        <v>49</v>
      </c>
      <c r="E25" s="31" t="s">
        <v>7</v>
      </c>
      <c r="F25" s="31" t="s">
        <v>7</v>
      </c>
      <c r="G25" s="31" t="s">
        <v>7</v>
      </c>
      <c r="K25" s="32" t="s">
        <v>52</v>
      </c>
      <c r="L25" s="121" t="s">
        <v>51</v>
      </c>
      <c r="M25" s="123" t="s">
        <v>50</v>
      </c>
      <c r="N25" s="32" t="s">
        <v>95</v>
      </c>
      <c r="O25" s="32" t="s">
        <v>95</v>
      </c>
      <c r="P25" s="15"/>
      <c r="Q25" s="15"/>
    </row>
    <row r="26" spans="1:17" ht="15" customHeight="1" x14ac:dyDescent="0.2">
      <c r="A26" s="95">
        <v>0</v>
      </c>
      <c r="B26" s="104">
        <f>+IF(AND(A26&gt;0,A26&lt;=300),1.0191*A26-0.1003,IF(AND(A26=0),0,IF(AND(A26&gt;300,A26&lt;=3000),1.0117*A26-0.7581,"Error")))</f>
        <v>0</v>
      </c>
      <c r="C26" s="95">
        <v>0</v>
      </c>
      <c r="D26" s="95">
        <v>0</v>
      </c>
      <c r="E26" s="22">
        <f t="shared" ref="E26:E58" si="0">((((A26-A$26)*1000)/H$14))</f>
        <v>0</v>
      </c>
      <c r="F26" s="23">
        <f t="shared" ref="F26:F58" si="1">IF((D$21/H$22)&gt;2.5,(E26/(0.88+(0.222*(D$21/H$22)))),E26*1)</f>
        <v>0</v>
      </c>
      <c r="G26" s="22">
        <f t="shared" ref="G26:G58" si="2">F26*((AVERAGE(H$11:H$13)/50)^0.2)</f>
        <v>0</v>
      </c>
      <c r="H26" s="8" t="s">
        <v>98</v>
      </c>
      <c r="K26" s="29" t="s">
        <v>94</v>
      </c>
      <c r="L26" s="122"/>
      <c r="M26" s="124"/>
      <c r="N26" s="30" t="str">
        <f>H9</f>
        <v>D61</v>
      </c>
      <c r="O26" s="29" t="s">
        <v>35</v>
      </c>
      <c r="P26" s="15"/>
      <c r="Q26" s="15"/>
    </row>
    <row r="27" spans="1:17" ht="15" customHeight="1" x14ac:dyDescent="0.2">
      <c r="A27" s="95">
        <v>21.9</v>
      </c>
      <c r="B27" s="104">
        <f t="shared" ref="B27:B58" si="3">+IF(AND(A27&gt;0,A27&lt;=300),1.0191*A27-0.1003,IF(AND(A27=0),0,IF(AND(A27&gt;300,A27&lt;=3000),1.0117*A27-0.7581,"Error")))</f>
        <v>22.217989999999997</v>
      </c>
      <c r="C27" s="95">
        <v>0</v>
      </c>
      <c r="D27" s="95">
        <v>0</v>
      </c>
      <c r="E27" s="22">
        <f t="shared" si="0"/>
        <v>7.5210428510894385</v>
      </c>
      <c r="F27" s="23">
        <f t="shared" si="1"/>
        <v>7.5210428510894385</v>
      </c>
      <c r="G27" s="22">
        <f t="shared" si="2"/>
        <v>7.8230448556977299</v>
      </c>
      <c r="H27" s="107" t="s">
        <v>99</v>
      </c>
      <c r="J27" s="28"/>
      <c r="K27" s="114">
        <f t="shared" ref="K27:K59" si="4">+A26</f>
        <v>0</v>
      </c>
      <c r="L27" s="21">
        <f>+(C26)</f>
        <v>0</v>
      </c>
      <c r="M27" s="21">
        <f>+(D26)</f>
        <v>0</v>
      </c>
      <c r="N27" s="110">
        <f t="shared" ref="N27:O58" si="5">F26</f>
        <v>0</v>
      </c>
      <c r="O27" s="110">
        <f t="shared" si="5"/>
        <v>0</v>
      </c>
      <c r="P27" s="15"/>
      <c r="Q27" s="15"/>
    </row>
    <row r="28" spans="1:17" ht="15" customHeight="1" x14ac:dyDescent="0.2">
      <c r="A28" s="95">
        <v>49.7</v>
      </c>
      <c r="B28" s="104">
        <f t="shared" si="3"/>
        <v>50.548969999999997</v>
      </c>
      <c r="C28" s="95">
        <v>-3.3500000000000001E-3</v>
      </c>
      <c r="D28" s="95">
        <v>1.3469999999999999E-2</v>
      </c>
      <c r="E28" s="22">
        <f t="shared" si="0"/>
        <v>17.06830272598836</v>
      </c>
      <c r="F28" s="23">
        <f t="shared" si="1"/>
        <v>17.06830272598836</v>
      </c>
      <c r="G28" s="22">
        <f t="shared" si="2"/>
        <v>17.753668005852838</v>
      </c>
      <c r="H28" s="107" t="s">
        <v>100</v>
      </c>
      <c r="K28" s="114">
        <f t="shared" si="4"/>
        <v>21.9</v>
      </c>
      <c r="L28" s="21">
        <f t="shared" ref="L28:L59" si="6">+(C27)</f>
        <v>0</v>
      </c>
      <c r="M28" s="21">
        <f t="shared" ref="M28:M59" si="7">+(D27)</f>
        <v>0</v>
      </c>
      <c r="N28" s="110">
        <f t="shared" si="5"/>
        <v>7.5210428510894385</v>
      </c>
      <c r="O28" s="110">
        <f t="shared" si="5"/>
        <v>7.8230448556977299</v>
      </c>
      <c r="P28" s="15"/>
      <c r="Q28" s="15"/>
    </row>
    <row r="29" spans="1:17" ht="15" customHeight="1" x14ac:dyDescent="0.2">
      <c r="A29" s="95">
        <v>65.699999999999989</v>
      </c>
      <c r="B29" s="104">
        <f t="shared" si="3"/>
        <v>66.854569999999981</v>
      </c>
      <c r="C29" s="95">
        <v>-5.4999999999999997E-3</v>
      </c>
      <c r="D29" s="95">
        <v>2.29E-2</v>
      </c>
      <c r="E29" s="22">
        <f t="shared" si="0"/>
        <v>22.56312855326831</v>
      </c>
      <c r="F29" s="23">
        <f t="shared" si="1"/>
        <v>22.56312855326831</v>
      </c>
      <c r="G29" s="22">
        <f t="shared" si="2"/>
        <v>23.469134567093185</v>
      </c>
      <c r="H29" s="107" t="s">
        <v>101</v>
      </c>
      <c r="K29" s="114">
        <f t="shared" si="4"/>
        <v>49.7</v>
      </c>
      <c r="L29" s="21">
        <f t="shared" si="6"/>
        <v>-3.3500000000000001E-3</v>
      </c>
      <c r="M29" s="21">
        <f t="shared" si="7"/>
        <v>1.3469999999999999E-2</v>
      </c>
      <c r="N29" s="110">
        <f t="shared" si="5"/>
        <v>17.06830272598836</v>
      </c>
      <c r="O29" s="110">
        <f t="shared" si="5"/>
        <v>17.753668005852838</v>
      </c>
      <c r="P29" s="15"/>
      <c r="Q29" s="15"/>
    </row>
    <row r="30" spans="1:17" ht="15" customHeight="1" x14ac:dyDescent="0.2">
      <c r="A30" s="95">
        <v>75.5</v>
      </c>
      <c r="B30" s="104">
        <f t="shared" si="3"/>
        <v>76.84174999999999</v>
      </c>
      <c r="C30" s="95">
        <v>-6.9499999999999996E-3</v>
      </c>
      <c r="D30" s="95">
        <v>2.9000000000000001E-2</v>
      </c>
      <c r="E30" s="22">
        <f t="shared" si="0"/>
        <v>25.928709372477289</v>
      </c>
      <c r="F30" s="23">
        <f t="shared" si="1"/>
        <v>25.928709372477289</v>
      </c>
      <c r="G30" s="22">
        <f t="shared" si="2"/>
        <v>26.969857835852906</v>
      </c>
      <c r="H30" s="107" t="s">
        <v>102</v>
      </c>
      <c r="K30" s="114">
        <f t="shared" si="4"/>
        <v>65.699999999999989</v>
      </c>
      <c r="L30" s="21">
        <f t="shared" si="6"/>
        <v>-5.4999999999999997E-3</v>
      </c>
      <c r="M30" s="21">
        <f t="shared" si="7"/>
        <v>2.29E-2</v>
      </c>
      <c r="N30" s="110">
        <f t="shared" si="5"/>
        <v>22.56312855326831</v>
      </c>
      <c r="O30" s="110">
        <f t="shared" si="5"/>
        <v>23.469134567093185</v>
      </c>
      <c r="P30" s="15"/>
      <c r="Q30" s="15"/>
    </row>
    <row r="31" spans="1:17" ht="15" customHeight="1" x14ac:dyDescent="0.2">
      <c r="A31" s="95">
        <v>98.699999999999989</v>
      </c>
      <c r="B31" s="104">
        <f t="shared" si="3"/>
        <v>100.48486999999997</v>
      </c>
      <c r="C31" s="95">
        <v>-1.06E-2</v>
      </c>
      <c r="D31" s="95">
        <v>4.4290000000000003E-2</v>
      </c>
      <c r="E31" s="22">
        <f t="shared" si="0"/>
        <v>33.896206822033221</v>
      </c>
      <c r="F31" s="23">
        <f t="shared" si="1"/>
        <v>33.896206822033221</v>
      </c>
      <c r="G31" s="22">
        <f t="shared" si="2"/>
        <v>35.257284349651414</v>
      </c>
      <c r="H31" s="107" t="s">
        <v>103</v>
      </c>
      <c r="K31" s="114">
        <f t="shared" si="4"/>
        <v>75.5</v>
      </c>
      <c r="L31" s="21">
        <f t="shared" si="6"/>
        <v>-6.9499999999999996E-3</v>
      </c>
      <c r="M31" s="21">
        <f t="shared" si="7"/>
        <v>2.9000000000000001E-2</v>
      </c>
      <c r="N31" s="110">
        <f t="shared" si="5"/>
        <v>25.928709372477289</v>
      </c>
      <c r="O31" s="110">
        <f t="shared" si="5"/>
        <v>26.969857835852906</v>
      </c>
      <c r="P31" s="15"/>
      <c r="Q31" s="15"/>
    </row>
    <row r="32" spans="1:17" ht="15" customHeight="1" x14ac:dyDescent="0.2">
      <c r="A32" s="95">
        <v>112.19999999999999</v>
      </c>
      <c r="B32" s="104">
        <f t="shared" si="3"/>
        <v>114.24271999999998</v>
      </c>
      <c r="C32" s="95">
        <v>-1.2800000000000001E-2</v>
      </c>
      <c r="D32" s="95">
        <v>5.3460000000000001E-2</v>
      </c>
      <c r="E32" s="22">
        <f t="shared" si="0"/>
        <v>38.53246611380068</v>
      </c>
      <c r="F32" s="23">
        <f t="shared" si="1"/>
        <v>38.53246611380068</v>
      </c>
      <c r="G32" s="22">
        <f t="shared" si="2"/>
        <v>40.079709260697953</v>
      </c>
      <c r="H32" s="107" t="s">
        <v>104</v>
      </c>
      <c r="K32" s="114">
        <f t="shared" si="4"/>
        <v>98.699999999999989</v>
      </c>
      <c r="L32" s="21">
        <f t="shared" si="6"/>
        <v>-1.06E-2</v>
      </c>
      <c r="M32" s="21">
        <f t="shared" si="7"/>
        <v>4.4290000000000003E-2</v>
      </c>
      <c r="N32" s="110">
        <f t="shared" si="5"/>
        <v>33.896206822033221</v>
      </c>
      <c r="O32" s="110">
        <f t="shared" si="5"/>
        <v>35.257284349651414</v>
      </c>
      <c r="P32" s="15"/>
      <c r="Q32" s="15"/>
    </row>
    <row r="33" spans="1:25" ht="15" customHeight="1" x14ac:dyDescent="0.2">
      <c r="A33" s="95">
        <v>132.599999999999</v>
      </c>
      <c r="B33" s="104">
        <f t="shared" si="3"/>
        <v>135.03235999999896</v>
      </c>
      <c r="C33" s="95">
        <v>-1.6209999999999999E-2</v>
      </c>
      <c r="D33" s="95">
        <v>6.7559999999999995E-2</v>
      </c>
      <c r="E33" s="22">
        <f t="shared" si="0"/>
        <v>45.538369043582293</v>
      </c>
      <c r="F33" s="23">
        <f t="shared" si="1"/>
        <v>45.538369043582293</v>
      </c>
      <c r="G33" s="22">
        <f t="shared" si="2"/>
        <v>47.366929126279054</v>
      </c>
      <c r="H33" s="107" t="s">
        <v>105</v>
      </c>
      <c r="K33" s="114">
        <f t="shared" si="4"/>
        <v>112.19999999999999</v>
      </c>
      <c r="L33" s="21">
        <f t="shared" si="6"/>
        <v>-1.2800000000000001E-2</v>
      </c>
      <c r="M33" s="21">
        <f t="shared" si="7"/>
        <v>5.3460000000000001E-2</v>
      </c>
      <c r="N33" s="110">
        <f t="shared" si="5"/>
        <v>38.53246611380068</v>
      </c>
      <c r="O33" s="110">
        <f t="shared" si="5"/>
        <v>40.079709260697953</v>
      </c>
      <c r="P33" s="15"/>
      <c r="Q33" s="15"/>
    </row>
    <row r="34" spans="1:25" ht="15" customHeight="1" x14ac:dyDescent="0.2">
      <c r="A34" s="95">
        <v>144.4</v>
      </c>
      <c r="B34" s="104">
        <f t="shared" si="3"/>
        <v>147.05774</v>
      </c>
      <c r="C34" s="95">
        <v>-1.8270000000000002E-2</v>
      </c>
      <c r="D34" s="95">
        <v>7.5939999999999994E-2</v>
      </c>
      <c r="E34" s="22">
        <f t="shared" si="0"/>
        <v>49.590803091201593</v>
      </c>
      <c r="F34" s="23">
        <f t="shared" si="1"/>
        <v>49.590803091201593</v>
      </c>
      <c r="G34" s="22">
        <f t="shared" si="2"/>
        <v>51.582085715194161</v>
      </c>
      <c r="K34" s="114">
        <f t="shared" si="4"/>
        <v>132.599999999999</v>
      </c>
      <c r="L34" s="21">
        <f t="shared" si="6"/>
        <v>-1.6209999999999999E-2</v>
      </c>
      <c r="M34" s="21">
        <f t="shared" si="7"/>
        <v>6.7559999999999995E-2</v>
      </c>
      <c r="N34" s="110">
        <f t="shared" si="5"/>
        <v>45.538369043582293</v>
      </c>
      <c r="O34" s="110">
        <f t="shared" si="5"/>
        <v>47.366929126279054</v>
      </c>
      <c r="P34" s="15"/>
      <c r="Q34" s="15"/>
    </row>
    <row r="35" spans="1:25" ht="15" customHeight="1" x14ac:dyDescent="0.2">
      <c r="A35" s="95">
        <v>158.6</v>
      </c>
      <c r="B35" s="104">
        <f t="shared" si="3"/>
        <v>161.52895999999998</v>
      </c>
      <c r="C35" s="95">
        <v>-2.0879999999999999E-2</v>
      </c>
      <c r="D35" s="95">
        <v>8.6430000000000007E-2</v>
      </c>
      <c r="E35" s="22">
        <f t="shared" si="0"/>
        <v>54.467461012912558</v>
      </c>
      <c r="F35" s="23">
        <f t="shared" si="1"/>
        <v>54.467461012912558</v>
      </c>
      <c r="G35" s="22">
        <f t="shared" si="2"/>
        <v>56.654562288294976</v>
      </c>
      <c r="K35" s="114">
        <f t="shared" si="4"/>
        <v>144.4</v>
      </c>
      <c r="L35" s="21">
        <f t="shared" si="6"/>
        <v>-1.8270000000000002E-2</v>
      </c>
      <c r="M35" s="21">
        <f t="shared" si="7"/>
        <v>7.5939999999999994E-2</v>
      </c>
      <c r="N35" s="110">
        <f t="shared" si="5"/>
        <v>49.590803091201593</v>
      </c>
      <c r="O35" s="110">
        <f t="shared" si="5"/>
        <v>51.582085715194161</v>
      </c>
      <c r="P35" s="15"/>
      <c r="Q35" s="15"/>
    </row>
    <row r="36" spans="1:25" ht="15" customHeight="1" x14ac:dyDescent="0.2">
      <c r="A36" s="95">
        <v>183.3</v>
      </c>
      <c r="B36" s="104">
        <f t="shared" si="3"/>
        <v>186.70072999999999</v>
      </c>
      <c r="C36" s="95">
        <v>-2.5760000000000002E-2</v>
      </c>
      <c r="D36" s="95">
        <v>0.10574</v>
      </c>
      <c r="E36" s="22">
        <f t="shared" si="0"/>
        <v>62.950098383775988</v>
      </c>
      <c r="F36" s="23">
        <f t="shared" si="1"/>
        <v>62.950098383775988</v>
      </c>
      <c r="G36" s="22">
        <f t="shared" si="2"/>
        <v>65.477813792209773</v>
      </c>
      <c r="K36" s="114">
        <f t="shared" si="4"/>
        <v>158.6</v>
      </c>
      <c r="L36" s="21">
        <f t="shared" si="6"/>
        <v>-2.0879999999999999E-2</v>
      </c>
      <c r="M36" s="21">
        <f t="shared" si="7"/>
        <v>8.6430000000000007E-2</v>
      </c>
      <c r="N36" s="110">
        <f t="shared" si="5"/>
        <v>54.467461012912558</v>
      </c>
      <c r="O36" s="110">
        <f t="shared" si="5"/>
        <v>56.654562288294976</v>
      </c>
      <c r="P36" s="15"/>
      <c r="Q36" s="15"/>
    </row>
    <row r="37" spans="1:25" ht="15" customHeight="1" x14ac:dyDescent="0.2">
      <c r="A37" s="95">
        <v>199.3</v>
      </c>
      <c r="B37" s="104">
        <f t="shared" si="3"/>
        <v>203.00632999999999</v>
      </c>
      <c r="C37" s="95">
        <v>-2.9149999999999999E-2</v>
      </c>
      <c r="D37" s="95">
        <v>0.11894</v>
      </c>
      <c r="E37" s="22">
        <f t="shared" si="0"/>
        <v>68.444924211055948</v>
      </c>
      <c r="F37" s="23">
        <f t="shared" si="1"/>
        <v>68.444924211055948</v>
      </c>
      <c r="G37" s="22">
        <f t="shared" si="2"/>
        <v>71.19328035345012</v>
      </c>
      <c r="K37" s="114">
        <f t="shared" si="4"/>
        <v>183.3</v>
      </c>
      <c r="L37" s="21">
        <f t="shared" si="6"/>
        <v>-2.5760000000000002E-2</v>
      </c>
      <c r="M37" s="21">
        <f t="shared" si="7"/>
        <v>0.10574</v>
      </c>
      <c r="N37" s="110">
        <f t="shared" si="5"/>
        <v>62.950098383775988</v>
      </c>
      <c r="O37" s="110">
        <f t="shared" si="5"/>
        <v>65.477813792209773</v>
      </c>
      <c r="P37" s="15"/>
      <c r="Q37" s="15"/>
    </row>
    <row r="38" spans="1:25" ht="15" customHeight="1" x14ac:dyDescent="0.2">
      <c r="A38" s="95">
        <v>223.3</v>
      </c>
      <c r="B38" s="104">
        <f t="shared" si="3"/>
        <v>227.46472999999997</v>
      </c>
      <c r="C38" s="95">
        <v>-3.4439999999999998E-2</v>
      </c>
      <c r="D38" s="95">
        <v>0.13930999999999999</v>
      </c>
      <c r="E38" s="22">
        <f t="shared" si="0"/>
        <v>76.687162951975878</v>
      </c>
      <c r="F38" s="23">
        <f t="shared" si="1"/>
        <v>76.687162951975878</v>
      </c>
      <c r="G38" s="22">
        <f t="shared" si="2"/>
        <v>79.766480195310649</v>
      </c>
      <c r="K38" s="114">
        <f t="shared" si="4"/>
        <v>199.3</v>
      </c>
      <c r="L38" s="21">
        <f t="shared" si="6"/>
        <v>-2.9149999999999999E-2</v>
      </c>
      <c r="M38" s="21">
        <f t="shared" si="7"/>
        <v>0.11894</v>
      </c>
      <c r="N38" s="110">
        <f t="shared" si="5"/>
        <v>68.444924211055948</v>
      </c>
      <c r="O38" s="110">
        <f t="shared" si="5"/>
        <v>71.19328035345012</v>
      </c>
      <c r="P38" s="15"/>
      <c r="Q38" s="15"/>
    </row>
    <row r="39" spans="1:25" ht="15" customHeight="1" x14ac:dyDescent="0.2">
      <c r="A39" s="95">
        <v>236.3</v>
      </c>
      <c r="B39" s="104">
        <f t="shared" si="3"/>
        <v>240.71302999999997</v>
      </c>
      <c r="C39" s="95">
        <v>-3.7420000000000002E-2</v>
      </c>
      <c r="D39" s="95">
        <v>0.15060000000000001</v>
      </c>
      <c r="E39" s="22">
        <f t="shared" si="0"/>
        <v>81.151708936640844</v>
      </c>
      <c r="F39" s="23">
        <f t="shared" si="1"/>
        <v>81.151708936640844</v>
      </c>
      <c r="G39" s="22">
        <f t="shared" si="2"/>
        <v>84.410296776318432</v>
      </c>
      <c r="K39" s="114">
        <f t="shared" si="4"/>
        <v>223.3</v>
      </c>
      <c r="L39" s="21">
        <f t="shared" si="6"/>
        <v>-3.4439999999999998E-2</v>
      </c>
      <c r="M39" s="21">
        <f t="shared" si="7"/>
        <v>0.13930999999999999</v>
      </c>
      <c r="N39" s="110">
        <f t="shared" si="5"/>
        <v>76.687162951975878</v>
      </c>
      <c r="O39" s="110">
        <f t="shared" si="5"/>
        <v>79.766480195310649</v>
      </c>
      <c r="P39" s="15"/>
      <c r="Q39" s="15"/>
    </row>
    <row r="40" spans="1:25" ht="15" customHeight="1" x14ac:dyDescent="0.2">
      <c r="A40" s="95">
        <v>248.3</v>
      </c>
      <c r="B40" s="104">
        <f t="shared" si="3"/>
        <v>252.94223</v>
      </c>
      <c r="C40" s="95">
        <v>-4.0210000000000003E-2</v>
      </c>
      <c r="D40" s="95">
        <v>0.16108</v>
      </c>
      <c r="E40" s="22">
        <f t="shared" si="0"/>
        <v>85.272828307100809</v>
      </c>
      <c r="F40" s="23">
        <f t="shared" si="1"/>
        <v>85.272828307100809</v>
      </c>
      <c r="G40" s="22">
        <f t="shared" si="2"/>
        <v>88.696896697248704</v>
      </c>
      <c r="K40" s="114">
        <f t="shared" si="4"/>
        <v>236.3</v>
      </c>
      <c r="L40" s="21">
        <f t="shared" si="6"/>
        <v>-3.7420000000000002E-2</v>
      </c>
      <c r="M40" s="21">
        <f t="shared" si="7"/>
        <v>0.15060000000000001</v>
      </c>
      <c r="N40" s="110">
        <f t="shared" si="5"/>
        <v>81.151708936640844</v>
      </c>
      <c r="O40" s="110">
        <f t="shared" si="5"/>
        <v>84.410296776318432</v>
      </c>
      <c r="P40" s="15"/>
      <c r="Q40" s="15"/>
    </row>
    <row r="41" spans="1:25" ht="15" customHeight="1" x14ac:dyDescent="0.2">
      <c r="A41" s="95">
        <v>266.39999999999901</v>
      </c>
      <c r="B41" s="104">
        <f t="shared" si="3"/>
        <v>271.38793999999893</v>
      </c>
      <c r="C41" s="95">
        <v>-4.4540000000000003E-2</v>
      </c>
      <c r="D41" s="95">
        <v>0.17721000000000001</v>
      </c>
      <c r="E41" s="22">
        <f t="shared" si="0"/>
        <v>91.488850024210919</v>
      </c>
      <c r="F41" s="23">
        <f t="shared" si="1"/>
        <v>91.488850024210919</v>
      </c>
      <c r="G41" s="22">
        <f t="shared" si="2"/>
        <v>95.162518244651494</v>
      </c>
      <c r="K41" s="114">
        <f t="shared" si="4"/>
        <v>248.3</v>
      </c>
      <c r="L41" s="21">
        <f t="shared" si="6"/>
        <v>-4.0210000000000003E-2</v>
      </c>
      <c r="M41" s="21">
        <f t="shared" si="7"/>
        <v>0.16108</v>
      </c>
      <c r="N41" s="110">
        <f t="shared" si="5"/>
        <v>85.272828307100809</v>
      </c>
      <c r="O41" s="110">
        <f t="shared" si="5"/>
        <v>88.696896697248704</v>
      </c>
      <c r="P41" s="15"/>
      <c r="Q41" s="15"/>
      <c r="R41" s="27"/>
      <c r="S41" s="27"/>
      <c r="T41" s="27"/>
      <c r="U41" s="27"/>
      <c r="V41" s="27"/>
      <c r="W41" s="27"/>
      <c r="X41" s="27"/>
    </row>
    <row r="42" spans="1:25" ht="15" customHeight="1" x14ac:dyDescent="0.2">
      <c r="A42" s="95">
        <v>282.79999999999995</v>
      </c>
      <c r="B42" s="104">
        <f t="shared" si="3"/>
        <v>288.10117999999994</v>
      </c>
      <c r="C42" s="95">
        <v>-4.8439999999999997E-2</v>
      </c>
      <c r="D42" s="95">
        <v>0.19161</v>
      </c>
      <c r="E42" s="22">
        <f t="shared" si="0"/>
        <v>97.121046497173182</v>
      </c>
      <c r="F42" s="23">
        <f t="shared" si="1"/>
        <v>97.121046497173182</v>
      </c>
      <c r="G42" s="22">
        <f t="shared" si="2"/>
        <v>101.02087146992316</v>
      </c>
      <c r="K42" s="114">
        <f t="shared" si="4"/>
        <v>266.39999999999901</v>
      </c>
      <c r="L42" s="21">
        <f t="shared" si="6"/>
        <v>-4.4540000000000003E-2</v>
      </c>
      <c r="M42" s="21">
        <f t="shared" si="7"/>
        <v>0.17721000000000001</v>
      </c>
      <c r="N42" s="110">
        <f t="shared" si="5"/>
        <v>91.488850024210919</v>
      </c>
      <c r="O42" s="110">
        <f t="shared" si="5"/>
        <v>95.162518244651494</v>
      </c>
      <c r="P42" s="15"/>
      <c r="Q42" s="15"/>
    </row>
    <row r="43" spans="1:25" ht="15" customHeight="1" x14ac:dyDescent="0.2">
      <c r="A43" s="95">
        <v>292.29999999999995</v>
      </c>
      <c r="B43" s="104">
        <f t="shared" si="3"/>
        <v>297.78262999999993</v>
      </c>
      <c r="C43" s="95">
        <v>-5.0750000000000003E-2</v>
      </c>
      <c r="D43" s="95">
        <v>0.20008000000000001</v>
      </c>
      <c r="E43" s="22">
        <f t="shared" si="0"/>
        <v>100.38359933212067</v>
      </c>
      <c r="F43" s="23">
        <f t="shared" si="1"/>
        <v>100.38359933212067</v>
      </c>
      <c r="G43" s="22">
        <f t="shared" si="2"/>
        <v>104.41442974065964</v>
      </c>
      <c r="K43" s="114">
        <f t="shared" si="4"/>
        <v>282.79999999999995</v>
      </c>
      <c r="L43" s="21">
        <f t="shared" si="6"/>
        <v>-4.8439999999999997E-2</v>
      </c>
      <c r="M43" s="21">
        <f t="shared" si="7"/>
        <v>0.19161</v>
      </c>
      <c r="N43" s="110">
        <f t="shared" si="5"/>
        <v>97.121046497173182</v>
      </c>
      <c r="O43" s="110">
        <f t="shared" si="5"/>
        <v>101.02087146992316</v>
      </c>
      <c r="P43" s="15"/>
      <c r="Q43" s="15"/>
    </row>
    <row r="44" spans="1:25" ht="15" customHeight="1" x14ac:dyDescent="0.2">
      <c r="A44" s="95">
        <v>305.7</v>
      </c>
      <c r="B44" s="104">
        <f t="shared" si="3"/>
        <v>308.51858999999996</v>
      </c>
      <c r="C44" s="95">
        <v>-5.3960000000000001E-2</v>
      </c>
      <c r="D44" s="95">
        <v>0.21185000000000001</v>
      </c>
      <c r="E44" s="22">
        <f t="shared" si="0"/>
        <v>104.98551596246764</v>
      </c>
      <c r="F44" s="23">
        <f t="shared" si="1"/>
        <v>104.98551596246764</v>
      </c>
      <c r="G44" s="22">
        <f t="shared" si="2"/>
        <v>109.20113298569845</v>
      </c>
      <c r="K44" s="114">
        <f t="shared" si="4"/>
        <v>292.29999999999995</v>
      </c>
      <c r="L44" s="21">
        <f t="shared" si="6"/>
        <v>-5.0750000000000003E-2</v>
      </c>
      <c r="M44" s="21">
        <f t="shared" si="7"/>
        <v>0.20008000000000001</v>
      </c>
      <c r="N44" s="110">
        <f t="shared" si="5"/>
        <v>100.38359933212067</v>
      </c>
      <c r="O44" s="110">
        <f t="shared" si="5"/>
        <v>104.41442974065964</v>
      </c>
      <c r="P44" s="15"/>
      <c r="Q44" s="15"/>
      <c r="Y44" s="26"/>
    </row>
    <row r="45" spans="1:25" ht="15" customHeight="1" x14ac:dyDescent="0.2">
      <c r="A45" s="95">
        <v>317</v>
      </c>
      <c r="B45" s="104">
        <f t="shared" si="3"/>
        <v>319.95080000000002</v>
      </c>
      <c r="C45" s="95">
        <v>-5.6820000000000002E-2</v>
      </c>
      <c r="D45" s="95">
        <v>0.22214999999999999</v>
      </c>
      <c r="E45" s="22">
        <f t="shared" si="0"/>
        <v>108.86623670298411</v>
      </c>
      <c r="F45" s="23">
        <f t="shared" si="1"/>
        <v>108.86623670298411</v>
      </c>
      <c r="G45" s="22">
        <f t="shared" si="2"/>
        <v>113.23768124457445</v>
      </c>
      <c r="K45" s="114">
        <f t="shared" si="4"/>
        <v>305.7</v>
      </c>
      <c r="L45" s="21">
        <f t="shared" si="6"/>
        <v>-5.3960000000000001E-2</v>
      </c>
      <c r="M45" s="21">
        <f t="shared" si="7"/>
        <v>0.21185000000000001</v>
      </c>
      <c r="N45" s="110">
        <f t="shared" si="5"/>
        <v>104.98551596246764</v>
      </c>
      <c r="O45" s="110">
        <f t="shared" si="5"/>
        <v>109.20113298569845</v>
      </c>
      <c r="P45" s="15"/>
      <c r="Q45" s="15"/>
      <c r="T45" s="26"/>
      <c r="U45" s="26"/>
      <c r="V45" s="26"/>
    </row>
    <row r="46" spans="1:25" ht="15" customHeight="1" x14ac:dyDescent="0.2">
      <c r="A46" s="95">
        <v>328.79999999999995</v>
      </c>
      <c r="B46" s="104">
        <f t="shared" si="3"/>
        <v>331.88885999999997</v>
      </c>
      <c r="C46" s="95">
        <v>-6.0069999999999998E-2</v>
      </c>
      <c r="D46" s="95">
        <v>0.23372999999999999</v>
      </c>
      <c r="E46" s="22">
        <f t="shared" si="0"/>
        <v>112.91867075060306</v>
      </c>
      <c r="F46" s="23">
        <f t="shared" si="1"/>
        <v>112.91867075060306</v>
      </c>
      <c r="G46" s="22">
        <f t="shared" si="2"/>
        <v>117.45283783348918</v>
      </c>
      <c r="K46" s="114">
        <f t="shared" si="4"/>
        <v>317</v>
      </c>
      <c r="L46" s="21">
        <f t="shared" si="6"/>
        <v>-5.6820000000000002E-2</v>
      </c>
      <c r="M46" s="21">
        <f t="shared" si="7"/>
        <v>0.22214999999999999</v>
      </c>
      <c r="N46" s="110">
        <f t="shared" si="5"/>
        <v>108.86623670298411</v>
      </c>
      <c r="O46" s="110">
        <f t="shared" si="5"/>
        <v>113.23768124457445</v>
      </c>
      <c r="P46" s="15"/>
      <c r="Q46" s="15"/>
    </row>
    <row r="47" spans="1:25" ht="15" customHeight="1" x14ac:dyDescent="0.2">
      <c r="A47" s="95">
        <v>341.59999999999997</v>
      </c>
      <c r="B47" s="104">
        <f t="shared" si="3"/>
        <v>344.83861999999999</v>
      </c>
      <c r="C47" s="95">
        <v>-6.3729999999999995E-2</v>
      </c>
      <c r="D47" s="95">
        <v>0.24668000000000001</v>
      </c>
      <c r="E47" s="22">
        <f t="shared" si="0"/>
        <v>117.31453141242703</v>
      </c>
      <c r="F47" s="23">
        <f t="shared" si="1"/>
        <v>117.31453141242703</v>
      </c>
      <c r="G47" s="22">
        <f t="shared" si="2"/>
        <v>122.02521108248148</v>
      </c>
      <c r="K47" s="114">
        <f t="shared" si="4"/>
        <v>328.79999999999995</v>
      </c>
      <c r="L47" s="21">
        <f t="shared" si="6"/>
        <v>-6.0069999999999998E-2</v>
      </c>
      <c r="M47" s="21">
        <f t="shared" si="7"/>
        <v>0.23372999999999999</v>
      </c>
      <c r="N47" s="110">
        <f t="shared" si="5"/>
        <v>112.91867075060306</v>
      </c>
      <c r="O47" s="110">
        <f t="shared" si="5"/>
        <v>117.45283783348918</v>
      </c>
      <c r="P47" s="15"/>
      <c r="Q47" s="15"/>
    </row>
    <row r="48" spans="1:25" ht="15" customHeight="1" x14ac:dyDescent="0.2">
      <c r="A48" s="95">
        <v>359.5</v>
      </c>
      <c r="B48" s="104">
        <f t="shared" si="3"/>
        <v>362.94805000000002</v>
      </c>
      <c r="C48" s="95">
        <v>-6.9169999999999995E-2</v>
      </c>
      <c r="D48" s="95">
        <v>0.26556000000000002</v>
      </c>
      <c r="E48" s="22">
        <f t="shared" si="0"/>
        <v>123.46186780669649</v>
      </c>
      <c r="F48" s="23">
        <f t="shared" si="1"/>
        <v>123.46186780669649</v>
      </c>
      <c r="G48" s="22">
        <f t="shared" si="2"/>
        <v>128.41938929786912</v>
      </c>
      <c r="K48" s="114">
        <f t="shared" si="4"/>
        <v>341.59999999999997</v>
      </c>
      <c r="L48" s="21">
        <f t="shared" si="6"/>
        <v>-6.3729999999999995E-2</v>
      </c>
      <c r="M48" s="21">
        <f t="shared" si="7"/>
        <v>0.24668000000000001</v>
      </c>
      <c r="N48" s="110">
        <f t="shared" si="5"/>
        <v>117.31453141242703</v>
      </c>
      <c r="O48" s="110">
        <f t="shared" si="5"/>
        <v>122.02521108248148</v>
      </c>
      <c r="P48" s="15"/>
      <c r="Q48" s="15"/>
    </row>
    <row r="49" spans="1:22" ht="15" customHeight="1" x14ac:dyDescent="0.2">
      <c r="A49" s="95">
        <v>372.79999999999995</v>
      </c>
      <c r="B49" s="104">
        <f t="shared" si="3"/>
        <v>376.40365999999995</v>
      </c>
      <c r="C49" s="95">
        <v>-7.3139999999999997E-2</v>
      </c>
      <c r="D49" s="95">
        <v>0.27909</v>
      </c>
      <c r="E49" s="22">
        <f t="shared" si="0"/>
        <v>128.02944177562293</v>
      </c>
      <c r="F49" s="23">
        <f t="shared" si="1"/>
        <v>128.02944177562293</v>
      </c>
      <c r="G49" s="22">
        <f t="shared" si="2"/>
        <v>133.17037087690014</v>
      </c>
      <c r="K49" s="114">
        <f t="shared" si="4"/>
        <v>359.5</v>
      </c>
      <c r="L49" s="21">
        <f t="shared" si="6"/>
        <v>-6.9169999999999995E-2</v>
      </c>
      <c r="M49" s="21">
        <f t="shared" si="7"/>
        <v>0.26556000000000002</v>
      </c>
      <c r="N49" s="110">
        <f t="shared" si="5"/>
        <v>123.46186780669649</v>
      </c>
      <c r="O49" s="110">
        <f t="shared" si="5"/>
        <v>128.41938929786912</v>
      </c>
      <c r="P49" s="15"/>
      <c r="Q49" s="15"/>
      <c r="V49" s="25"/>
    </row>
    <row r="50" spans="1:22" ht="15" customHeight="1" x14ac:dyDescent="0.2">
      <c r="A50" s="95">
        <v>392</v>
      </c>
      <c r="B50" s="104">
        <f t="shared" si="3"/>
        <v>395.82830000000001</v>
      </c>
      <c r="C50" s="95">
        <v>-7.8820000000000001E-2</v>
      </c>
      <c r="D50" s="95">
        <v>0.29803000000000002</v>
      </c>
      <c r="E50" s="22">
        <f t="shared" si="0"/>
        <v>134.62323276835892</v>
      </c>
      <c r="F50" s="23">
        <f t="shared" si="1"/>
        <v>134.62323276835892</v>
      </c>
      <c r="G50" s="22">
        <f t="shared" si="2"/>
        <v>140.02893075038861</v>
      </c>
      <c r="K50" s="114">
        <f t="shared" si="4"/>
        <v>372.79999999999995</v>
      </c>
      <c r="L50" s="21">
        <f t="shared" si="6"/>
        <v>-7.3139999999999997E-2</v>
      </c>
      <c r="M50" s="21">
        <f t="shared" si="7"/>
        <v>0.27909</v>
      </c>
      <c r="N50" s="110">
        <f t="shared" si="5"/>
        <v>128.02944177562293</v>
      </c>
      <c r="O50" s="110">
        <f t="shared" si="5"/>
        <v>133.17037087690014</v>
      </c>
      <c r="P50" s="15"/>
      <c r="Q50" s="15"/>
    </row>
    <row r="51" spans="1:22" ht="15" customHeight="1" x14ac:dyDescent="0.2">
      <c r="A51" s="95">
        <v>407.79999999999995</v>
      </c>
      <c r="B51" s="104">
        <f t="shared" si="3"/>
        <v>411.81315999999998</v>
      </c>
      <c r="C51" s="95">
        <v>-8.3559999999999995E-2</v>
      </c>
      <c r="D51" s="95">
        <v>0.31353999999999999</v>
      </c>
      <c r="E51" s="22">
        <f t="shared" si="0"/>
        <v>140.04937327279785</v>
      </c>
      <c r="F51" s="23">
        <f t="shared" si="1"/>
        <v>140.04937327279785</v>
      </c>
      <c r="G51" s="22">
        <f t="shared" si="2"/>
        <v>145.67295397961342</v>
      </c>
      <c r="K51" s="114">
        <f t="shared" si="4"/>
        <v>392</v>
      </c>
      <c r="L51" s="21">
        <f t="shared" si="6"/>
        <v>-7.8820000000000001E-2</v>
      </c>
      <c r="M51" s="21">
        <f t="shared" si="7"/>
        <v>0.29803000000000002</v>
      </c>
      <c r="N51" s="110">
        <f t="shared" si="5"/>
        <v>134.62323276835892</v>
      </c>
      <c r="O51" s="110">
        <f t="shared" si="5"/>
        <v>140.02893075038861</v>
      </c>
      <c r="P51" s="15"/>
      <c r="Q51" s="15"/>
      <c r="V51" s="25"/>
    </row>
    <row r="52" spans="1:22" ht="15" customHeight="1" x14ac:dyDescent="0.2">
      <c r="A52" s="95">
        <v>424.29999999999995</v>
      </c>
      <c r="B52" s="104">
        <f t="shared" si="3"/>
        <v>428.50620999999995</v>
      </c>
      <c r="C52" s="95">
        <v>-8.8779999999999998E-2</v>
      </c>
      <c r="D52" s="95">
        <v>0.32973000000000002</v>
      </c>
      <c r="E52" s="22">
        <f t="shared" si="0"/>
        <v>145.7159124071803</v>
      </c>
      <c r="F52" s="23">
        <f t="shared" si="1"/>
        <v>145.7159124071803</v>
      </c>
      <c r="G52" s="22">
        <f t="shared" si="2"/>
        <v>151.56702887089253</v>
      </c>
      <c r="K52" s="114">
        <f t="shared" si="4"/>
        <v>407.79999999999995</v>
      </c>
      <c r="L52" s="21">
        <f t="shared" si="6"/>
        <v>-8.3559999999999995E-2</v>
      </c>
      <c r="M52" s="21">
        <f t="shared" si="7"/>
        <v>0.31353999999999999</v>
      </c>
      <c r="N52" s="110">
        <f t="shared" si="5"/>
        <v>140.04937327279785</v>
      </c>
      <c r="O52" s="110">
        <f t="shared" si="5"/>
        <v>145.67295397961342</v>
      </c>
      <c r="P52" s="15"/>
      <c r="Q52" s="15"/>
      <c r="V52" s="25"/>
    </row>
    <row r="53" spans="1:22" ht="15" customHeight="1" x14ac:dyDescent="0.2">
      <c r="A53" s="95">
        <v>435</v>
      </c>
      <c r="B53" s="104">
        <f t="shared" si="3"/>
        <v>439.33140000000003</v>
      </c>
      <c r="C53" s="95">
        <v>-9.2749999999999999E-2</v>
      </c>
      <c r="D53" s="95">
        <v>0.34281</v>
      </c>
      <c r="E53" s="22">
        <f t="shared" si="0"/>
        <v>149.39057717917379</v>
      </c>
      <c r="F53" s="23">
        <f t="shared" si="1"/>
        <v>149.39057717917379</v>
      </c>
      <c r="G53" s="22">
        <f t="shared" si="2"/>
        <v>155.38924713372205</v>
      </c>
      <c r="K53" s="114">
        <f t="shared" si="4"/>
        <v>424.29999999999995</v>
      </c>
      <c r="L53" s="21">
        <f t="shared" si="6"/>
        <v>-8.8779999999999998E-2</v>
      </c>
      <c r="M53" s="21">
        <f t="shared" si="7"/>
        <v>0.32973000000000002</v>
      </c>
      <c r="N53" s="110">
        <f t="shared" si="5"/>
        <v>145.7159124071803</v>
      </c>
      <c r="O53" s="110">
        <f t="shared" si="5"/>
        <v>151.56702887089253</v>
      </c>
      <c r="P53" s="15"/>
      <c r="Q53" s="15"/>
      <c r="V53" s="25"/>
    </row>
    <row r="54" spans="1:22" ht="15" customHeight="1" x14ac:dyDescent="0.2">
      <c r="A54" s="95">
        <v>444.5</v>
      </c>
      <c r="B54" s="104">
        <f t="shared" si="3"/>
        <v>448.94254999999998</v>
      </c>
      <c r="C54" s="95">
        <v>-9.6939999999999998E-2</v>
      </c>
      <c r="D54" s="95">
        <v>0.35294999999999999</v>
      </c>
      <c r="E54" s="22">
        <f t="shared" si="0"/>
        <v>152.65313001412125</v>
      </c>
      <c r="F54" s="23">
        <f t="shared" si="1"/>
        <v>152.65313001412125</v>
      </c>
      <c r="G54" s="22">
        <f t="shared" si="2"/>
        <v>158.78280540445849</v>
      </c>
      <c r="K54" s="114">
        <f t="shared" si="4"/>
        <v>435</v>
      </c>
      <c r="L54" s="21">
        <f t="shared" si="6"/>
        <v>-9.2749999999999999E-2</v>
      </c>
      <c r="M54" s="21">
        <f t="shared" si="7"/>
        <v>0.34281</v>
      </c>
      <c r="N54" s="110">
        <f t="shared" si="5"/>
        <v>149.39057717917379</v>
      </c>
      <c r="O54" s="110">
        <f t="shared" si="5"/>
        <v>155.38924713372205</v>
      </c>
      <c r="P54" s="15"/>
      <c r="Q54" s="15"/>
      <c r="V54" s="25"/>
    </row>
    <row r="55" spans="1:22" ht="15" customHeight="1" x14ac:dyDescent="0.2">
      <c r="A55" s="95">
        <v>461.79999999999995</v>
      </c>
      <c r="B55" s="104">
        <f t="shared" si="3"/>
        <v>466.44495999999998</v>
      </c>
      <c r="C55" s="95">
        <v>-0.10181999999999999</v>
      </c>
      <c r="D55" s="95">
        <v>0.36303999999999997</v>
      </c>
      <c r="E55" s="22">
        <f t="shared" si="0"/>
        <v>158.59441043986769</v>
      </c>
      <c r="F55" s="23">
        <f t="shared" si="1"/>
        <v>158.59441043986769</v>
      </c>
      <c r="G55" s="22">
        <f t="shared" si="2"/>
        <v>164.96265362379961</v>
      </c>
      <c r="K55" s="114">
        <f t="shared" si="4"/>
        <v>444.5</v>
      </c>
      <c r="L55" s="21">
        <f t="shared" si="6"/>
        <v>-9.6939999999999998E-2</v>
      </c>
      <c r="M55" s="21">
        <f t="shared" si="7"/>
        <v>0.35294999999999999</v>
      </c>
      <c r="N55" s="110">
        <f t="shared" si="5"/>
        <v>152.65313001412125</v>
      </c>
      <c r="O55" s="110">
        <f t="shared" si="5"/>
        <v>158.78280540445849</v>
      </c>
      <c r="P55" s="15"/>
      <c r="Q55" s="15"/>
      <c r="V55" s="25"/>
    </row>
    <row r="56" spans="1:22" ht="15" customHeight="1" x14ac:dyDescent="0.2">
      <c r="A56" s="95">
        <v>485</v>
      </c>
      <c r="B56" s="104">
        <f t="shared" si="3"/>
        <v>489.91640000000001</v>
      </c>
      <c r="C56" s="95">
        <v>-0.10919</v>
      </c>
      <c r="D56" s="95">
        <v>0.38922000000000001</v>
      </c>
      <c r="E56" s="22">
        <f t="shared" si="0"/>
        <v>166.56190788942365</v>
      </c>
      <c r="F56" s="23">
        <f t="shared" si="1"/>
        <v>166.56190788942365</v>
      </c>
      <c r="G56" s="22">
        <f t="shared" si="2"/>
        <v>173.25008013759813</v>
      </c>
      <c r="K56" s="114">
        <f t="shared" si="4"/>
        <v>461.79999999999995</v>
      </c>
      <c r="L56" s="21">
        <f t="shared" si="6"/>
        <v>-0.10181999999999999</v>
      </c>
      <c r="M56" s="21">
        <f t="shared" si="7"/>
        <v>0.36303999999999997</v>
      </c>
      <c r="N56" s="110">
        <f t="shared" si="5"/>
        <v>158.59441043986769</v>
      </c>
      <c r="O56" s="110">
        <f t="shared" si="5"/>
        <v>164.96265362379961</v>
      </c>
      <c r="P56" s="15"/>
      <c r="Q56" s="15"/>
      <c r="V56" s="25"/>
    </row>
    <row r="57" spans="1:22" ht="15" customHeight="1" x14ac:dyDescent="0.2">
      <c r="A57" s="95">
        <v>495.9</v>
      </c>
      <c r="B57" s="104">
        <f t="shared" si="3"/>
        <v>500.94392999999997</v>
      </c>
      <c r="C57" s="95">
        <v>-0.11394</v>
      </c>
      <c r="D57" s="95">
        <v>0.40182000000000001</v>
      </c>
      <c r="E57" s="22">
        <f t="shared" si="0"/>
        <v>170.30525798425811</v>
      </c>
      <c r="F57" s="23">
        <f t="shared" si="1"/>
        <v>170.30525798425811</v>
      </c>
      <c r="G57" s="22">
        <f t="shared" si="2"/>
        <v>177.14374173244312</v>
      </c>
      <c r="K57" s="114">
        <f t="shared" si="4"/>
        <v>485</v>
      </c>
      <c r="L57" s="21">
        <f t="shared" si="6"/>
        <v>-0.10919</v>
      </c>
      <c r="M57" s="21">
        <f t="shared" si="7"/>
        <v>0.38922000000000001</v>
      </c>
      <c r="N57" s="110">
        <f t="shared" si="5"/>
        <v>166.56190788942365</v>
      </c>
      <c r="O57" s="110">
        <f t="shared" si="5"/>
        <v>173.25008013759813</v>
      </c>
      <c r="P57" s="15"/>
      <c r="Q57" s="15"/>
      <c r="V57" s="25"/>
    </row>
    <row r="58" spans="1:22" ht="15" customHeight="1" x14ac:dyDescent="0.2">
      <c r="A58" s="95">
        <v>497</v>
      </c>
      <c r="B58" s="104">
        <f t="shared" si="3"/>
        <v>502.05680000000001</v>
      </c>
      <c r="C58" s="95">
        <v>-0.12066</v>
      </c>
      <c r="D58" s="95">
        <v>0.41188999999999998</v>
      </c>
      <c r="E58" s="22">
        <f t="shared" si="0"/>
        <v>170.6830272598836</v>
      </c>
      <c r="F58" s="23">
        <f t="shared" si="1"/>
        <v>170.6830272598836</v>
      </c>
      <c r="G58" s="22">
        <f t="shared" si="2"/>
        <v>177.53668005852839</v>
      </c>
      <c r="K58" s="114">
        <f t="shared" si="4"/>
        <v>495.9</v>
      </c>
      <c r="L58" s="21">
        <f t="shared" si="6"/>
        <v>-0.11394</v>
      </c>
      <c r="M58" s="21">
        <f t="shared" si="7"/>
        <v>0.40182000000000001</v>
      </c>
      <c r="N58" s="110">
        <f t="shared" si="5"/>
        <v>170.30525798425811</v>
      </c>
      <c r="O58" s="110">
        <f t="shared" si="5"/>
        <v>177.14374173244312</v>
      </c>
      <c r="P58" s="15"/>
      <c r="Q58" s="15"/>
    </row>
    <row r="59" spans="1:22" ht="15" customHeight="1" x14ac:dyDescent="0.2">
      <c r="A59" s="14"/>
      <c r="B59" s="105"/>
      <c r="C59" s="14"/>
      <c r="D59" s="14"/>
      <c r="E59" s="14"/>
      <c r="F59" s="14"/>
      <c r="G59" s="14"/>
      <c r="K59" s="114">
        <f t="shared" si="4"/>
        <v>497</v>
      </c>
      <c r="L59" s="21">
        <f t="shared" si="6"/>
        <v>-0.12066</v>
      </c>
      <c r="M59" s="21">
        <f t="shared" si="7"/>
        <v>0.41188999999999998</v>
      </c>
      <c r="N59" s="110">
        <f t="shared" ref="N59:O59" si="8">F58</f>
        <v>170.6830272598836</v>
      </c>
      <c r="O59" s="110">
        <f t="shared" si="8"/>
        <v>177.53668005852839</v>
      </c>
      <c r="P59" s="15"/>
      <c r="Q59" s="15"/>
      <c r="V59" s="25"/>
    </row>
    <row r="60" spans="1:22" ht="15" customHeight="1" x14ac:dyDescent="0.2">
      <c r="A60" s="14"/>
      <c r="B60" s="105"/>
      <c r="C60" s="14"/>
      <c r="D60" s="14"/>
      <c r="E60" s="14"/>
      <c r="F60" s="14"/>
      <c r="G60" s="14"/>
      <c r="K60" s="15"/>
      <c r="L60" s="16"/>
      <c r="M60" s="16"/>
      <c r="N60" s="15"/>
      <c r="O60" s="15"/>
      <c r="P60" s="15"/>
      <c r="Q60" s="15"/>
      <c r="V60" s="25"/>
    </row>
    <row r="61" spans="1:22" ht="15" customHeight="1" x14ac:dyDescent="0.2">
      <c r="A61" s="14"/>
      <c r="B61" s="105"/>
      <c r="C61" s="14"/>
      <c r="D61" s="14"/>
      <c r="E61" s="14"/>
      <c r="F61" s="14"/>
      <c r="G61" s="14"/>
      <c r="K61" s="18" t="s">
        <v>48</v>
      </c>
      <c r="L61" s="16"/>
      <c r="M61" s="16"/>
      <c r="N61" s="15"/>
      <c r="O61" s="15"/>
      <c r="P61" s="15"/>
      <c r="Q61" s="15"/>
    </row>
    <row r="62" spans="1:22" ht="15" customHeight="1" x14ac:dyDescent="0.2">
      <c r="A62" s="14"/>
      <c r="B62" s="105"/>
      <c r="C62" s="14"/>
      <c r="D62" s="14"/>
      <c r="E62" s="14"/>
      <c r="F62" s="14"/>
      <c r="G62" s="14"/>
      <c r="K62" s="19" t="s">
        <v>88</v>
      </c>
      <c r="L62" s="16"/>
      <c r="M62" s="16"/>
      <c r="N62" s="15"/>
      <c r="O62" s="15"/>
      <c r="P62" s="15"/>
      <c r="Q62" s="15"/>
      <c r="U62" s="25"/>
    </row>
    <row r="63" spans="1:22" ht="15" customHeight="1" x14ac:dyDescent="0.2">
      <c r="A63" s="14"/>
      <c r="B63" s="105"/>
      <c r="C63" s="14"/>
      <c r="D63" s="14"/>
      <c r="E63" s="14"/>
      <c r="F63" s="14"/>
      <c r="G63" s="14"/>
      <c r="K63" s="19" t="s">
        <v>47</v>
      </c>
      <c r="L63" s="16"/>
      <c r="M63" s="16"/>
      <c r="O63" s="15"/>
      <c r="P63" s="15"/>
      <c r="Q63" s="15"/>
    </row>
    <row r="64" spans="1:22" ht="15" customHeight="1" x14ac:dyDescent="0.2">
      <c r="A64" s="14"/>
      <c r="B64" s="105"/>
      <c r="C64" s="14"/>
      <c r="D64" s="14"/>
      <c r="E64" s="14"/>
      <c r="F64" s="14"/>
      <c r="G64" s="14"/>
      <c r="K64" s="17" t="s">
        <v>46</v>
      </c>
      <c r="L64" s="16"/>
      <c r="M64" s="16"/>
      <c r="O64" s="15"/>
      <c r="P64" s="15"/>
      <c r="Q64" s="15"/>
    </row>
    <row r="65" spans="1:22" ht="15" customHeight="1" x14ac:dyDescent="0.2">
      <c r="A65" s="14"/>
      <c r="B65" s="105"/>
      <c r="C65" s="14"/>
      <c r="D65" s="14"/>
      <c r="E65" s="14"/>
      <c r="F65" s="14"/>
      <c r="G65" s="14"/>
      <c r="L65" s="16"/>
      <c r="M65" s="16"/>
      <c r="O65" s="15"/>
      <c r="P65" s="15"/>
      <c r="Q65" s="15"/>
    </row>
    <row r="66" spans="1:22" ht="15" customHeight="1" x14ac:dyDescent="0.2">
      <c r="A66" s="14"/>
      <c r="B66" s="105"/>
      <c r="C66" s="14"/>
      <c r="D66" s="14"/>
      <c r="E66" s="14"/>
      <c r="F66" s="14"/>
      <c r="G66" s="14"/>
      <c r="K66" s="18" t="s">
        <v>45</v>
      </c>
      <c r="O66" s="15"/>
      <c r="P66" s="15"/>
      <c r="Q66" s="15"/>
    </row>
    <row r="67" spans="1:22" ht="15" customHeight="1" x14ac:dyDescent="0.2">
      <c r="A67" s="14"/>
      <c r="B67" s="105"/>
      <c r="C67" s="14"/>
      <c r="D67" s="14"/>
      <c r="E67" s="14"/>
      <c r="F67" s="14"/>
      <c r="G67" s="14"/>
      <c r="K67" s="17" t="str">
        <f>+CONCATENATE("a. Velocidad de ensayo: ",D22, E22)</f>
        <v>a. Velocidad de ensayo: 0,5 MPa/s</v>
      </c>
      <c r="O67" s="15"/>
      <c r="P67" s="15"/>
      <c r="Q67" s="15"/>
    </row>
    <row r="68" spans="1:22" ht="15" customHeight="1" x14ac:dyDescent="0.2">
      <c r="A68" s="14"/>
      <c r="B68" s="105"/>
      <c r="C68" s="14"/>
      <c r="D68" s="14"/>
      <c r="E68" s="14"/>
      <c r="F68" s="14"/>
      <c r="G68" s="14"/>
      <c r="K68" s="17" t="s">
        <v>44</v>
      </c>
      <c r="O68" s="15"/>
      <c r="P68" s="15"/>
      <c r="Q68" s="15"/>
    </row>
    <row r="69" spans="1:22" ht="15" customHeight="1" x14ac:dyDescent="0.2">
      <c r="A69" s="14"/>
      <c r="B69" s="105"/>
      <c r="C69" s="14"/>
      <c r="D69" s="14"/>
      <c r="E69" s="14"/>
      <c r="F69" s="14"/>
      <c r="G69" s="14"/>
      <c r="K69" s="108" t="str">
        <f>IF(H10&lt;2,"b. La probeta no cumple con la relación de esbeltez 2,50&gt; L/D&gt;2,00. ",IF(H10&gt;2.5,"b. La probeta no cumple con la relación de esbeltez 2,50&gt;L/D&gt;2,00.",IF(H10&gt;2," ",IF(H10&lt;2.5," "))))</f>
        <v xml:space="preserve"> </v>
      </c>
      <c r="L69" s="16"/>
      <c r="M69" s="16"/>
      <c r="O69" s="15"/>
      <c r="P69" s="15"/>
      <c r="Q69" s="15"/>
    </row>
    <row r="70" spans="1:22" ht="15" customHeight="1" x14ac:dyDescent="0.2">
      <c r="A70" s="14"/>
      <c r="B70" s="105"/>
      <c r="C70" s="14"/>
      <c r="D70" s="14"/>
      <c r="E70" s="14"/>
      <c r="F70" s="14"/>
      <c r="G70" s="14"/>
      <c r="O70" s="15"/>
      <c r="P70" s="15"/>
      <c r="Q70" s="15"/>
    </row>
    <row r="71" spans="1:22" ht="15" customHeight="1" x14ac:dyDescent="0.2">
      <c r="A71" s="14"/>
      <c r="B71" s="105"/>
      <c r="C71" s="14"/>
      <c r="D71" s="14"/>
      <c r="E71" s="14"/>
      <c r="F71" s="14"/>
      <c r="G71" s="14"/>
      <c r="O71" s="15"/>
      <c r="P71" s="15"/>
      <c r="Q71" s="15"/>
    </row>
    <row r="72" spans="1:22" ht="15" customHeight="1" x14ac:dyDescent="0.2">
      <c r="A72" s="14"/>
      <c r="B72" s="105"/>
      <c r="C72" s="14"/>
      <c r="D72" s="14"/>
      <c r="E72" s="14"/>
      <c r="F72" s="14"/>
      <c r="G72" s="14"/>
      <c r="O72" s="15"/>
      <c r="P72" s="15"/>
      <c r="Q72" s="15"/>
    </row>
    <row r="73" spans="1:22" ht="15" customHeight="1" x14ac:dyDescent="0.2">
      <c r="A73" s="14"/>
      <c r="B73" s="105"/>
      <c r="C73" s="14"/>
      <c r="D73" s="14"/>
      <c r="E73" s="14"/>
      <c r="F73" s="14"/>
      <c r="G73" s="14"/>
      <c r="P73" s="15"/>
      <c r="Q73" s="15"/>
    </row>
    <row r="74" spans="1:22" ht="15" customHeight="1" x14ac:dyDescent="0.2">
      <c r="A74" s="14"/>
      <c r="B74" s="105"/>
      <c r="C74" s="14"/>
      <c r="D74" s="14"/>
      <c r="E74" s="14"/>
      <c r="F74" s="14"/>
      <c r="G74" s="14"/>
      <c r="P74" s="15"/>
      <c r="Q74" s="15"/>
      <c r="V74" s="24"/>
    </row>
    <row r="75" spans="1:22" ht="15" customHeight="1" x14ac:dyDescent="0.2">
      <c r="A75" s="14"/>
      <c r="B75" s="105"/>
      <c r="C75" s="14"/>
      <c r="D75" s="14"/>
      <c r="E75" s="14"/>
      <c r="F75" s="14"/>
      <c r="G75" s="14"/>
      <c r="P75" s="15"/>
      <c r="Q75" s="15"/>
    </row>
    <row r="76" spans="1:22" ht="15" customHeight="1" x14ac:dyDescent="0.2">
      <c r="A76" s="14"/>
      <c r="B76" s="105"/>
      <c r="C76" s="14"/>
      <c r="D76" s="14"/>
      <c r="E76" s="14"/>
      <c r="F76" s="14"/>
      <c r="G76" s="14"/>
      <c r="P76" s="15"/>
      <c r="Q76" s="15"/>
    </row>
    <row r="77" spans="1:22" ht="15" customHeight="1" x14ac:dyDescent="0.2">
      <c r="A77" s="14"/>
      <c r="B77" s="105"/>
      <c r="C77" s="14"/>
      <c r="D77" s="14"/>
      <c r="E77" s="14"/>
      <c r="F77" s="14"/>
      <c r="G77" s="14"/>
      <c r="P77" s="15"/>
      <c r="Q77" s="15"/>
    </row>
    <row r="78" spans="1:22" ht="15" customHeight="1" x14ac:dyDescent="0.2">
      <c r="A78" s="14"/>
      <c r="B78" s="105"/>
      <c r="C78" s="14"/>
      <c r="D78" s="14"/>
      <c r="E78" s="14"/>
      <c r="F78" s="14"/>
      <c r="G78" s="14"/>
    </row>
    <row r="79" spans="1:22" ht="15" customHeight="1" x14ac:dyDescent="0.2">
      <c r="A79" s="14"/>
      <c r="B79" s="105"/>
      <c r="C79" s="14"/>
      <c r="D79" s="14"/>
      <c r="E79" s="14"/>
      <c r="F79" s="14"/>
      <c r="G79" s="14"/>
    </row>
    <row r="80" spans="1:22" ht="15" customHeight="1" x14ac:dyDescent="0.2">
      <c r="A80" s="14"/>
      <c r="B80" s="105"/>
      <c r="C80" s="14"/>
      <c r="D80" s="14"/>
      <c r="E80" s="14"/>
      <c r="F80" s="14"/>
      <c r="G80" s="14"/>
    </row>
    <row r="81" spans="1:7" ht="15" customHeight="1" x14ac:dyDescent="0.2">
      <c r="A81" s="14"/>
      <c r="B81" s="105"/>
      <c r="C81" s="14"/>
      <c r="D81" s="14"/>
      <c r="E81" s="14"/>
      <c r="F81" s="14"/>
      <c r="G81" s="14"/>
    </row>
    <row r="82" spans="1:7" ht="15" customHeight="1" x14ac:dyDescent="0.2">
      <c r="A82" s="14"/>
      <c r="B82" s="105"/>
      <c r="C82" s="14"/>
      <c r="D82" s="14"/>
      <c r="E82" s="14"/>
      <c r="F82" s="14"/>
      <c r="G82" s="14"/>
    </row>
    <row r="83" spans="1:7" ht="15" customHeight="1" x14ac:dyDescent="0.2">
      <c r="A83" s="14"/>
      <c r="B83" s="105"/>
      <c r="C83" s="14"/>
      <c r="D83" s="14"/>
      <c r="E83" s="14"/>
      <c r="F83" s="14"/>
      <c r="G83" s="14"/>
    </row>
    <row r="84" spans="1:7" ht="15" customHeight="1" x14ac:dyDescent="0.2">
      <c r="A84" s="14"/>
      <c r="B84" s="105"/>
      <c r="C84" s="14"/>
      <c r="D84" s="14"/>
      <c r="E84" s="14"/>
      <c r="F84" s="14"/>
      <c r="G84" s="14"/>
    </row>
    <row r="85" spans="1:7" ht="15" customHeight="1" x14ac:dyDescent="0.2">
      <c r="A85" s="14"/>
      <c r="B85" s="105"/>
      <c r="C85" s="14"/>
      <c r="D85" s="14"/>
      <c r="E85" s="14"/>
      <c r="F85" s="14"/>
      <c r="G85" s="14"/>
    </row>
    <row r="86" spans="1:7" ht="15" customHeight="1" x14ac:dyDescent="0.2">
      <c r="A86" s="14"/>
      <c r="B86" s="105"/>
      <c r="C86" s="14"/>
      <c r="D86" s="14"/>
      <c r="E86" s="14"/>
      <c r="F86" s="14"/>
      <c r="G86" s="14"/>
    </row>
    <row r="87" spans="1:7" ht="15" customHeight="1" x14ac:dyDescent="0.2">
      <c r="A87" s="14"/>
      <c r="B87" s="105"/>
      <c r="C87" s="14"/>
      <c r="D87" s="14"/>
      <c r="E87" s="14"/>
      <c r="F87" s="14"/>
      <c r="G87" s="14"/>
    </row>
    <row r="88" spans="1:7" ht="15" customHeight="1" x14ac:dyDescent="0.2">
      <c r="A88" s="14"/>
      <c r="B88" s="105"/>
      <c r="C88" s="14"/>
      <c r="D88" s="14"/>
      <c r="E88" s="14"/>
      <c r="F88" s="14"/>
      <c r="G88" s="14"/>
    </row>
    <row r="89" spans="1:7" ht="15" customHeight="1" x14ac:dyDescent="0.2">
      <c r="A89" s="14"/>
      <c r="B89" s="105"/>
      <c r="C89" s="14"/>
      <c r="D89" s="14"/>
      <c r="E89" s="14"/>
      <c r="F89" s="14"/>
      <c r="G89" s="14"/>
    </row>
    <row r="90" spans="1:7" ht="15" customHeight="1" x14ac:dyDescent="0.2">
      <c r="A90" s="14"/>
      <c r="B90" s="105"/>
      <c r="C90" s="14"/>
      <c r="D90" s="14"/>
      <c r="E90" s="14"/>
      <c r="F90" s="14"/>
      <c r="G90" s="14"/>
    </row>
    <row r="91" spans="1:7" ht="15" customHeight="1" x14ac:dyDescent="0.2">
      <c r="A91" s="14"/>
      <c r="B91" s="105"/>
      <c r="C91" s="14"/>
      <c r="D91" s="14"/>
      <c r="E91" s="14"/>
      <c r="F91" s="14"/>
      <c r="G91" s="14"/>
    </row>
    <row r="92" spans="1:7" ht="15" customHeight="1" x14ac:dyDescent="0.2">
      <c r="A92" s="14"/>
      <c r="B92" s="105"/>
      <c r="C92" s="14"/>
      <c r="D92" s="14"/>
      <c r="E92" s="14"/>
      <c r="F92" s="14"/>
      <c r="G92" s="14"/>
    </row>
    <row r="93" spans="1:7" ht="15" customHeight="1" x14ac:dyDescent="0.2">
      <c r="A93" s="14"/>
      <c r="B93" s="105"/>
      <c r="C93" s="14"/>
      <c r="D93" s="14"/>
      <c r="E93" s="14"/>
      <c r="F93" s="14"/>
      <c r="G93" s="14"/>
    </row>
    <row r="94" spans="1:7" ht="15" customHeight="1" x14ac:dyDescent="0.2">
      <c r="A94" s="14"/>
      <c r="B94" s="105"/>
      <c r="C94" s="14"/>
      <c r="D94" s="14"/>
      <c r="E94" s="14"/>
      <c r="F94" s="14"/>
      <c r="G94" s="14"/>
    </row>
    <row r="95" spans="1:7" ht="15" customHeight="1" x14ac:dyDescent="0.2">
      <c r="A95" s="14"/>
      <c r="B95" s="105"/>
      <c r="C95" s="14"/>
      <c r="D95" s="14"/>
      <c r="E95" s="14"/>
      <c r="F95" s="14"/>
      <c r="G95" s="14"/>
    </row>
    <row r="96" spans="1:7" ht="15" customHeight="1" x14ac:dyDescent="0.2">
      <c r="A96" s="14"/>
      <c r="B96" s="105"/>
      <c r="C96" s="14"/>
      <c r="D96" s="14"/>
      <c r="E96" s="14"/>
      <c r="F96" s="14"/>
      <c r="G96" s="14"/>
    </row>
    <row r="97" spans="1:7" ht="15" customHeight="1" x14ac:dyDescent="0.2">
      <c r="A97" s="14"/>
      <c r="B97" s="105"/>
      <c r="C97" s="14"/>
      <c r="D97" s="14"/>
      <c r="E97" s="14"/>
      <c r="F97" s="14"/>
      <c r="G97" s="14"/>
    </row>
    <row r="98" spans="1:7" ht="15" customHeight="1" x14ac:dyDescent="0.2">
      <c r="A98" s="14"/>
      <c r="B98" s="105"/>
      <c r="C98" s="14"/>
      <c r="D98" s="14"/>
      <c r="E98" s="14"/>
      <c r="F98" s="14"/>
      <c r="G98" s="14"/>
    </row>
    <row r="99" spans="1:7" ht="15" customHeight="1" x14ac:dyDescent="0.2">
      <c r="A99" s="14"/>
      <c r="B99" s="105"/>
      <c r="C99" s="14"/>
      <c r="D99" s="14"/>
      <c r="E99" s="14"/>
      <c r="F99" s="14"/>
      <c r="G99" s="14"/>
    </row>
    <row r="100" spans="1:7" ht="15" customHeight="1" x14ac:dyDescent="0.2">
      <c r="A100" s="14"/>
      <c r="B100" s="105"/>
      <c r="C100" s="14"/>
      <c r="D100" s="14"/>
      <c r="E100" s="14"/>
      <c r="F100" s="14"/>
      <c r="G100" s="14"/>
    </row>
    <row r="101" spans="1:7" ht="15" customHeight="1" x14ac:dyDescent="0.2">
      <c r="A101" s="14"/>
      <c r="B101" s="105"/>
      <c r="C101" s="14"/>
      <c r="D101" s="14"/>
      <c r="E101" s="14"/>
      <c r="F101" s="14"/>
      <c r="G101" s="14"/>
    </row>
    <row r="102" spans="1:7" ht="15" customHeight="1" x14ac:dyDescent="0.2">
      <c r="A102" s="14"/>
      <c r="B102" s="105"/>
      <c r="C102" s="14"/>
      <c r="D102" s="14"/>
      <c r="E102" s="14"/>
      <c r="F102" s="14"/>
      <c r="G102" s="14"/>
    </row>
    <row r="103" spans="1:7" ht="15" customHeight="1" x14ac:dyDescent="0.2">
      <c r="A103" s="14"/>
      <c r="B103" s="105"/>
      <c r="C103" s="14"/>
      <c r="D103" s="14"/>
      <c r="E103" s="14"/>
      <c r="F103" s="14"/>
      <c r="G103" s="14"/>
    </row>
    <row r="104" spans="1:7" ht="15" customHeight="1" x14ac:dyDescent="0.2">
      <c r="A104" s="14"/>
      <c r="B104" s="105"/>
      <c r="C104" s="14"/>
      <c r="D104" s="14"/>
      <c r="E104" s="14"/>
      <c r="F104" s="14"/>
      <c r="G104" s="14"/>
    </row>
    <row r="105" spans="1:7" ht="15" customHeight="1" x14ac:dyDescent="0.2">
      <c r="A105" s="14"/>
      <c r="B105" s="105"/>
      <c r="C105" s="14"/>
      <c r="D105" s="14"/>
      <c r="E105" s="14"/>
      <c r="F105" s="14"/>
      <c r="G105" s="14"/>
    </row>
    <row r="106" spans="1:7" ht="15" customHeight="1" x14ac:dyDescent="0.2">
      <c r="A106" s="14"/>
      <c r="B106" s="105"/>
      <c r="C106" s="14"/>
      <c r="D106" s="14"/>
      <c r="E106" s="14"/>
      <c r="F106" s="14"/>
      <c r="G106" s="14"/>
    </row>
    <row r="107" spans="1:7" ht="15" customHeight="1" x14ac:dyDescent="0.2">
      <c r="A107" s="14"/>
      <c r="B107" s="105"/>
      <c r="C107" s="14"/>
      <c r="D107" s="14"/>
      <c r="E107" s="14"/>
      <c r="F107" s="14"/>
      <c r="G107" s="14"/>
    </row>
    <row r="108" spans="1:7" ht="15" customHeight="1" x14ac:dyDescent="0.2">
      <c r="A108" s="14"/>
      <c r="B108" s="105"/>
      <c r="C108" s="14"/>
      <c r="D108" s="14"/>
      <c r="E108" s="14"/>
      <c r="F108" s="14"/>
      <c r="G108" s="14"/>
    </row>
    <row r="109" spans="1:7" ht="15" customHeight="1" x14ac:dyDescent="0.2">
      <c r="A109" s="14"/>
      <c r="B109" s="105"/>
      <c r="C109" s="14"/>
      <c r="D109" s="14"/>
      <c r="E109" s="14"/>
      <c r="F109" s="14"/>
      <c r="G109" s="14"/>
    </row>
    <row r="110" spans="1:7" ht="15" customHeight="1" x14ac:dyDescent="0.2">
      <c r="A110" s="14"/>
      <c r="B110" s="105"/>
      <c r="C110" s="14"/>
      <c r="D110" s="14"/>
      <c r="E110" s="14"/>
      <c r="F110" s="14"/>
      <c r="G110" s="14"/>
    </row>
    <row r="111" spans="1:7" ht="15" customHeight="1" x14ac:dyDescent="0.2">
      <c r="A111" s="14"/>
      <c r="B111" s="105"/>
      <c r="C111" s="14"/>
      <c r="D111" s="14"/>
      <c r="E111" s="14"/>
      <c r="F111" s="14"/>
      <c r="G111" s="14"/>
    </row>
    <row r="112" spans="1:7" ht="15" customHeight="1" x14ac:dyDescent="0.2">
      <c r="A112" s="14"/>
      <c r="B112" s="105"/>
      <c r="C112" s="14"/>
      <c r="D112" s="14"/>
      <c r="E112" s="14"/>
      <c r="F112" s="14"/>
      <c r="G112" s="14"/>
    </row>
    <row r="113" spans="1:7" ht="15" customHeight="1" x14ac:dyDescent="0.2">
      <c r="A113" s="14"/>
      <c r="B113" s="105"/>
      <c r="C113" s="14"/>
      <c r="D113" s="14"/>
      <c r="E113" s="14"/>
      <c r="F113" s="14"/>
      <c r="G113" s="14"/>
    </row>
    <row r="114" spans="1:7" ht="15" customHeight="1" x14ac:dyDescent="0.2">
      <c r="A114" s="14"/>
      <c r="B114" s="105"/>
      <c r="C114" s="14"/>
      <c r="D114" s="14"/>
      <c r="E114" s="14"/>
      <c r="F114" s="14"/>
      <c r="G114" s="14"/>
    </row>
    <row r="115" spans="1:7" ht="15" customHeight="1" x14ac:dyDescent="0.2">
      <c r="A115" s="14"/>
      <c r="B115" s="105"/>
      <c r="C115" s="14"/>
      <c r="D115" s="14"/>
      <c r="E115" s="14"/>
      <c r="F115" s="14"/>
      <c r="G115" s="14"/>
    </row>
    <row r="116" spans="1:7" ht="15" customHeight="1" x14ac:dyDescent="0.2">
      <c r="A116" s="14"/>
      <c r="B116" s="105"/>
      <c r="C116" s="14"/>
      <c r="D116" s="14"/>
      <c r="E116" s="14"/>
      <c r="F116" s="14"/>
      <c r="G116" s="14"/>
    </row>
    <row r="117" spans="1:7" ht="15" customHeight="1" x14ac:dyDescent="0.2">
      <c r="A117" s="14"/>
      <c r="B117" s="105"/>
      <c r="C117" s="14"/>
      <c r="D117" s="14"/>
      <c r="E117" s="14"/>
      <c r="F117" s="14"/>
      <c r="G117" s="14"/>
    </row>
    <row r="118" spans="1:7" ht="15" customHeight="1" x14ac:dyDescent="0.2">
      <c r="A118" s="14"/>
      <c r="B118" s="105"/>
      <c r="C118" s="14"/>
      <c r="D118" s="14"/>
      <c r="E118" s="14"/>
      <c r="F118" s="14"/>
      <c r="G118" s="14"/>
    </row>
    <row r="119" spans="1:7" ht="15" customHeight="1" x14ac:dyDescent="0.2">
      <c r="A119" s="14"/>
      <c r="B119" s="105"/>
      <c r="C119" s="14"/>
      <c r="D119" s="14"/>
      <c r="E119" s="14"/>
      <c r="F119" s="14"/>
      <c r="G119" s="14"/>
    </row>
    <row r="120" spans="1:7" ht="15" customHeight="1" x14ac:dyDescent="0.2">
      <c r="A120" s="14"/>
      <c r="B120" s="105"/>
      <c r="C120" s="14"/>
      <c r="D120" s="14"/>
      <c r="E120" s="14"/>
      <c r="F120" s="14"/>
      <c r="G120" s="14"/>
    </row>
    <row r="121" spans="1:7" ht="15" customHeight="1" x14ac:dyDescent="0.2">
      <c r="A121" s="14"/>
      <c r="B121" s="105"/>
      <c r="C121" s="14"/>
      <c r="D121" s="14"/>
      <c r="E121" s="14"/>
      <c r="F121" s="14"/>
      <c r="G121" s="14"/>
    </row>
    <row r="122" spans="1:7" ht="15" customHeight="1" x14ac:dyDescent="0.2">
      <c r="A122" s="14"/>
      <c r="B122" s="105"/>
      <c r="C122" s="14"/>
      <c r="D122" s="14"/>
      <c r="E122" s="14"/>
      <c r="F122" s="14"/>
      <c r="G122" s="14"/>
    </row>
    <row r="123" spans="1:7" ht="15" customHeight="1" x14ac:dyDescent="0.2">
      <c r="A123" s="14"/>
      <c r="B123" s="105"/>
      <c r="C123" s="14"/>
      <c r="D123" s="14"/>
      <c r="E123" s="14"/>
      <c r="F123" s="14"/>
      <c r="G123" s="14"/>
    </row>
    <row r="124" spans="1:7" ht="15" customHeight="1" x14ac:dyDescent="0.2">
      <c r="A124" s="14"/>
      <c r="B124" s="105"/>
      <c r="C124" s="14"/>
      <c r="D124" s="14"/>
      <c r="E124" s="14"/>
      <c r="F124" s="14"/>
      <c r="G124" s="14"/>
    </row>
    <row r="125" spans="1:7" ht="15" customHeight="1" x14ac:dyDescent="0.2">
      <c r="A125" s="14"/>
      <c r="B125" s="105"/>
      <c r="C125" s="14"/>
      <c r="D125" s="14"/>
      <c r="E125" s="14"/>
      <c r="F125" s="14"/>
      <c r="G125" s="14"/>
    </row>
    <row r="126" spans="1:7" ht="15" customHeight="1" x14ac:dyDescent="0.2">
      <c r="A126" s="14"/>
      <c r="B126" s="105"/>
      <c r="C126" s="14"/>
      <c r="D126" s="14"/>
      <c r="E126" s="14"/>
      <c r="F126" s="14"/>
      <c r="G126" s="14"/>
    </row>
    <row r="127" spans="1:7" ht="15" customHeight="1" x14ac:dyDescent="0.2">
      <c r="A127" s="14"/>
      <c r="B127" s="105"/>
      <c r="C127" s="14"/>
      <c r="D127" s="14"/>
      <c r="E127" s="14"/>
      <c r="F127" s="14"/>
      <c r="G127" s="14"/>
    </row>
    <row r="128" spans="1:7" ht="15" customHeight="1" x14ac:dyDescent="0.2">
      <c r="A128" s="14"/>
      <c r="B128" s="105"/>
      <c r="C128" s="14"/>
      <c r="D128" s="14"/>
      <c r="E128" s="14"/>
      <c r="F128" s="14"/>
      <c r="G128" s="14"/>
    </row>
    <row r="129" spans="1:7" ht="15" customHeight="1" x14ac:dyDescent="0.2">
      <c r="A129" s="14"/>
      <c r="B129" s="105"/>
      <c r="C129" s="14"/>
      <c r="D129" s="14"/>
      <c r="E129" s="14"/>
      <c r="F129" s="14"/>
      <c r="G129" s="14"/>
    </row>
    <row r="130" spans="1:7" ht="15" customHeight="1" x14ac:dyDescent="0.2">
      <c r="A130" s="14"/>
      <c r="B130" s="105"/>
      <c r="C130" s="14"/>
      <c r="D130" s="14"/>
      <c r="E130" s="14"/>
      <c r="F130" s="14"/>
      <c r="G130" s="14"/>
    </row>
    <row r="131" spans="1:7" ht="15" customHeight="1" x14ac:dyDescent="0.2">
      <c r="A131" s="14"/>
      <c r="B131" s="105"/>
      <c r="C131" s="14"/>
      <c r="D131" s="14"/>
      <c r="E131" s="14"/>
      <c r="F131" s="14"/>
      <c r="G131" s="14"/>
    </row>
    <row r="132" spans="1:7" ht="15" customHeight="1" x14ac:dyDescent="0.2">
      <c r="A132" s="14"/>
      <c r="B132" s="105"/>
      <c r="C132" s="14"/>
      <c r="D132" s="14"/>
      <c r="E132" s="14"/>
      <c r="F132" s="14"/>
      <c r="G132" s="14"/>
    </row>
    <row r="133" spans="1:7" ht="15" customHeight="1" x14ac:dyDescent="0.2">
      <c r="A133" s="14"/>
      <c r="B133" s="105"/>
      <c r="C133" s="14"/>
      <c r="D133" s="14"/>
      <c r="E133" s="14"/>
      <c r="F133" s="14"/>
      <c r="G133" s="14"/>
    </row>
    <row r="134" spans="1:7" ht="15" customHeight="1" x14ac:dyDescent="0.2">
      <c r="A134" s="14"/>
      <c r="B134" s="105"/>
      <c r="C134" s="14"/>
      <c r="D134" s="14"/>
      <c r="E134" s="14"/>
      <c r="F134" s="14"/>
      <c r="G134" s="14"/>
    </row>
    <row r="135" spans="1:7" ht="15" customHeight="1" x14ac:dyDescent="0.2">
      <c r="A135" s="14"/>
      <c r="B135" s="105"/>
      <c r="C135" s="14"/>
      <c r="D135" s="14"/>
      <c r="E135" s="14"/>
      <c r="F135" s="14"/>
      <c r="G135" s="14"/>
    </row>
    <row r="136" spans="1:7" ht="15" customHeight="1" x14ac:dyDescent="0.2">
      <c r="A136" s="14"/>
      <c r="B136" s="105"/>
      <c r="C136" s="14"/>
      <c r="D136" s="14"/>
      <c r="E136" s="14"/>
      <c r="F136" s="14"/>
      <c r="G136" s="14"/>
    </row>
    <row r="137" spans="1:7" ht="15" customHeight="1" x14ac:dyDescent="0.2">
      <c r="A137" s="14"/>
      <c r="B137" s="105"/>
      <c r="C137" s="14"/>
      <c r="D137" s="14"/>
      <c r="E137" s="14"/>
      <c r="F137" s="14"/>
      <c r="G137" s="14"/>
    </row>
    <row r="138" spans="1:7" ht="15" customHeight="1" x14ac:dyDescent="0.2">
      <c r="A138" s="14"/>
      <c r="B138" s="105"/>
      <c r="C138" s="14"/>
      <c r="D138" s="14"/>
      <c r="E138" s="14"/>
      <c r="F138" s="14"/>
      <c r="G138" s="14"/>
    </row>
    <row r="139" spans="1:7" ht="15" customHeight="1" x14ac:dyDescent="0.2">
      <c r="A139" s="14"/>
      <c r="B139" s="105"/>
      <c r="C139" s="14"/>
      <c r="D139" s="14"/>
      <c r="E139" s="14"/>
      <c r="F139" s="14"/>
      <c r="G139" s="14"/>
    </row>
    <row r="140" spans="1:7" ht="15" customHeight="1" x14ac:dyDescent="0.2">
      <c r="A140" s="14"/>
      <c r="B140" s="105"/>
      <c r="C140" s="14"/>
      <c r="D140" s="14"/>
      <c r="E140" s="14"/>
      <c r="F140" s="14"/>
      <c r="G140" s="14"/>
    </row>
    <row r="141" spans="1:7" ht="15" customHeight="1" x14ac:dyDescent="0.2">
      <c r="A141" s="14"/>
      <c r="B141" s="105"/>
      <c r="C141" s="14"/>
      <c r="D141" s="14"/>
      <c r="E141" s="14"/>
      <c r="F141" s="14"/>
      <c r="G141" s="14"/>
    </row>
    <row r="142" spans="1:7" ht="15" customHeight="1" x14ac:dyDescent="0.2">
      <c r="A142" s="14"/>
      <c r="B142" s="105"/>
      <c r="C142" s="14"/>
      <c r="D142" s="14"/>
      <c r="E142" s="14"/>
      <c r="F142" s="14"/>
      <c r="G142" s="14"/>
    </row>
    <row r="143" spans="1:7" ht="15" customHeight="1" x14ac:dyDescent="0.2">
      <c r="A143" s="14"/>
      <c r="B143" s="105"/>
      <c r="C143" s="14"/>
      <c r="D143" s="14"/>
      <c r="E143" s="14"/>
      <c r="F143" s="14"/>
      <c r="G143" s="14"/>
    </row>
    <row r="144" spans="1:7" ht="15" customHeight="1" x14ac:dyDescent="0.2">
      <c r="A144" s="14"/>
      <c r="B144" s="105"/>
      <c r="C144" s="14"/>
      <c r="D144" s="14"/>
      <c r="E144" s="14"/>
      <c r="F144" s="14"/>
      <c r="G144" s="14"/>
    </row>
    <row r="145" spans="1:7" ht="15" customHeight="1" x14ac:dyDescent="0.2">
      <c r="A145" s="14"/>
      <c r="B145" s="105"/>
      <c r="C145" s="14"/>
      <c r="D145" s="14"/>
      <c r="E145" s="14"/>
      <c r="F145" s="14"/>
      <c r="G145" s="14"/>
    </row>
    <row r="146" spans="1:7" ht="15" customHeight="1" x14ac:dyDescent="0.2">
      <c r="A146" s="14"/>
      <c r="B146" s="105"/>
      <c r="C146" s="14"/>
      <c r="D146" s="14"/>
      <c r="E146" s="14"/>
      <c r="F146" s="14"/>
      <c r="G146" s="14"/>
    </row>
    <row r="147" spans="1:7" ht="15" customHeight="1" x14ac:dyDescent="0.2">
      <c r="A147" s="14"/>
      <c r="B147" s="105"/>
      <c r="C147" s="14"/>
      <c r="D147" s="14"/>
      <c r="E147" s="14"/>
      <c r="F147" s="14"/>
      <c r="G147" s="14"/>
    </row>
    <row r="148" spans="1:7" ht="15" customHeight="1" x14ac:dyDescent="0.2">
      <c r="A148" s="14"/>
      <c r="B148" s="105"/>
      <c r="C148" s="14"/>
      <c r="D148" s="14"/>
      <c r="E148" s="14"/>
      <c r="F148" s="14"/>
      <c r="G148" s="14"/>
    </row>
    <row r="149" spans="1:7" ht="15" customHeight="1" x14ac:dyDescent="0.2">
      <c r="A149" s="14"/>
      <c r="B149" s="105"/>
      <c r="C149" s="14"/>
      <c r="D149" s="14"/>
      <c r="E149" s="14"/>
      <c r="F149" s="14"/>
      <c r="G149" s="14"/>
    </row>
    <row r="150" spans="1:7" ht="15" customHeight="1" x14ac:dyDescent="0.2">
      <c r="A150" s="14"/>
      <c r="B150" s="105"/>
      <c r="C150" s="14"/>
      <c r="D150" s="14"/>
      <c r="E150" s="14"/>
      <c r="F150" s="14"/>
      <c r="G150" s="14"/>
    </row>
    <row r="151" spans="1:7" ht="15" customHeight="1" x14ac:dyDescent="0.2">
      <c r="A151" s="14"/>
      <c r="B151" s="105"/>
      <c r="C151" s="14"/>
      <c r="D151" s="14"/>
      <c r="E151" s="14"/>
      <c r="F151" s="14"/>
      <c r="G151" s="14"/>
    </row>
    <row r="152" spans="1:7" ht="15" customHeight="1" x14ac:dyDescent="0.2">
      <c r="A152" s="14"/>
      <c r="B152" s="105"/>
      <c r="C152" s="14"/>
      <c r="D152" s="14"/>
      <c r="E152" s="14"/>
      <c r="F152" s="14"/>
      <c r="G152" s="14"/>
    </row>
    <row r="153" spans="1:7" ht="15" customHeight="1" x14ac:dyDescent="0.2">
      <c r="A153" s="14"/>
      <c r="B153" s="105"/>
      <c r="C153" s="14"/>
      <c r="D153" s="14"/>
      <c r="E153" s="14"/>
      <c r="F153" s="14"/>
      <c r="G153" s="14"/>
    </row>
    <row r="154" spans="1:7" ht="15" customHeight="1" x14ac:dyDescent="0.2">
      <c r="A154" s="14"/>
      <c r="B154" s="105"/>
      <c r="C154" s="14"/>
      <c r="D154" s="14"/>
      <c r="E154" s="14"/>
      <c r="F154" s="14"/>
      <c r="G154" s="14"/>
    </row>
    <row r="155" spans="1:7" ht="15" customHeight="1" x14ac:dyDescent="0.2">
      <c r="A155" s="14"/>
      <c r="B155" s="105"/>
      <c r="C155" s="14"/>
      <c r="D155" s="14"/>
      <c r="E155" s="14"/>
      <c r="F155" s="14"/>
      <c r="G155" s="14"/>
    </row>
    <row r="156" spans="1:7" ht="15" customHeight="1" x14ac:dyDescent="0.2">
      <c r="A156" s="14"/>
      <c r="B156" s="105"/>
      <c r="C156" s="14"/>
      <c r="D156" s="14"/>
      <c r="E156" s="14"/>
      <c r="F156" s="14"/>
      <c r="G156" s="14"/>
    </row>
    <row r="157" spans="1:7" ht="15" customHeight="1" x14ac:dyDescent="0.2">
      <c r="A157" s="14"/>
      <c r="B157" s="105"/>
      <c r="C157" s="14"/>
      <c r="D157" s="14"/>
      <c r="E157" s="14"/>
      <c r="F157" s="14"/>
      <c r="G157" s="14"/>
    </row>
    <row r="158" spans="1:7" ht="15" customHeight="1" x14ac:dyDescent="0.2">
      <c r="A158" s="14"/>
      <c r="B158" s="105"/>
      <c r="C158" s="14"/>
      <c r="D158" s="14"/>
      <c r="E158" s="14"/>
      <c r="F158" s="14"/>
      <c r="G158" s="14"/>
    </row>
    <row r="159" spans="1:7" ht="15" customHeight="1" x14ac:dyDescent="0.2">
      <c r="A159" s="14"/>
      <c r="B159" s="105"/>
      <c r="C159" s="14"/>
      <c r="D159" s="14"/>
      <c r="E159" s="14"/>
      <c r="F159" s="14"/>
      <c r="G159" s="14"/>
    </row>
    <row r="160" spans="1:7" ht="15" customHeight="1" x14ac:dyDescent="0.2">
      <c r="A160" s="14"/>
      <c r="B160" s="105"/>
      <c r="C160" s="14"/>
      <c r="D160" s="14"/>
      <c r="E160" s="14"/>
      <c r="F160" s="14"/>
      <c r="G160" s="14"/>
    </row>
    <row r="161" spans="1:7" ht="15" customHeight="1" x14ac:dyDescent="0.2">
      <c r="A161" s="14"/>
      <c r="B161" s="105"/>
      <c r="C161" s="14"/>
      <c r="D161" s="14"/>
      <c r="E161" s="14"/>
      <c r="F161" s="14"/>
      <c r="G161" s="14"/>
    </row>
    <row r="162" spans="1:7" ht="15" customHeight="1" x14ac:dyDescent="0.2">
      <c r="A162" s="14"/>
      <c r="B162" s="105"/>
      <c r="C162" s="14"/>
      <c r="D162" s="14"/>
      <c r="E162" s="14"/>
      <c r="F162" s="14"/>
      <c r="G162" s="14"/>
    </row>
    <row r="163" spans="1:7" ht="15" customHeight="1" x14ac:dyDescent="0.2">
      <c r="A163" s="14"/>
      <c r="B163" s="105"/>
      <c r="C163" s="14"/>
      <c r="D163" s="14"/>
      <c r="E163" s="14"/>
      <c r="F163" s="14"/>
      <c r="G163" s="14"/>
    </row>
    <row r="164" spans="1:7" ht="15" customHeight="1" x14ac:dyDescent="0.2">
      <c r="A164" s="14"/>
      <c r="B164" s="105"/>
      <c r="C164" s="14"/>
      <c r="D164" s="14"/>
      <c r="E164" s="14"/>
      <c r="F164" s="14"/>
      <c r="G164" s="14"/>
    </row>
    <row r="165" spans="1:7" ht="15" customHeight="1" x14ac:dyDescent="0.2">
      <c r="A165" s="14"/>
      <c r="B165" s="105"/>
      <c r="C165" s="14"/>
      <c r="D165" s="14"/>
      <c r="E165" s="14"/>
      <c r="F165" s="14"/>
      <c r="G165" s="14"/>
    </row>
    <row r="166" spans="1:7" ht="15" customHeight="1" x14ac:dyDescent="0.2">
      <c r="A166" s="14"/>
      <c r="B166" s="105"/>
      <c r="C166" s="14"/>
      <c r="D166" s="14"/>
      <c r="E166" s="14"/>
      <c r="F166" s="14"/>
      <c r="G166" s="14"/>
    </row>
    <row r="167" spans="1:7" ht="15" customHeight="1" x14ac:dyDescent="0.2">
      <c r="A167" s="14"/>
      <c r="B167" s="105"/>
      <c r="C167" s="14"/>
      <c r="D167" s="14"/>
      <c r="E167" s="14"/>
      <c r="F167" s="14"/>
      <c r="G167" s="14"/>
    </row>
    <row r="168" spans="1:7" ht="15" customHeight="1" x14ac:dyDescent="0.2">
      <c r="A168" s="14"/>
      <c r="B168" s="105"/>
      <c r="C168" s="14"/>
      <c r="D168" s="14"/>
      <c r="E168" s="14"/>
      <c r="F168" s="14"/>
      <c r="G168" s="14"/>
    </row>
    <row r="169" spans="1:7" ht="15" customHeight="1" x14ac:dyDescent="0.2">
      <c r="A169" s="14"/>
      <c r="B169" s="105"/>
      <c r="C169" s="14"/>
      <c r="D169" s="14"/>
      <c r="E169" s="14"/>
      <c r="F169" s="14"/>
      <c r="G169" s="14"/>
    </row>
    <row r="170" spans="1:7" ht="15" customHeight="1" x14ac:dyDescent="0.2">
      <c r="A170" s="14"/>
      <c r="B170" s="105"/>
      <c r="C170" s="14"/>
      <c r="D170" s="14"/>
      <c r="E170" s="14"/>
      <c r="F170" s="14"/>
      <c r="G170" s="14"/>
    </row>
    <row r="171" spans="1:7" ht="15" customHeight="1" x14ac:dyDescent="0.2">
      <c r="A171" s="14"/>
      <c r="B171" s="105"/>
      <c r="C171" s="14"/>
      <c r="D171" s="14"/>
      <c r="E171" s="14"/>
      <c r="F171" s="14"/>
      <c r="G171" s="14"/>
    </row>
    <row r="172" spans="1:7" ht="15" customHeight="1" x14ac:dyDescent="0.2">
      <c r="A172" s="14"/>
      <c r="B172" s="105"/>
      <c r="C172" s="14"/>
      <c r="D172" s="14"/>
      <c r="E172" s="14"/>
      <c r="F172" s="14"/>
      <c r="G172" s="14"/>
    </row>
    <row r="173" spans="1:7" ht="15" customHeight="1" x14ac:dyDescent="0.2">
      <c r="A173" s="14"/>
      <c r="B173" s="105"/>
      <c r="C173" s="14"/>
      <c r="D173" s="14"/>
      <c r="E173" s="14"/>
      <c r="F173" s="14"/>
      <c r="G173" s="14"/>
    </row>
    <row r="174" spans="1:7" ht="15" customHeight="1" x14ac:dyDescent="0.2">
      <c r="A174" s="14"/>
      <c r="B174" s="105"/>
      <c r="C174" s="14"/>
      <c r="D174" s="14"/>
      <c r="E174" s="14"/>
      <c r="F174" s="14"/>
      <c r="G174" s="14"/>
    </row>
    <row r="175" spans="1:7" ht="15" customHeight="1" x14ac:dyDescent="0.2">
      <c r="A175" s="14"/>
      <c r="B175" s="105"/>
      <c r="C175" s="14"/>
      <c r="D175" s="14"/>
      <c r="E175" s="14"/>
      <c r="F175" s="14"/>
      <c r="G175" s="14"/>
    </row>
    <row r="176" spans="1:7" ht="15" customHeight="1" x14ac:dyDescent="0.2">
      <c r="A176" s="14"/>
      <c r="B176" s="105"/>
      <c r="C176" s="14"/>
      <c r="D176" s="14"/>
      <c r="E176" s="14"/>
      <c r="F176" s="14"/>
      <c r="G176" s="14"/>
    </row>
    <row r="177" spans="1:7" ht="15" customHeight="1" x14ac:dyDescent="0.2">
      <c r="A177" s="14"/>
      <c r="B177" s="105"/>
      <c r="C177" s="14"/>
      <c r="D177" s="14"/>
      <c r="E177" s="14"/>
      <c r="F177" s="14"/>
      <c r="G177" s="14"/>
    </row>
    <row r="178" spans="1:7" ht="15" customHeight="1" x14ac:dyDescent="0.2">
      <c r="A178" s="14"/>
      <c r="B178" s="105"/>
      <c r="C178" s="14"/>
      <c r="D178" s="14"/>
      <c r="E178" s="14"/>
      <c r="F178" s="14"/>
      <c r="G178" s="14"/>
    </row>
    <row r="179" spans="1:7" ht="15" customHeight="1" x14ac:dyDescent="0.2">
      <c r="A179" s="14"/>
      <c r="B179" s="105"/>
      <c r="C179" s="14"/>
      <c r="D179" s="14"/>
      <c r="E179" s="14"/>
      <c r="F179" s="14"/>
      <c r="G179" s="14"/>
    </row>
    <row r="180" spans="1:7" ht="15" customHeight="1" x14ac:dyDescent="0.2">
      <c r="A180" s="14"/>
      <c r="B180" s="105"/>
      <c r="C180" s="14"/>
      <c r="D180" s="14"/>
      <c r="E180" s="14"/>
      <c r="F180" s="14"/>
      <c r="G180" s="14"/>
    </row>
    <row r="181" spans="1:7" ht="15" customHeight="1" x14ac:dyDescent="0.2">
      <c r="A181" s="14"/>
      <c r="B181" s="105"/>
      <c r="C181" s="14"/>
      <c r="D181" s="14"/>
      <c r="E181" s="14"/>
      <c r="F181" s="14"/>
      <c r="G181" s="14"/>
    </row>
    <row r="182" spans="1:7" ht="15" customHeight="1" x14ac:dyDescent="0.2">
      <c r="A182" s="14"/>
      <c r="B182" s="105"/>
      <c r="C182" s="14"/>
      <c r="D182" s="14"/>
      <c r="E182" s="14"/>
      <c r="F182" s="14"/>
      <c r="G182" s="14"/>
    </row>
    <row r="183" spans="1:7" ht="15" customHeight="1" x14ac:dyDescent="0.2">
      <c r="A183" s="14"/>
      <c r="B183" s="105"/>
      <c r="C183" s="14"/>
      <c r="D183" s="14"/>
      <c r="E183" s="14"/>
      <c r="F183" s="14"/>
      <c r="G183" s="14"/>
    </row>
    <row r="184" spans="1:7" ht="15" customHeight="1" x14ac:dyDescent="0.2">
      <c r="A184" s="14"/>
      <c r="B184" s="105"/>
      <c r="C184" s="14"/>
      <c r="D184" s="14"/>
      <c r="E184" s="14"/>
      <c r="F184" s="14"/>
      <c r="G184" s="14"/>
    </row>
    <row r="185" spans="1:7" ht="15" customHeight="1" x14ac:dyDescent="0.2">
      <c r="A185" s="14"/>
      <c r="B185" s="105"/>
      <c r="C185" s="14"/>
      <c r="D185" s="14"/>
      <c r="E185" s="14"/>
      <c r="F185" s="14"/>
      <c r="G185" s="14"/>
    </row>
    <row r="186" spans="1:7" ht="15" customHeight="1" x14ac:dyDescent="0.2">
      <c r="A186" s="14"/>
      <c r="B186" s="105"/>
      <c r="C186" s="14"/>
      <c r="D186" s="14"/>
      <c r="E186" s="14"/>
      <c r="F186" s="14"/>
      <c r="G186" s="14"/>
    </row>
    <row r="187" spans="1:7" ht="15" customHeight="1" x14ac:dyDescent="0.2">
      <c r="A187" s="14"/>
      <c r="B187" s="105"/>
      <c r="C187" s="14"/>
      <c r="D187" s="14"/>
      <c r="E187" s="14"/>
      <c r="F187" s="14"/>
      <c r="G187" s="14"/>
    </row>
    <row r="188" spans="1:7" ht="15" customHeight="1" x14ac:dyDescent="0.2">
      <c r="A188" s="14"/>
      <c r="B188" s="105"/>
      <c r="C188" s="14"/>
      <c r="D188" s="14"/>
      <c r="E188" s="14"/>
      <c r="F188" s="14"/>
      <c r="G188" s="14"/>
    </row>
    <row r="189" spans="1:7" ht="15" customHeight="1" x14ac:dyDescent="0.2">
      <c r="A189" s="14"/>
      <c r="B189" s="105"/>
      <c r="C189" s="14"/>
      <c r="D189" s="14"/>
      <c r="E189" s="14"/>
      <c r="F189" s="14"/>
      <c r="G189" s="14"/>
    </row>
    <row r="190" spans="1:7" ht="15" customHeight="1" x14ac:dyDescent="0.2">
      <c r="A190" s="14"/>
      <c r="B190" s="105"/>
      <c r="C190" s="14"/>
      <c r="D190" s="14"/>
      <c r="E190" s="14"/>
      <c r="F190" s="14"/>
      <c r="G190" s="14"/>
    </row>
    <row r="191" spans="1:7" ht="15" customHeight="1" x14ac:dyDescent="0.2">
      <c r="A191" s="14"/>
      <c r="B191" s="105"/>
      <c r="C191" s="14"/>
      <c r="D191" s="14"/>
      <c r="E191" s="14"/>
      <c r="F191" s="14"/>
      <c r="G191" s="14"/>
    </row>
    <row r="192" spans="1:7" ht="15" customHeight="1" x14ac:dyDescent="0.2">
      <c r="A192" s="14"/>
      <c r="B192" s="105"/>
      <c r="C192" s="14"/>
      <c r="D192" s="14"/>
      <c r="E192" s="14"/>
      <c r="F192" s="14"/>
      <c r="G192" s="14"/>
    </row>
    <row r="193" spans="1:7" ht="15" customHeight="1" x14ac:dyDescent="0.2">
      <c r="A193" s="14"/>
      <c r="B193" s="105"/>
      <c r="C193" s="14"/>
      <c r="D193" s="14"/>
      <c r="E193" s="14"/>
      <c r="F193" s="14"/>
      <c r="G193" s="14"/>
    </row>
    <row r="194" spans="1:7" ht="15" customHeight="1" x14ac:dyDescent="0.2">
      <c r="A194" s="14"/>
      <c r="B194" s="105"/>
      <c r="C194" s="14"/>
      <c r="D194" s="14"/>
      <c r="E194" s="14"/>
      <c r="F194" s="14"/>
      <c r="G194" s="14"/>
    </row>
    <row r="195" spans="1:7" ht="15" customHeight="1" x14ac:dyDescent="0.2">
      <c r="A195" s="14"/>
      <c r="B195" s="105"/>
      <c r="C195" s="14"/>
      <c r="D195" s="14"/>
      <c r="E195" s="14"/>
      <c r="F195" s="14"/>
      <c r="G195" s="14"/>
    </row>
    <row r="196" spans="1:7" ht="15" customHeight="1" x14ac:dyDescent="0.2">
      <c r="A196" s="14"/>
      <c r="B196" s="105"/>
      <c r="C196" s="14"/>
      <c r="D196" s="14"/>
      <c r="E196" s="14"/>
      <c r="F196" s="14"/>
      <c r="G196" s="14"/>
    </row>
    <row r="197" spans="1:7" ht="15" customHeight="1" x14ac:dyDescent="0.2">
      <c r="A197" s="14"/>
      <c r="B197" s="105"/>
      <c r="C197" s="14"/>
      <c r="D197" s="14"/>
      <c r="E197" s="14"/>
      <c r="F197" s="14"/>
      <c r="G197" s="14"/>
    </row>
    <row r="198" spans="1:7" ht="15" customHeight="1" x14ac:dyDescent="0.2">
      <c r="A198" s="14"/>
      <c r="B198" s="105"/>
      <c r="C198" s="14"/>
      <c r="D198" s="14"/>
      <c r="E198" s="14"/>
      <c r="F198" s="14"/>
      <c r="G198" s="14"/>
    </row>
    <row r="199" spans="1:7" ht="15" customHeight="1" x14ac:dyDescent="0.2">
      <c r="A199" s="14"/>
      <c r="B199" s="105"/>
      <c r="C199" s="14"/>
      <c r="D199" s="14"/>
      <c r="E199" s="14"/>
      <c r="F199" s="14"/>
      <c r="G199" s="14"/>
    </row>
    <row r="200" spans="1:7" ht="15" customHeight="1" x14ac:dyDescent="0.2">
      <c r="A200" s="14"/>
      <c r="B200" s="105"/>
      <c r="C200" s="14"/>
      <c r="D200" s="14"/>
      <c r="E200" s="14"/>
      <c r="F200" s="14"/>
      <c r="G200" s="14"/>
    </row>
    <row r="201" spans="1:7" ht="15" customHeight="1" x14ac:dyDescent="0.2">
      <c r="A201" s="14"/>
      <c r="B201" s="105"/>
      <c r="C201" s="14"/>
      <c r="D201" s="14"/>
      <c r="E201" s="14"/>
      <c r="F201" s="14"/>
      <c r="G201" s="14"/>
    </row>
    <row r="202" spans="1:7" ht="15" customHeight="1" x14ac:dyDescent="0.2">
      <c r="A202" s="14"/>
      <c r="B202" s="105"/>
      <c r="C202" s="14"/>
      <c r="D202" s="14"/>
      <c r="E202" s="14"/>
      <c r="F202" s="14"/>
      <c r="G202" s="14"/>
    </row>
    <row r="203" spans="1:7" ht="15" customHeight="1" x14ac:dyDescent="0.2">
      <c r="A203" s="14"/>
      <c r="B203" s="105"/>
      <c r="C203" s="14"/>
      <c r="D203" s="14"/>
      <c r="E203" s="14"/>
      <c r="F203" s="14"/>
      <c r="G203" s="14"/>
    </row>
    <row r="204" spans="1:7" ht="15" customHeight="1" x14ac:dyDescent="0.2">
      <c r="A204" s="14"/>
      <c r="B204" s="105"/>
      <c r="C204" s="14"/>
      <c r="D204" s="14"/>
      <c r="E204" s="14"/>
      <c r="F204" s="14"/>
      <c r="G204" s="14"/>
    </row>
    <row r="205" spans="1:7" ht="15" customHeight="1" x14ac:dyDescent="0.2">
      <c r="A205" s="14"/>
      <c r="B205" s="105"/>
      <c r="C205" s="14"/>
      <c r="D205" s="14"/>
      <c r="E205" s="14"/>
      <c r="F205" s="14"/>
      <c r="G205" s="14"/>
    </row>
    <row r="206" spans="1:7" ht="15" customHeight="1" x14ac:dyDescent="0.2">
      <c r="A206" s="14"/>
      <c r="B206" s="105"/>
      <c r="C206" s="14"/>
      <c r="D206" s="14"/>
      <c r="E206" s="14"/>
      <c r="F206" s="14"/>
      <c r="G206" s="14"/>
    </row>
    <row r="207" spans="1:7" ht="15" customHeight="1" x14ac:dyDescent="0.2">
      <c r="A207" s="14"/>
      <c r="B207" s="105"/>
      <c r="C207" s="14"/>
      <c r="D207" s="14"/>
      <c r="E207" s="14"/>
      <c r="F207" s="14"/>
      <c r="G207" s="14"/>
    </row>
    <row r="208" spans="1:7" ht="15" customHeight="1" x14ac:dyDescent="0.2">
      <c r="A208" s="14"/>
      <c r="B208" s="105"/>
      <c r="C208" s="14"/>
      <c r="D208" s="14"/>
      <c r="E208" s="14"/>
      <c r="F208" s="14"/>
      <c r="G208" s="14"/>
    </row>
    <row r="209" spans="1:7" ht="15" customHeight="1" x14ac:dyDescent="0.2">
      <c r="A209" s="14"/>
      <c r="B209" s="105"/>
      <c r="C209" s="14"/>
      <c r="D209" s="14"/>
      <c r="E209" s="14"/>
      <c r="F209" s="14"/>
      <c r="G209" s="14"/>
    </row>
    <row r="210" spans="1:7" ht="15" customHeight="1" x14ac:dyDescent="0.2">
      <c r="A210" s="14"/>
      <c r="B210" s="105"/>
      <c r="C210" s="14"/>
      <c r="D210" s="14"/>
      <c r="E210" s="14"/>
      <c r="F210" s="14"/>
      <c r="G210" s="14"/>
    </row>
    <row r="211" spans="1:7" ht="15" customHeight="1" x14ac:dyDescent="0.2">
      <c r="A211" s="14"/>
      <c r="B211" s="105"/>
      <c r="C211" s="14"/>
      <c r="D211" s="14"/>
      <c r="E211" s="14"/>
      <c r="F211" s="14"/>
      <c r="G211" s="14"/>
    </row>
    <row r="212" spans="1:7" ht="15" customHeight="1" x14ac:dyDescent="0.2">
      <c r="A212" s="14"/>
      <c r="B212" s="105"/>
      <c r="C212" s="14"/>
      <c r="D212" s="14"/>
      <c r="E212" s="14"/>
      <c r="F212" s="14"/>
      <c r="G212" s="14"/>
    </row>
    <row r="213" spans="1:7" ht="15" customHeight="1" x14ac:dyDescent="0.2">
      <c r="A213" s="14"/>
      <c r="B213" s="105"/>
      <c r="C213" s="14"/>
      <c r="D213" s="14"/>
      <c r="E213" s="14"/>
      <c r="F213" s="14"/>
      <c r="G213" s="14"/>
    </row>
    <row r="214" spans="1:7" ht="15" customHeight="1" x14ac:dyDescent="0.2">
      <c r="A214" s="14"/>
      <c r="B214" s="105"/>
      <c r="C214" s="14"/>
      <c r="D214" s="14"/>
      <c r="E214" s="14"/>
      <c r="F214" s="14"/>
      <c r="G214" s="14"/>
    </row>
    <row r="215" spans="1:7" ht="15" customHeight="1" x14ac:dyDescent="0.2">
      <c r="A215" s="14"/>
      <c r="B215" s="105"/>
      <c r="C215" s="14"/>
      <c r="D215" s="14"/>
      <c r="E215" s="14"/>
      <c r="F215" s="14"/>
      <c r="G215" s="14"/>
    </row>
    <row r="216" spans="1:7" ht="15" customHeight="1" x14ac:dyDescent="0.2">
      <c r="A216" s="14"/>
      <c r="B216" s="105"/>
      <c r="C216" s="14"/>
      <c r="D216" s="14"/>
      <c r="E216" s="14"/>
      <c r="F216" s="14"/>
      <c r="G216" s="14"/>
    </row>
    <row r="217" spans="1:7" ht="15" customHeight="1" x14ac:dyDescent="0.2">
      <c r="A217" s="14"/>
      <c r="B217" s="105"/>
      <c r="C217" s="14"/>
      <c r="D217" s="14"/>
      <c r="E217" s="14"/>
      <c r="F217" s="14"/>
      <c r="G217" s="14"/>
    </row>
    <row r="218" spans="1:7" ht="15" customHeight="1" x14ac:dyDescent="0.2">
      <c r="A218" s="14"/>
      <c r="B218" s="105"/>
      <c r="C218" s="14"/>
      <c r="D218" s="14"/>
      <c r="E218" s="14"/>
      <c r="F218" s="14"/>
      <c r="G218" s="14"/>
    </row>
    <row r="219" spans="1:7" ht="15" customHeight="1" x14ac:dyDescent="0.2">
      <c r="A219" s="14"/>
      <c r="B219" s="105"/>
      <c r="C219" s="14"/>
      <c r="D219" s="14"/>
      <c r="E219" s="14"/>
      <c r="F219" s="14"/>
      <c r="G219" s="14"/>
    </row>
    <row r="220" spans="1:7" x14ac:dyDescent="0.2">
      <c r="A220" s="14"/>
      <c r="B220" s="105"/>
      <c r="C220" s="14"/>
      <c r="D220" s="14"/>
      <c r="E220" s="14"/>
      <c r="F220" s="14"/>
      <c r="G220" s="14"/>
    </row>
  </sheetData>
  <sheetProtection formatCells="0" formatColumns="0" formatRows="0"/>
  <mergeCells count="7">
    <mergeCell ref="Q1:Y1"/>
    <mergeCell ref="L6:O6"/>
    <mergeCell ref="L7:O7"/>
    <mergeCell ref="L24:M24"/>
    <mergeCell ref="L25:L26"/>
    <mergeCell ref="M25:M26"/>
    <mergeCell ref="L13:O13"/>
  </mergeCells>
  <conditionalFormatting sqref="A26:B26 B27:B58">
    <cfRule type="cellIs" dxfId="9" priority="10" operator="greaterThan">
      <formula>0</formula>
    </cfRule>
  </conditionalFormatting>
  <conditionalFormatting sqref="C26:D26">
    <cfRule type="cellIs" dxfId="8" priority="9" operator="greaterThan">
      <formula>0</formula>
    </cfRule>
  </conditionalFormatting>
  <conditionalFormatting sqref="A27:A58 C27:D58">
    <cfRule type="cellIs" dxfId="7" priority="8" operator="greaterThan">
      <formula>0</formula>
    </cfRule>
  </conditionalFormatting>
  <conditionalFormatting sqref="D22">
    <cfRule type="cellIs" dxfId="6" priority="7" operator="greaterThan">
      <formula>0</formula>
    </cfRule>
  </conditionalFormatting>
  <conditionalFormatting sqref="D9:D20">
    <cfRule type="cellIs" dxfId="5" priority="6" operator="greaterThan">
      <formula>0</formula>
    </cfRule>
  </conditionalFormatting>
  <conditionalFormatting sqref="D3">
    <cfRule type="cellIs" dxfId="4" priority="5" operator="greaterThan">
      <formula>0</formula>
    </cfRule>
  </conditionalFormatting>
  <conditionalFormatting sqref="D4">
    <cfRule type="cellIs" dxfId="3" priority="4" operator="greaterThan">
      <formula>0</formula>
    </cfRule>
  </conditionalFormatting>
  <conditionalFormatting sqref="H18:H21">
    <cfRule type="cellIs" dxfId="2" priority="3" operator="greaterThan">
      <formula>0</formula>
    </cfRule>
  </conditionalFormatting>
  <conditionalFormatting sqref="H7:H8">
    <cfRule type="cellIs" dxfId="1" priority="2" operator="greaterThan">
      <formula>0</formula>
    </cfRule>
  </conditionalFormatting>
  <conditionalFormatting sqref="D5:D7">
    <cfRule type="cellIs" dxfId="0" priority="1" operator="greaterThan">
      <formula>0</formula>
    </cfRule>
  </conditionalFormatting>
  <dataValidations count="1">
    <dataValidation type="list" allowBlank="1" showInputMessage="1" showErrorMessage="1" sqref="H20">
      <formula1>$H$27:$H$33</formula1>
    </dataValidation>
  </dataValidations>
  <pageMargins left="0.75" right="0.75" top="1" bottom="1" header="0" footer="0"/>
  <pageSetup paperSize="9" orientation="portrait" r:id="rId1"/>
  <headerFooter alignWithMargins="0"/>
  <ignoredErrors>
    <ignoredError sqref="L17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Ingreso Datos</vt:lpstr>
      <vt:lpstr>12A</vt:lpstr>
      <vt:lpstr>12B</vt:lpstr>
      <vt:lpstr>12C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Francisco Gonzalez</cp:lastModifiedBy>
  <cp:lastPrinted>2009-11-19T16:40:44Z</cp:lastPrinted>
  <dcterms:created xsi:type="dcterms:W3CDTF">1999-10-13T14:07:43Z</dcterms:created>
  <dcterms:modified xsi:type="dcterms:W3CDTF">2024-06-07T21:08:47Z</dcterms:modified>
</cp:coreProperties>
</file>