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G:\Unidades compartidas\slg-secc_laboratorio\2023\03. PROYECTOS\STRABAG SPA\CAMPAÑA DE SONDAJES\BH-LPE5-A-LP-S3-A-0+078-L (3282)\04 ENSAYOS\"/>
    </mc:Choice>
  </mc:AlternateContent>
  <bookViews>
    <workbookView xWindow="-120" yWindow="-120" windowWidth="20730" windowHeight="11160" tabRatio="858" activeTab="1"/>
  </bookViews>
  <sheets>
    <sheet name="Ingreso Datos" sheetId="206" r:id="rId1"/>
    <sheet name="24" sheetId="209" r:id="rId2"/>
  </sheets>
  <externalReferences>
    <externalReference r:id="rId3"/>
  </externalReferences>
  <definedNames>
    <definedName name="__123Graph_A" localSheetId="1" hidden="1">'[1]Ensaye Carga Puntual'!#REF!</definedName>
    <definedName name="__123Graph_A" hidden="1">'[1]Ensaye Carga Puntual'!#REF!</definedName>
    <definedName name="__123Graph_C" localSheetId="1" hidden="1">'[1]Ensaye Carga Puntual'!#REF!</definedName>
    <definedName name="__123Graph_C" hidden="1">'[1]Ensaye Carga Puntual'!#REF!</definedName>
    <definedName name="__123Graph_D" localSheetId="1" hidden="1">'[1]Ensaye Carga Puntual'!#REF!</definedName>
    <definedName name="__123Graph_D" hidden="1">'[1]Ensaye Carga Puntual'!#REF!</definedName>
    <definedName name="__123Graph_X" localSheetId="1" hidden="1">'[1]Ensaye Carga Puntual'!#REF!</definedName>
    <definedName name="__123Graph_X" hidden="1">'[1]Ensaye Carga Puntual'!#REF!</definedName>
    <definedName name="_Key1" hidden="1">'[1]Ensaye Carga Puntual'!$A$8:$A$14</definedName>
    <definedName name="_Order1" hidden="1">0</definedName>
    <definedName name="_Regression_Out" localSheetId="1" hidden="1">'[1]Ensaye Carga Puntual'!#REF!</definedName>
    <definedName name="_Regression_Out" hidden="1">'[1]Ensaye Carga Puntual'!#REF!</definedName>
    <definedName name="_Regression_X" localSheetId="1" hidden="1">'[1]Ensaye Carga Puntual'!#REF!</definedName>
    <definedName name="_Regression_X" hidden="1">'[1]Ensaye Carga Puntual'!#REF!</definedName>
    <definedName name="_Regression_Y" localSheetId="1" hidden="1">'[1]Ensaye Carga Puntual'!#REF!</definedName>
    <definedName name="_Regression_Y" hidden="1">'[1]Ensaye Carga Puntual'!#REF!</definedName>
    <definedName name="_Sort" localSheetId="1" hidden="1">'[1]Ensaye Carga Puntual'!#REF!</definedName>
    <definedName name="_Sort" hidden="1">'[1]Ensaye Carga Puntual'!#REF!</definedName>
    <definedName name="_xlnm.Print_Area" localSheetId="1">'24'!$F$1:$K$51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209" l="1"/>
  <c r="C14" i="209"/>
  <c r="H17" i="209" s="1"/>
  <c r="H13" i="209"/>
  <c r="G10" i="209"/>
  <c r="G7" i="209"/>
  <c r="G6" i="209"/>
  <c r="U5" i="209"/>
  <c r="G5" i="209"/>
  <c r="B5" i="209"/>
  <c r="U4" i="209" s="1"/>
  <c r="G4" i="209"/>
  <c r="G3" i="209" l="1"/>
</calcChain>
</file>

<file path=xl/sharedStrings.xml><?xml version="1.0" encoding="utf-8"?>
<sst xmlns="http://schemas.openxmlformats.org/spreadsheetml/2006/main" count="36" uniqueCount="34">
  <si>
    <t>Proyecto</t>
  </si>
  <si>
    <t>Muestra</t>
  </si>
  <si>
    <t>Orden de Trabajo</t>
  </si>
  <si>
    <t>Fecha de Inicio</t>
  </si>
  <si>
    <t>Fecha de Término</t>
  </si>
  <si>
    <t>Referencias</t>
  </si>
  <si>
    <t>Observaciones</t>
  </si>
  <si>
    <t>DATOS ENSAYO</t>
  </si>
  <si>
    <t>Nº INFORME</t>
  </si>
  <si>
    <t>CANTIDAD DE HOJAS (01 HASTA 30)</t>
  </si>
  <si>
    <t>Hoja Nº</t>
  </si>
  <si>
    <t>Nombre Hoja</t>
  </si>
  <si>
    <t>PROYECTO</t>
  </si>
  <si>
    <t>MUESTRA</t>
  </si>
  <si>
    <t>Resultados:</t>
  </si>
  <si>
    <t>DESCRIPCIÓN MUESTRA</t>
  </si>
  <si>
    <t>FECHA termino</t>
  </si>
  <si>
    <t>FECHA inicio</t>
  </si>
  <si>
    <t>-</t>
  </si>
  <si>
    <t>a. Muestras ensayadas en polvo de roca bajo tamiz #200.</t>
  </si>
  <si>
    <t>Nº Informe</t>
  </si>
  <si>
    <t>INFORME ENSAYO DE HINCHAMIENTO LIBRE EN PROBETA CILÍNDRICA PARA POLVO DE ROCA</t>
  </si>
  <si>
    <t>CAMBIAR SOLO LOS VALORES EN VERDE</t>
  </si>
  <si>
    <r>
      <t>Volumen inicial de muestra seca (V</t>
    </r>
    <r>
      <rPr>
        <vertAlign val="subscript"/>
        <sz val="9"/>
        <rFont val="Open Sans Regular"/>
      </rPr>
      <t>0</t>
    </r>
    <r>
      <rPr>
        <sz val="9"/>
        <rFont val="Open Sans Regular"/>
      </rPr>
      <t>) [ml]</t>
    </r>
  </si>
  <si>
    <r>
      <t>Volumen final de muestra sedimentada (V</t>
    </r>
    <r>
      <rPr>
        <vertAlign val="subscript"/>
        <sz val="9"/>
        <rFont val="Open Sans Regular"/>
      </rPr>
      <t>f</t>
    </r>
    <r>
      <rPr>
        <sz val="9"/>
        <rFont val="Open Sans Regular"/>
      </rPr>
      <t>) [ml]</t>
    </r>
  </si>
  <si>
    <t>Índice de hinchamiento libre (HL) [%]</t>
  </si>
  <si>
    <r>
      <t>Volumen inicial de muestra seca (V</t>
    </r>
    <r>
      <rPr>
        <vertAlign val="subscript"/>
        <sz val="9"/>
        <rFont val="Open Sans Regular"/>
      </rPr>
      <t>0</t>
    </r>
    <r>
      <rPr>
        <sz val="9"/>
        <rFont val="Open Sans Regular"/>
      </rPr>
      <t>)              [ml]</t>
    </r>
  </si>
  <si>
    <r>
      <t>Volumen final de muestra sedimentada (V</t>
    </r>
    <r>
      <rPr>
        <vertAlign val="subscript"/>
        <sz val="9"/>
        <rFont val="Open Sans Regular"/>
      </rPr>
      <t>f</t>
    </r>
    <r>
      <rPr>
        <sz val="9"/>
        <rFont val="Open Sans Regular"/>
      </rPr>
      <t>)  [ml]</t>
    </r>
  </si>
  <si>
    <t>b. Ensayo realizado con agua destilada.</t>
  </si>
  <si>
    <t>Índice de hinchamiento libre (HL)                      [%]</t>
  </si>
  <si>
    <t>1. Hinchamiento libre en probeta cilíndrica para polvo de roca de acuerdo a procedimiento interno basado en ARMA-11-152.</t>
  </si>
  <si>
    <t>BH-LPE5-A-LP-S3-A-0+078-L</t>
  </si>
  <si>
    <t>1.914.635-E</t>
  </si>
  <si>
    <t>BH-LPE5-A-LP-S3-A-0+078-L (14,92-15,10)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</si>
</sst>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0_)"/>
    <numFmt numFmtId="165" formatCode="0.000"/>
    <numFmt numFmtId="166" formatCode="0_)"/>
    <numFmt numFmtId="167" formatCode="0.000_)"/>
    <numFmt numFmtId="168" formatCode="0.0"/>
    <numFmt numFmtId="170" formatCode="dd/mm/yyyy;@"/>
  </numFmts>
  <fonts count="14" x14ac:knownFonts="1">
    <font>
      <sz val="10"/>
      <name val="Courier"/>
    </font>
    <font>
      <b/>
      <sz val="9"/>
      <name val="Arial"/>
      <family val="2"/>
    </font>
    <font>
      <sz val="9"/>
      <name val="Arial"/>
      <family val="2"/>
    </font>
    <font>
      <sz val="8.5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9"/>
      <name val="Open Sans Regular"/>
    </font>
    <font>
      <b/>
      <u/>
      <sz val="9"/>
      <name val="Open Sans Regular"/>
    </font>
    <font>
      <b/>
      <sz val="9"/>
      <name val="Open Sans Regular"/>
    </font>
    <font>
      <b/>
      <sz val="9"/>
      <color indexed="10"/>
      <name val="Open Sans Regular"/>
    </font>
    <font>
      <sz val="9"/>
      <color indexed="10"/>
      <name val="Open Sans Regular"/>
    </font>
    <font>
      <sz val="9"/>
      <color indexed="8"/>
      <name val="Open Sans Regular"/>
    </font>
    <font>
      <sz val="9"/>
      <color indexed="48"/>
      <name val="Open Sans Regular"/>
    </font>
    <font>
      <vertAlign val="subscript"/>
      <sz val="9"/>
      <name val="Open Sans Regular"/>
    </font>
  </fonts>
  <fills count="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/>
    <xf numFmtId="0" fontId="2" fillId="0" borderId="6" xfId="0" applyFont="1" applyFill="1" applyBorder="1" applyAlignment="1" applyProtection="1">
      <alignment horizontal="left" vertical="center"/>
    </xf>
    <xf numFmtId="0" fontId="3" fillId="2" borderId="3" xfId="0" applyNumberFormat="1" applyFont="1" applyFill="1" applyBorder="1" applyAlignment="1" applyProtection="1">
      <alignment vertical="center"/>
    </xf>
    <xf numFmtId="0" fontId="3" fillId="2" borderId="1" xfId="0" applyNumberFormat="1" applyFont="1" applyFill="1" applyBorder="1" applyAlignment="1" applyProtection="1">
      <alignment vertical="center"/>
    </xf>
    <xf numFmtId="0" fontId="3" fillId="2" borderId="2" xfId="0" applyNumberFormat="1" applyFont="1" applyFill="1" applyBorder="1" applyAlignment="1" applyProtection="1">
      <alignment vertical="center"/>
    </xf>
    <xf numFmtId="0" fontId="4" fillId="0" borderId="0" xfId="0" applyFont="1" applyAlignment="1">
      <alignment vertical="center"/>
    </xf>
    <xf numFmtId="0" fontId="2" fillId="0" borderId="3" xfId="0" applyFont="1" applyFill="1" applyBorder="1" applyAlignment="1" applyProtection="1">
      <alignment horizontal="left" vertical="center"/>
    </xf>
    <xf numFmtId="0" fontId="2" fillId="0" borderId="4" xfId="0" applyFont="1" applyFill="1" applyBorder="1" applyAlignment="1" applyProtection="1">
      <alignment horizontal="left" vertical="center"/>
    </xf>
    <xf numFmtId="0" fontId="5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0" fontId="6" fillId="4" borderId="0" xfId="0" applyFont="1" applyFill="1" applyAlignment="1" applyProtection="1">
      <alignment vertical="center"/>
      <protection locked="0"/>
    </xf>
    <xf numFmtId="0" fontId="8" fillId="4" borderId="0" xfId="0" applyFont="1" applyFill="1" applyAlignment="1" applyProtection="1">
      <alignment vertical="center"/>
    </xf>
    <xf numFmtId="0" fontId="6" fillId="4" borderId="0" xfId="0" applyFont="1" applyFill="1" applyAlignment="1" applyProtection="1">
      <alignment vertical="center"/>
    </xf>
    <xf numFmtId="0" fontId="9" fillId="4" borderId="4" xfId="0" applyFont="1" applyFill="1" applyBorder="1" applyAlignment="1" applyProtection="1">
      <alignment vertical="center"/>
      <protection locked="0"/>
    </xf>
    <xf numFmtId="0" fontId="6" fillId="4" borderId="1" xfId="0" applyFont="1" applyFill="1" applyBorder="1" applyAlignment="1" applyProtection="1">
      <alignment vertical="center"/>
      <protection locked="0"/>
    </xf>
    <xf numFmtId="0" fontId="6" fillId="4" borderId="2" xfId="0" applyFont="1" applyFill="1" applyBorder="1" applyAlignment="1" applyProtection="1">
      <alignment vertical="center"/>
      <protection locked="0"/>
    </xf>
    <xf numFmtId="0" fontId="6" fillId="4" borderId="0" xfId="0" applyFont="1" applyFill="1" applyBorder="1" applyAlignment="1" applyProtection="1">
      <alignment vertical="center"/>
      <protection locked="0"/>
    </xf>
    <xf numFmtId="0" fontId="8" fillId="4" borderId="6" xfId="0" applyFont="1" applyFill="1" applyBorder="1" applyAlignment="1" applyProtection="1">
      <alignment horizontal="left" vertical="center"/>
    </xf>
    <xf numFmtId="0" fontId="6" fillId="4" borderId="3" xfId="0" applyFont="1" applyFill="1" applyBorder="1" applyAlignment="1" applyProtection="1">
      <alignment horizontal="left" vertical="center" indent="1"/>
    </xf>
    <xf numFmtId="0" fontId="6" fillId="4" borderId="1" xfId="0" applyFont="1" applyFill="1" applyBorder="1" applyAlignment="1" applyProtection="1">
      <alignment vertical="center"/>
    </xf>
    <xf numFmtId="0" fontId="6" fillId="4" borderId="2" xfId="0" applyFont="1" applyFill="1" applyBorder="1" applyAlignment="1" applyProtection="1">
      <alignment vertical="center"/>
    </xf>
    <xf numFmtId="0" fontId="8" fillId="4" borderId="0" xfId="0" applyFont="1" applyFill="1" applyAlignment="1" applyProtection="1">
      <alignment horizontal="left" vertical="center"/>
      <protection locked="0"/>
    </xf>
    <xf numFmtId="0" fontId="9" fillId="3" borderId="4" xfId="0" applyFont="1" applyFill="1" applyBorder="1" applyAlignment="1" applyProtection="1">
      <alignment horizontal="left" vertical="center"/>
      <protection locked="0"/>
    </xf>
    <xf numFmtId="0" fontId="8" fillId="4" borderId="3" xfId="0" applyFont="1" applyFill="1" applyBorder="1" applyAlignment="1" applyProtection="1">
      <alignment horizontal="left" vertical="center"/>
    </xf>
    <xf numFmtId="0" fontId="6" fillId="4" borderId="0" xfId="0" applyFont="1" applyFill="1" applyAlignment="1" applyProtection="1">
      <alignment horizontal="left" vertical="center"/>
      <protection locked="0"/>
    </xf>
    <xf numFmtId="16" fontId="9" fillId="3" borderId="4" xfId="0" applyNumberFormat="1" applyFont="1" applyFill="1" applyBorder="1" applyAlignment="1" applyProtection="1">
      <alignment horizontal="left" vertical="center"/>
      <protection locked="0"/>
    </xf>
    <xf numFmtId="3" fontId="6" fillId="4" borderId="0" xfId="0" applyNumberFormat="1" applyFont="1" applyFill="1" applyAlignment="1" applyProtection="1">
      <alignment vertical="center"/>
      <protection locked="0"/>
    </xf>
    <xf numFmtId="0" fontId="8" fillId="4" borderId="3" xfId="0" applyFont="1" applyFill="1" applyBorder="1" applyAlignment="1" applyProtection="1">
      <alignment vertical="center"/>
    </xf>
    <xf numFmtId="0" fontId="8" fillId="4" borderId="5" xfId="0" applyFont="1" applyFill="1" applyBorder="1" applyAlignment="1" applyProtection="1">
      <alignment vertical="center"/>
    </xf>
    <xf numFmtId="0" fontId="6" fillId="4" borderId="0" xfId="0" applyFont="1" applyFill="1" applyBorder="1" applyAlignment="1" applyProtection="1">
      <alignment horizontal="left" vertical="center"/>
    </xf>
    <xf numFmtId="0" fontId="6" fillId="4" borderId="0" xfId="0" applyFont="1" applyFill="1" applyBorder="1" applyAlignment="1" applyProtection="1">
      <alignment vertical="center"/>
    </xf>
    <xf numFmtId="0" fontId="6" fillId="4" borderId="0" xfId="0" applyFont="1" applyFill="1" applyBorder="1" applyAlignment="1" applyProtection="1">
      <alignment horizontal="center" vertical="center"/>
    </xf>
    <xf numFmtId="0" fontId="6" fillId="4" borderId="0" xfId="0" applyFont="1" applyFill="1" applyBorder="1" applyAlignment="1" applyProtection="1">
      <alignment horizontal="center" vertical="center"/>
      <protection locked="0"/>
    </xf>
    <xf numFmtId="164" fontId="6" fillId="4" borderId="0" xfId="0" applyNumberFormat="1" applyFont="1" applyFill="1" applyBorder="1" applyAlignment="1" applyProtection="1">
      <alignment horizontal="left" vertical="center"/>
    </xf>
    <xf numFmtId="2" fontId="9" fillId="3" borderId="4" xfId="0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center" vertical="center"/>
      <protection locked="0"/>
    </xf>
    <xf numFmtId="0" fontId="8" fillId="4" borderId="0" xfId="0" applyFont="1" applyFill="1" applyAlignment="1" applyProtection="1">
      <alignment vertical="center"/>
      <protection locked="0"/>
    </xf>
    <xf numFmtId="2" fontId="6" fillId="4" borderId="0" xfId="0" applyNumberFormat="1" applyFont="1" applyFill="1" applyBorder="1" applyAlignment="1" applyProtection="1">
      <alignment horizontal="center" vertical="center"/>
      <protection locked="0"/>
    </xf>
    <xf numFmtId="1" fontId="10" fillId="4" borderId="0" xfId="0" applyNumberFormat="1" applyFont="1" applyFill="1" applyBorder="1" applyAlignment="1" applyProtection="1">
      <alignment horizontal="center" vertical="center"/>
      <protection locked="0"/>
    </xf>
    <xf numFmtId="2" fontId="11" fillId="4" borderId="0" xfId="0" applyNumberFormat="1" applyFont="1" applyFill="1" applyBorder="1" applyAlignment="1" applyProtection="1">
      <alignment horizontal="center" vertical="center"/>
      <protection locked="0"/>
    </xf>
    <xf numFmtId="168" fontId="6" fillId="4" borderId="4" xfId="0" applyNumberFormat="1" applyFont="1" applyFill="1" applyBorder="1" applyAlignment="1" applyProtection="1">
      <alignment horizontal="center" vertical="center"/>
    </xf>
    <xf numFmtId="0" fontId="10" fillId="4" borderId="0" xfId="0" applyFont="1" applyFill="1" applyBorder="1" applyAlignment="1" applyProtection="1">
      <alignment horizontal="center" vertical="center"/>
      <protection locked="0"/>
    </xf>
    <xf numFmtId="166" fontId="10" fillId="4" borderId="0" xfId="0" applyNumberFormat="1" applyFont="1" applyFill="1" applyBorder="1" applyAlignment="1" applyProtection="1">
      <alignment horizontal="center" vertical="center"/>
      <protection locked="0"/>
    </xf>
    <xf numFmtId="164" fontId="12" fillId="4" borderId="0" xfId="0" applyNumberFormat="1" applyFont="1" applyFill="1" applyBorder="1" applyAlignment="1" applyProtection="1">
      <alignment horizontal="center" vertical="center"/>
      <protection locked="0"/>
    </xf>
    <xf numFmtId="168" fontId="6" fillId="4" borderId="0" xfId="0" applyNumberFormat="1" applyFont="1" applyFill="1" applyBorder="1" applyAlignment="1" applyProtection="1">
      <alignment vertical="center"/>
      <protection locked="0"/>
    </xf>
    <xf numFmtId="2" fontId="10" fillId="4" borderId="0" xfId="0" applyNumberFormat="1" applyFont="1" applyFill="1" applyBorder="1" applyAlignment="1" applyProtection="1">
      <alignment horizontal="center" vertical="center"/>
      <protection locked="0"/>
    </xf>
    <xf numFmtId="164" fontId="10" fillId="4" borderId="0" xfId="0" applyNumberFormat="1" applyFont="1" applyFill="1" applyBorder="1" applyAlignment="1" applyProtection="1">
      <alignment horizontal="center" vertical="center"/>
      <protection locked="0"/>
    </xf>
    <xf numFmtId="165" fontId="10" fillId="4" borderId="0" xfId="0" applyNumberFormat="1" applyFont="1" applyFill="1" applyBorder="1" applyAlignment="1" applyProtection="1">
      <alignment horizontal="center" vertical="center"/>
      <protection locked="0"/>
    </xf>
    <xf numFmtId="167" fontId="10" fillId="4" borderId="0" xfId="0" applyNumberFormat="1" applyFont="1" applyFill="1" applyBorder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vertical="center"/>
      <protection locked="0"/>
    </xf>
    <xf numFmtId="2" fontId="6" fillId="4" borderId="0" xfId="0" applyNumberFormat="1" applyFont="1" applyFill="1" applyAlignment="1" applyProtection="1">
      <alignment vertical="center"/>
      <protection locked="0"/>
    </xf>
    <xf numFmtId="166" fontId="6" fillId="4" borderId="0" xfId="0" applyNumberFormat="1" applyFont="1" applyFill="1" applyBorder="1" applyAlignment="1" applyProtection="1">
      <alignment horizontal="center" vertical="center"/>
      <protection locked="0"/>
    </xf>
    <xf numFmtId="164" fontId="6" fillId="4" borderId="0" xfId="0" applyNumberFormat="1" applyFont="1" applyFill="1" applyAlignment="1" applyProtection="1">
      <alignment vertical="center"/>
      <protection locked="0"/>
    </xf>
    <xf numFmtId="0" fontId="6" fillId="4" borderId="0" xfId="0" quotePrefix="1" applyFont="1" applyFill="1" applyBorder="1" applyAlignment="1" applyProtection="1">
      <alignment horizontal="center" vertical="center"/>
      <protection locked="0"/>
    </xf>
    <xf numFmtId="164" fontId="6" fillId="4" borderId="0" xfId="0" applyNumberFormat="1" applyFont="1" applyFill="1" applyBorder="1" applyAlignment="1" applyProtection="1">
      <alignment horizontal="center" vertical="center"/>
      <protection locked="0"/>
    </xf>
    <xf numFmtId="165" fontId="6" fillId="4" borderId="0" xfId="0" applyNumberFormat="1" applyFont="1" applyFill="1" applyBorder="1" applyAlignment="1" applyProtection="1">
      <alignment horizontal="center" vertical="center"/>
      <protection locked="0"/>
    </xf>
    <xf numFmtId="0" fontId="8" fillId="4" borderId="0" xfId="0" applyFont="1" applyFill="1" applyBorder="1" applyAlignment="1" applyProtection="1">
      <alignment vertical="center"/>
      <protection locked="0"/>
    </xf>
    <xf numFmtId="2" fontId="8" fillId="0" borderId="4" xfId="0" applyNumberFormat="1" applyFont="1" applyFill="1" applyBorder="1" applyAlignment="1" applyProtection="1">
      <alignment horizontal="center" vertical="center"/>
      <protection locked="0"/>
    </xf>
    <xf numFmtId="164" fontId="6" fillId="4" borderId="3" xfId="0" applyNumberFormat="1" applyFont="1" applyFill="1" applyBorder="1" applyAlignment="1" applyProtection="1">
      <alignment horizontal="left" vertical="center" indent="1"/>
    </xf>
    <xf numFmtId="0" fontId="12" fillId="4" borderId="0" xfId="0" applyFont="1" applyFill="1" applyBorder="1" applyAlignment="1" applyProtection="1">
      <alignment horizontal="center" vertical="center"/>
      <protection locked="0"/>
    </xf>
    <xf numFmtId="0" fontId="1" fillId="0" borderId="4" xfId="0" applyFont="1" applyFill="1" applyBorder="1" applyAlignment="1" applyProtection="1">
      <alignment horizontal="center" vertical="center"/>
    </xf>
    <xf numFmtId="0" fontId="1" fillId="2" borderId="4" xfId="0" applyFont="1" applyFill="1" applyBorder="1" applyAlignment="1" applyProtection="1">
      <alignment horizontal="center" vertical="center"/>
    </xf>
    <xf numFmtId="0" fontId="6" fillId="4" borderId="3" xfId="0" applyFont="1" applyFill="1" applyBorder="1" applyAlignment="1" applyProtection="1">
      <alignment horizontal="left" vertical="center"/>
    </xf>
    <xf numFmtId="0" fontId="6" fillId="4" borderId="2" xfId="0" applyFont="1" applyFill="1" applyBorder="1" applyAlignment="1" applyProtection="1">
      <alignment horizontal="left" vertical="center"/>
    </xf>
    <xf numFmtId="0" fontId="12" fillId="4" borderId="0" xfId="0" applyFont="1" applyFill="1" applyBorder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left" vertical="center"/>
    </xf>
    <xf numFmtId="0" fontId="8" fillId="4" borderId="0" xfId="0" applyFont="1" applyFill="1" applyBorder="1" applyAlignment="1" applyProtection="1">
      <alignment horizontal="left" vertical="center"/>
      <protection locked="0"/>
    </xf>
    <xf numFmtId="0" fontId="6" fillId="4" borderId="3" xfId="0" applyFont="1" applyFill="1" applyBorder="1" applyAlignment="1" applyProtection="1">
      <alignment horizontal="left" vertical="center"/>
      <protection locked="0"/>
    </xf>
    <xf numFmtId="0" fontId="6" fillId="4" borderId="2" xfId="0" applyFont="1" applyFill="1" applyBorder="1" applyAlignment="1" applyProtection="1">
      <alignment horizontal="left" vertical="center"/>
      <protection locked="0"/>
    </xf>
    <xf numFmtId="170" fontId="6" fillId="4" borderId="3" xfId="0" applyNumberFormat="1" applyFont="1" applyFill="1" applyBorder="1" applyAlignment="1" applyProtection="1">
      <alignment horizontal="left" vertical="center" indent="1"/>
    </xf>
  </cellXfs>
  <cellStyles count="1">
    <cellStyle name="Normal" xfId="0" builtinId="0"/>
  </cellStyles>
  <dxfs count="3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L"/>
              <a:t>Gráfico Tensión - Deformación
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Natural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86-45CD-8E7D-38817AD97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669088"/>
        <c:axId val="1774663104"/>
      </c:scatterChart>
      <c:valAx>
        <c:axId val="177466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Deformación Unitaria, [%]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1774663104"/>
        <c:crosses val="autoZero"/>
        <c:crossBetween val="midCat"/>
      </c:valAx>
      <c:valAx>
        <c:axId val="17746631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Presión Axial,  [kg/cm2]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1774669088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3.5433070866141736" l="0.59055118110236227" r="0.59055118110236227" t="2.3622047244094491" header="0" footer="0"/>
    <c:pageSetup orientation="portrait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FF0000"/>
                </a:solidFill>
                <a:prstDash val="sysDash"/>
              </a:ln>
            </c:spPr>
            <c:trendlineType val="power"/>
            <c:dispRSqr val="1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Times New Roman"/>
                      <a:ea typeface="Times New Roman"/>
                      <a:cs typeface="Times New Roman"/>
                    </a:defRPr>
                  </a:pPr>
                  <a:endParaRPr lang="es-419"/>
                </a:p>
              </c:txPr>
            </c:trendlineLbl>
          </c:trendline>
          <c:xVal>
            <c:numLit>
              <c:formatCode>General</c:formatCode>
              <c:ptCount val="14"/>
              <c:pt idx="0">
                <c:v>4</c:v>
              </c:pt>
              <c:pt idx="1">
                <c:v>5.5</c:v>
              </c:pt>
              <c:pt idx="2">
                <c:v>4.5</c:v>
              </c:pt>
              <c:pt idx="3">
                <c:v>3.5</c:v>
              </c:pt>
              <c:pt idx="4">
                <c:v>5.4</c:v>
              </c:pt>
              <c:pt idx="5">
                <c:v>4.5999999999999996</c:v>
              </c:pt>
              <c:pt idx="6">
                <c:v>3.5</c:v>
              </c:pt>
              <c:pt idx="7">
                <c:v>2.2999999999999998</c:v>
              </c:pt>
              <c:pt idx="8">
                <c:v>1.9</c:v>
              </c:pt>
              <c:pt idx="9">
                <c:v>1.3</c:v>
              </c:pt>
              <c:pt idx="10">
                <c:v>3</c:v>
              </c:pt>
              <c:pt idx="11">
                <c:v>1.7</c:v>
              </c:pt>
              <c:pt idx="12">
                <c:v>2.8</c:v>
              </c:pt>
              <c:pt idx="13">
                <c:v>3</c:v>
              </c:pt>
            </c:numLit>
          </c:xVal>
          <c:yVal>
            <c:numLit>
              <c:formatCode>General</c:formatCode>
              <c:ptCount val="14"/>
              <c:pt idx="0">
                <c:v>39.671500000000002</c:v>
              </c:pt>
              <c:pt idx="1">
                <c:v>21.460165289256196</c:v>
              </c:pt>
              <c:pt idx="2">
                <c:v>32.057777777777773</c:v>
              </c:pt>
              <c:pt idx="3">
                <c:v>51.815836734693882</c:v>
              </c:pt>
              <c:pt idx="4">
                <c:v>28.693689986282575</c:v>
              </c:pt>
              <c:pt idx="5">
                <c:v>30.67911153119093</c:v>
              </c:pt>
              <c:pt idx="6">
                <c:v>35.328979591836735</c:v>
              </c:pt>
              <c:pt idx="7">
                <c:v>68.175803402646508</c:v>
              </c:pt>
              <c:pt idx="8">
                <c:v>91.910803324099732</c:v>
              </c:pt>
              <c:pt idx="9">
                <c:v>102.43313609467454</c:v>
              </c:pt>
              <c:pt idx="10">
                <c:v>44.88088888888889</c:v>
              </c:pt>
              <c:pt idx="11">
                <c:v>79.867128027681673</c:v>
              </c:pt>
              <c:pt idx="12">
                <c:v>47.841326530612257</c:v>
              </c:pt>
              <c:pt idx="13">
                <c:v>54.498222222222218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3F22-4DED-A4DC-28C848C5B91E}"/>
            </c:ext>
          </c:extLst>
        </c:ser>
        <c:ser>
          <c:idx val="1"/>
          <c:order val="1"/>
          <c:spPr>
            <a:ln w="3175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3"/>
              <c:pt idx="0">
                <c:v>5</c:v>
              </c:pt>
              <c:pt idx="1">
                <c:v>5</c:v>
              </c:pt>
              <c:pt idx="2">
                <c:v>1</c:v>
              </c:pt>
            </c:numLit>
          </c:xVal>
          <c:yVal>
            <c:numLit>
              <c:formatCode>General</c:formatCode>
              <c:ptCount val="3"/>
              <c:pt idx="0">
                <c:v>1</c:v>
              </c:pt>
              <c:pt idx="1">
                <c:v>28.811497220990645</c:v>
              </c:pt>
              <c:pt idx="2">
                <c:v>28.811497220990645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F22-4DED-A4DC-28C848C5B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665280"/>
        <c:axId val="1774666912"/>
      </c:scatterChart>
      <c:valAx>
        <c:axId val="1774665280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s-CL"/>
                  <a:t>Distancia entre Puntas, cm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cross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1774666912"/>
        <c:crosses val="autoZero"/>
        <c:crossBetween val="midCat"/>
      </c:valAx>
      <c:valAx>
        <c:axId val="1774666912"/>
        <c:scaling>
          <c:logBase val="10"/>
          <c:orientation val="minMax"/>
          <c:max val="1000"/>
          <c:min val="1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s-CL"/>
                  <a:t>Índice de Resistencia, kg/cm²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cross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177466528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7</xdr:row>
      <xdr:rowOff>85725</xdr:rowOff>
    </xdr:from>
    <xdr:to>
      <xdr:col>9</xdr:col>
      <xdr:colOff>304800</xdr:colOff>
      <xdr:row>11</xdr:row>
      <xdr:rowOff>142875</xdr:rowOff>
    </xdr:to>
    <xdr:sp macro="[0]!Módulo1.CrearHojas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315075" y="1219200"/>
          <a:ext cx="1600200" cy="704850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es-ES" sz="1800" b="1" i="0"/>
            <a:t>CREAR HOJAS</a:t>
          </a:r>
        </a:p>
      </xdr:txBody>
    </xdr:sp>
    <xdr:clientData/>
  </xdr:twoCellAnchor>
  <xdr:twoCellAnchor>
    <xdr:from>
      <xdr:col>9</xdr:col>
      <xdr:colOff>714375</xdr:colOff>
      <xdr:row>7</xdr:row>
      <xdr:rowOff>80963</xdr:rowOff>
    </xdr:from>
    <xdr:to>
      <xdr:col>11</xdr:col>
      <xdr:colOff>600075</xdr:colOff>
      <xdr:row>11</xdr:row>
      <xdr:rowOff>147638</xdr:rowOff>
    </xdr:to>
    <xdr:sp macro="[0]!Módulo1.CambiaNombres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8324850" y="1214438"/>
          <a:ext cx="1562100" cy="714375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es-ES" sz="1600" b="1" i="1"/>
            <a:t>CAMBIAR</a:t>
          </a:r>
          <a:r>
            <a:rPr lang="es-ES" sz="1600" b="1" i="1" baseline="0"/>
            <a:t> NOMBRE HOJAS</a:t>
          </a:r>
          <a:endParaRPr lang="es-ES" sz="1600" b="1" i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47</xdr:row>
      <xdr:rowOff>0</xdr:rowOff>
    </xdr:from>
    <xdr:to>
      <xdr:col>11</xdr:col>
      <xdr:colOff>0</xdr:colOff>
      <xdr:row>47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34</xdr:row>
      <xdr:rowOff>0</xdr:rowOff>
    </xdr:from>
    <xdr:to>
      <xdr:col>0</xdr:col>
      <xdr:colOff>0</xdr:colOff>
      <xdr:row>51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17.83.33\seccion%20laboratorio\Documents%20and%20Settings\geo\Escritorio\Laboratorio\MERVAL4\Carga%20Puntua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saye Carga Puntual"/>
    </sheetNames>
    <sheetDataSet>
      <sheetData sheetId="0">
        <row r="8">
          <cell r="A8">
            <v>4</v>
          </cell>
        </row>
        <row r="9">
          <cell r="A9">
            <v>5.5</v>
          </cell>
        </row>
        <row r="10">
          <cell r="A10">
            <v>4.5</v>
          </cell>
        </row>
        <row r="11">
          <cell r="A11">
            <v>3.5</v>
          </cell>
        </row>
        <row r="12">
          <cell r="A12">
            <v>5.4</v>
          </cell>
        </row>
        <row r="13">
          <cell r="A13">
            <v>4.5999999999999996</v>
          </cell>
        </row>
        <row r="14">
          <cell r="A14">
            <v>3.5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H13"/>
  <sheetViews>
    <sheetView showGridLines="0" workbookViewId="0">
      <selection activeCell="C4" sqref="C4"/>
    </sheetView>
  </sheetViews>
  <sheetFormatPr baseColWidth="10" defaultRowHeight="12.75" x14ac:dyDescent="0.15"/>
  <cols>
    <col min="1" max="1" width="6.125" style="5" customWidth="1"/>
    <col min="2" max="2" width="12.875" style="5" bestFit="1" customWidth="1"/>
    <col min="3" max="3" width="12.375" style="5" customWidth="1"/>
    <col min="4" max="8" width="11.5" style="5" customWidth="1"/>
    <col min="9" max="16384" width="11" style="5"/>
  </cols>
  <sheetData>
    <row r="2" spans="2:8" ht="12.75" customHeight="1" x14ac:dyDescent="0.15">
      <c r="B2" s="1" t="s">
        <v>0</v>
      </c>
      <c r="C2" s="2" t="s">
        <v>31</v>
      </c>
      <c r="D2" s="3"/>
      <c r="E2" s="3"/>
      <c r="F2" s="3"/>
      <c r="G2" s="3"/>
      <c r="H2" s="4"/>
    </row>
    <row r="3" spans="2:8" x14ac:dyDescent="0.15">
      <c r="B3" s="6" t="s">
        <v>8</v>
      </c>
      <c r="C3" s="2" t="s">
        <v>32</v>
      </c>
      <c r="D3" s="3"/>
      <c r="E3" s="3"/>
      <c r="F3" s="3"/>
      <c r="G3" s="3"/>
      <c r="H3" s="4"/>
    </row>
    <row r="4" spans="2:8" x14ac:dyDescent="0.15">
      <c r="B4" s="7" t="s">
        <v>2</v>
      </c>
      <c r="C4" s="2" t="s">
        <v>18</v>
      </c>
      <c r="D4" s="3"/>
      <c r="E4" s="3"/>
      <c r="F4" s="3"/>
      <c r="G4" s="3"/>
      <c r="H4" s="4"/>
    </row>
    <row r="6" spans="2:8" x14ac:dyDescent="0.15">
      <c r="B6" s="61" t="s">
        <v>9</v>
      </c>
      <c r="C6" s="61"/>
      <c r="D6" s="61"/>
    </row>
    <row r="7" spans="2:8" x14ac:dyDescent="0.15">
      <c r="B7" s="62">
        <v>3</v>
      </c>
      <c r="C7" s="62"/>
      <c r="D7" s="62"/>
    </row>
    <row r="10" spans="2:8" x14ac:dyDescent="0.15">
      <c r="B10" s="8" t="s">
        <v>10</v>
      </c>
      <c r="C10" s="8" t="s">
        <v>11</v>
      </c>
    </row>
    <row r="11" spans="2:8" x14ac:dyDescent="0.15">
      <c r="B11" s="9">
        <v>1</v>
      </c>
      <c r="C11" s="10">
        <v>1</v>
      </c>
    </row>
    <row r="12" spans="2:8" x14ac:dyDescent="0.15">
      <c r="B12" s="9">
        <v>2</v>
      </c>
      <c r="C12" s="10">
        <v>7</v>
      </c>
    </row>
    <row r="13" spans="2:8" x14ac:dyDescent="0.15">
      <c r="B13" s="9">
        <v>3</v>
      </c>
      <c r="C13" s="10">
        <v>24</v>
      </c>
    </row>
  </sheetData>
  <sheetProtection algorithmName="SHA-512" hashValue="U0hZevTic9Caody9JKHBFG0a/dfikkWBwekqEKGbmrs1rub87+fxceCGw3eeTPtWvDFlQuEcz5scm10/WykyEg==" saltValue="ZFJQNtxgiEaj9UOskEg3Xw==" spinCount="100000" sheet="1" formatCells="0" formatColumns="0" formatRows="0"/>
  <protectedRanges>
    <protectedRange sqref="C2:H4 B7 B10:D11 G10:H22 B41:H114 D12:D22 D23:H40 B12:C40" name="Rango1"/>
  </protectedRanges>
  <mergeCells count="2">
    <mergeCell ref="B6:D6"/>
    <mergeCell ref="B7:D7"/>
  </mergeCells>
  <dataValidations count="1">
    <dataValidation type="whole" allowBlank="1" showInputMessage="1" showErrorMessage="1" error="ELEGIR ENTRE 01 A 20 HOJAS" promptTitle="CANTIDAD DE ENSAYOS" prompt="INGRESAR LA CANTIDAD DE HOJAS DE CÁLCULO" sqref="B7:D7">
      <formula1>1</formula1>
      <formula2>30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A94"/>
  <sheetViews>
    <sheetView tabSelected="1" zoomScaleNormal="100" workbookViewId="0">
      <selection activeCell="K17" sqref="K17"/>
    </sheetView>
  </sheetViews>
  <sheetFormatPr baseColWidth="10" defaultColWidth="9.625" defaultRowHeight="14.25" x14ac:dyDescent="0.15"/>
  <cols>
    <col min="1" max="1" width="12.625" style="11" customWidth="1"/>
    <col min="2" max="2" width="21.625" style="11" customWidth="1"/>
    <col min="3" max="4" width="11.375" style="11" customWidth="1"/>
    <col min="5" max="5" width="9.625" style="11"/>
    <col min="6" max="6" width="15.625" style="11" customWidth="1"/>
    <col min="7" max="7" width="18.5" style="11" customWidth="1"/>
    <col min="8" max="9" width="13.75" style="11" customWidth="1"/>
    <col min="10" max="11" width="13.75" style="36" customWidth="1"/>
    <col min="12" max="12" width="4.75" style="11" customWidth="1"/>
    <col min="13" max="19" width="9.625" style="11"/>
    <col min="20" max="25" width="0" style="11" hidden="1" customWidth="1"/>
    <col min="26" max="16384" width="9.625" style="11"/>
  </cols>
  <sheetData>
    <row r="1" spans="1:27" ht="15" customHeight="1" x14ac:dyDescent="0.15">
      <c r="F1" s="66" t="s">
        <v>21</v>
      </c>
      <c r="G1" s="66"/>
      <c r="H1" s="66"/>
      <c r="I1" s="66"/>
      <c r="J1" s="66"/>
      <c r="K1" s="66"/>
    </row>
    <row r="2" spans="1:27" ht="15" customHeight="1" x14ac:dyDescent="0.15">
      <c r="F2" s="13"/>
      <c r="G2" s="13"/>
      <c r="H2" s="13"/>
      <c r="I2" s="13"/>
      <c r="J2" s="13"/>
      <c r="K2" s="13"/>
      <c r="M2" s="37"/>
      <c r="N2" s="37"/>
      <c r="O2" s="37"/>
    </row>
    <row r="3" spans="1:27" ht="15" customHeight="1" x14ac:dyDescent="0.15">
      <c r="A3" s="14" t="s">
        <v>22</v>
      </c>
      <c r="B3" s="15"/>
      <c r="C3" s="16"/>
      <c r="F3" s="18" t="s">
        <v>0</v>
      </c>
      <c r="G3" s="19" t="str">
        <f>'24'!B5</f>
        <v>BH-LPE5-A-LP-S3-A-0+078-L</v>
      </c>
      <c r="H3" s="20"/>
      <c r="I3" s="20"/>
      <c r="J3" s="20"/>
      <c r="K3" s="21"/>
    </row>
    <row r="4" spans="1:27" ht="15" customHeight="1" x14ac:dyDescent="0.15">
      <c r="F4" s="24" t="s">
        <v>20</v>
      </c>
      <c r="G4" s="19" t="str">
        <f>'Ingreso Datos'!C3</f>
        <v>1.914.635-E</v>
      </c>
      <c r="H4" s="20"/>
      <c r="I4" s="20"/>
      <c r="J4" s="20"/>
      <c r="K4" s="21"/>
      <c r="M4" s="37"/>
      <c r="N4" s="37"/>
      <c r="T4" s="57"/>
      <c r="U4" s="57" t="str">
        <f>+CONCATENATE(A5,"  ",":","  ",B5)</f>
        <v>PROYECTO  :  BH-LPE5-A-LP-S3-A-0+078-L</v>
      </c>
      <c r="V4" s="57"/>
      <c r="W4" s="57"/>
      <c r="X4" s="57"/>
      <c r="Y4" s="57"/>
      <c r="Z4" s="57"/>
      <c r="AA4" s="57"/>
    </row>
    <row r="5" spans="1:27" ht="15" customHeight="1" x14ac:dyDescent="0.15">
      <c r="A5" s="22" t="s">
        <v>12</v>
      </c>
      <c r="B5" s="23" t="str">
        <f>'Ingreso Datos'!C2</f>
        <v>BH-LPE5-A-LP-S3-A-0+078-L</v>
      </c>
      <c r="F5" s="18" t="s">
        <v>2</v>
      </c>
      <c r="G5" s="19" t="str">
        <f>'Ingreso Datos'!C4</f>
        <v>-</v>
      </c>
      <c r="H5" s="20"/>
      <c r="I5" s="20"/>
      <c r="J5" s="20"/>
      <c r="K5" s="21"/>
      <c r="T5" s="57"/>
      <c r="U5" s="57" t="str">
        <f>+CONCATENATE(A8,"  ",":","  ",B8)</f>
        <v>MUESTRA  :  BH-LPE5-A-LP-S3-A-0+078-L (14,92-15,10)</v>
      </c>
      <c r="V5" s="57"/>
      <c r="W5" s="57"/>
      <c r="X5" s="57"/>
      <c r="Y5" s="57"/>
      <c r="Z5" s="57"/>
      <c r="AA5" s="57"/>
    </row>
    <row r="6" spans="1:27" ht="15" customHeight="1" x14ac:dyDescent="0.15">
      <c r="A6" s="25" t="s">
        <v>17</v>
      </c>
      <c r="B6" s="26">
        <v>45467</v>
      </c>
      <c r="F6" s="28" t="s">
        <v>3</v>
      </c>
      <c r="G6" s="70">
        <f>B6</f>
        <v>45467</v>
      </c>
      <c r="H6" s="20"/>
      <c r="I6" s="20"/>
      <c r="J6" s="20"/>
      <c r="K6" s="21"/>
      <c r="M6" s="67"/>
      <c r="N6" s="67"/>
      <c r="O6" s="67"/>
      <c r="P6" s="67"/>
      <c r="Q6" s="67"/>
      <c r="R6" s="67"/>
    </row>
    <row r="7" spans="1:27" ht="15" customHeight="1" x14ac:dyDescent="0.15">
      <c r="A7" s="25" t="s">
        <v>16</v>
      </c>
      <c r="B7" s="26">
        <v>45468</v>
      </c>
      <c r="D7" s="27"/>
      <c r="F7" s="29" t="s">
        <v>4</v>
      </c>
      <c r="G7" s="70">
        <f>B7</f>
        <v>45468</v>
      </c>
      <c r="H7" s="20"/>
      <c r="I7" s="20"/>
      <c r="J7" s="20"/>
      <c r="K7" s="21"/>
    </row>
    <row r="8" spans="1:27" ht="15" customHeight="1" x14ac:dyDescent="0.15">
      <c r="A8" s="22" t="s">
        <v>13</v>
      </c>
      <c r="B8" s="23" t="s">
        <v>33</v>
      </c>
      <c r="F8" s="13"/>
      <c r="G8" s="30"/>
      <c r="H8" s="31"/>
      <c r="I8" s="31"/>
      <c r="J8" s="32"/>
      <c r="K8" s="32"/>
    </row>
    <row r="9" spans="1:27" ht="15" customHeight="1" x14ac:dyDescent="0.15">
      <c r="F9" s="12" t="s">
        <v>15</v>
      </c>
      <c r="G9" s="30"/>
      <c r="H9" s="31"/>
      <c r="I9" s="31"/>
      <c r="J9" s="32"/>
      <c r="K9" s="32"/>
    </row>
    <row r="10" spans="1:27" ht="15" customHeight="1" x14ac:dyDescent="0.15">
      <c r="F10" s="24" t="s">
        <v>1</v>
      </c>
      <c r="G10" s="59" t="str">
        <f>B8</f>
        <v>BH-LPE5-A-LP-S3-A-0+078-L (14,92-15,10)</v>
      </c>
      <c r="H10" s="20"/>
      <c r="I10" s="20"/>
      <c r="J10" s="20"/>
      <c r="K10" s="21"/>
      <c r="S10" s="17"/>
      <c r="T10" s="17"/>
      <c r="U10" s="17"/>
    </row>
    <row r="11" spans="1:27" ht="15" customHeight="1" x14ac:dyDescent="0.15">
      <c r="A11" s="33"/>
      <c r="B11" s="33"/>
      <c r="C11" s="33"/>
      <c r="D11" s="33"/>
      <c r="F11" s="30"/>
      <c r="G11" s="34"/>
      <c r="H11" s="31"/>
      <c r="I11" s="31"/>
      <c r="J11" s="31"/>
      <c r="K11" s="31"/>
      <c r="S11" s="17"/>
      <c r="T11" s="17"/>
      <c r="U11" s="17"/>
    </row>
    <row r="12" spans="1:27" ht="15" customHeight="1" x14ac:dyDescent="0.15">
      <c r="A12" s="68" t="s">
        <v>23</v>
      </c>
      <c r="B12" s="69"/>
      <c r="C12" s="35">
        <v>10</v>
      </c>
      <c r="F12" s="12" t="s">
        <v>7</v>
      </c>
      <c r="G12" s="34"/>
      <c r="H12" s="31"/>
      <c r="I12" s="31"/>
      <c r="J12" s="31"/>
      <c r="K12" s="31"/>
      <c r="S12" s="17"/>
      <c r="T12" s="17"/>
      <c r="U12" s="17"/>
    </row>
    <row r="13" spans="1:27" ht="17.25" customHeight="1" x14ac:dyDescent="0.15">
      <c r="A13" s="68" t="s">
        <v>24</v>
      </c>
      <c r="B13" s="69"/>
      <c r="C13" s="35">
        <v>11</v>
      </c>
      <c r="F13" s="63" t="s">
        <v>26</v>
      </c>
      <c r="G13" s="64"/>
      <c r="H13" s="41">
        <f>C12</f>
        <v>10</v>
      </c>
      <c r="I13" s="31"/>
      <c r="J13" s="31"/>
      <c r="K13" s="13"/>
      <c r="S13" s="17"/>
      <c r="T13" s="17"/>
      <c r="U13" s="17"/>
    </row>
    <row r="14" spans="1:27" ht="17.25" customHeight="1" x14ac:dyDescent="0.15">
      <c r="A14" s="68" t="s">
        <v>25</v>
      </c>
      <c r="B14" s="69"/>
      <c r="C14" s="58">
        <f>(C13/C12)*100</f>
        <v>110.00000000000001</v>
      </c>
      <c r="F14" s="63" t="s">
        <v>27</v>
      </c>
      <c r="G14" s="64"/>
      <c r="H14" s="41">
        <f>C13</f>
        <v>11</v>
      </c>
      <c r="I14" s="31"/>
      <c r="J14" s="31"/>
      <c r="K14" s="13"/>
      <c r="S14" s="17"/>
      <c r="T14" s="17"/>
      <c r="U14" s="17"/>
    </row>
    <row r="15" spans="1:27" ht="15" customHeight="1" x14ac:dyDescent="0.15">
      <c r="H15" s="36"/>
      <c r="I15" s="31"/>
      <c r="J15" s="31"/>
      <c r="K15" s="13"/>
      <c r="S15" s="17"/>
      <c r="T15" s="17"/>
      <c r="U15" s="17"/>
    </row>
    <row r="16" spans="1:27" ht="15" customHeight="1" x14ac:dyDescent="0.15">
      <c r="F16" s="37" t="s">
        <v>14</v>
      </c>
      <c r="H16" s="36"/>
      <c r="J16" s="38"/>
      <c r="K16" s="13"/>
      <c r="S16" s="17"/>
      <c r="T16" s="17"/>
      <c r="U16" s="17"/>
    </row>
    <row r="17" spans="6:21" ht="17.25" customHeight="1" x14ac:dyDescent="0.15">
      <c r="F17" s="63" t="s">
        <v>29</v>
      </c>
      <c r="G17" s="64"/>
      <c r="H17" s="41">
        <f>C14</f>
        <v>110.00000000000001</v>
      </c>
      <c r="I17" s="38"/>
      <c r="J17" s="38"/>
      <c r="K17" s="13"/>
      <c r="S17" s="17"/>
      <c r="T17" s="17"/>
      <c r="U17" s="17"/>
    </row>
    <row r="18" spans="6:21" ht="15" customHeight="1" x14ac:dyDescent="0.15">
      <c r="J18" s="11"/>
      <c r="K18" s="13"/>
      <c r="S18" s="17"/>
      <c r="T18" s="17"/>
      <c r="U18" s="17"/>
    </row>
    <row r="19" spans="6:21" ht="15" customHeight="1" x14ac:dyDescent="0.15">
      <c r="F19" s="50" t="s">
        <v>5</v>
      </c>
      <c r="J19" s="11"/>
      <c r="K19" s="38"/>
      <c r="S19" s="17"/>
      <c r="T19" s="17"/>
      <c r="U19" s="17"/>
    </row>
    <row r="20" spans="6:21" ht="15" customHeight="1" x14ac:dyDescent="0.15">
      <c r="F20" s="11" t="s">
        <v>30</v>
      </c>
      <c r="J20" s="33"/>
      <c r="K20" s="38"/>
      <c r="S20" s="17"/>
      <c r="T20" s="17"/>
      <c r="U20" s="17"/>
    </row>
    <row r="21" spans="6:21" ht="15" customHeight="1" x14ac:dyDescent="0.15">
      <c r="J21" s="11"/>
      <c r="K21" s="11"/>
      <c r="M21" s="40"/>
      <c r="N21" s="40"/>
      <c r="O21" s="40"/>
      <c r="P21" s="40"/>
      <c r="Q21" s="40"/>
      <c r="R21" s="40"/>
      <c r="S21" s="17"/>
      <c r="T21" s="17"/>
      <c r="U21" s="17"/>
    </row>
    <row r="22" spans="6:21" ht="15" customHeight="1" x14ac:dyDescent="0.15">
      <c r="F22" s="50" t="s">
        <v>6</v>
      </c>
      <c r="J22" s="11"/>
      <c r="K22" s="11"/>
      <c r="M22" s="40"/>
      <c r="N22" s="40"/>
      <c r="O22" s="40"/>
      <c r="P22" s="40"/>
      <c r="Q22" s="40"/>
      <c r="R22" s="40"/>
      <c r="S22" s="17"/>
      <c r="T22" s="17"/>
      <c r="U22" s="17"/>
    </row>
    <row r="23" spans="6:21" ht="15" customHeight="1" x14ac:dyDescent="0.15">
      <c r="F23" s="11" t="s">
        <v>19</v>
      </c>
      <c r="J23" s="11"/>
      <c r="K23" s="11"/>
      <c r="M23" s="40"/>
      <c r="N23" s="40"/>
      <c r="O23" s="40"/>
      <c r="P23" s="40"/>
      <c r="Q23" s="40"/>
      <c r="R23" s="40"/>
      <c r="S23" s="44"/>
      <c r="T23" s="17"/>
      <c r="U23" s="17"/>
    </row>
    <row r="24" spans="6:21" ht="15" customHeight="1" x14ac:dyDescent="0.15">
      <c r="F24" s="11" t="s">
        <v>28</v>
      </c>
      <c r="J24" s="11"/>
      <c r="K24" s="11"/>
      <c r="M24" s="17"/>
      <c r="N24" s="45"/>
      <c r="O24" s="17"/>
      <c r="P24" s="17"/>
      <c r="Q24" s="46"/>
      <c r="R24" s="42"/>
      <c r="S24" s="44"/>
      <c r="T24" s="17"/>
      <c r="U24" s="17"/>
    </row>
    <row r="25" spans="6:21" ht="15" customHeight="1" x14ac:dyDescent="0.15">
      <c r="J25" s="11"/>
      <c r="K25" s="11"/>
      <c r="M25" s="43"/>
      <c r="N25" s="43"/>
      <c r="O25" s="47"/>
      <c r="P25" s="48"/>
      <c r="Q25" s="46"/>
      <c r="R25" s="42"/>
      <c r="S25" s="44"/>
      <c r="T25" s="17"/>
      <c r="U25" s="17"/>
    </row>
    <row r="26" spans="6:21" ht="15" customHeight="1" x14ac:dyDescent="0.15">
      <c r="J26" s="11"/>
      <c r="K26" s="11"/>
      <c r="M26" s="49"/>
      <c r="N26" s="43"/>
      <c r="O26" s="47"/>
      <c r="P26" s="39"/>
      <c r="Q26" s="46"/>
      <c r="R26" s="42"/>
      <c r="S26" s="44"/>
      <c r="T26" s="17"/>
      <c r="U26" s="17"/>
    </row>
    <row r="27" spans="6:21" ht="15" customHeight="1" x14ac:dyDescent="0.15">
      <c r="J27" s="11"/>
      <c r="K27" s="11"/>
      <c r="M27" s="49"/>
      <c r="N27" s="43"/>
      <c r="O27" s="47"/>
      <c r="P27" s="39"/>
      <c r="Q27" s="46"/>
      <c r="R27" s="42"/>
      <c r="S27" s="44"/>
      <c r="T27" s="17"/>
      <c r="U27" s="17"/>
    </row>
    <row r="28" spans="6:21" ht="15" customHeight="1" x14ac:dyDescent="0.15">
      <c r="F28" s="50"/>
      <c r="J28" s="11"/>
      <c r="K28" s="11"/>
      <c r="M28" s="49"/>
      <c r="N28" s="43"/>
      <c r="O28" s="47"/>
      <c r="P28" s="39"/>
      <c r="Q28" s="46"/>
      <c r="R28" s="42"/>
      <c r="S28" s="44"/>
      <c r="T28" s="17"/>
      <c r="U28" s="17"/>
    </row>
    <row r="29" spans="6:21" ht="15" customHeight="1" x14ac:dyDescent="0.15">
      <c r="J29" s="11"/>
      <c r="K29" s="11"/>
      <c r="M29" s="49"/>
      <c r="N29" s="43"/>
      <c r="O29" s="47"/>
      <c r="P29" s="39"/>
      <c r="Q29" s="46"/>
      <c r="R29" s="42"/>
      <c r="S29" s="44"/>
      <c r="T29" s="17"/>
      <c r="U29" s="17"/>
    </row>
    <row r="30" spans="6:21" ht="15" customHeight="1" x14ac:dyDescent="0.15">
      <c r="J30" s="11"/>
      <c r="K30" s="11"/>
      <c r="M30" s="49"/>
      <c r="N30" s="43"/>
      <c r="O30" s="47"/>
      <c r="P30" s="39"/>
      <c r="Q30" s="46"/>
      <c r="R30" s="42"/>
      <c r="S30" s="44"/>
      <c r="T30" s="17"/>
      <c r="U30" s="17"/>
    </row>
    <row r="31" spans="6:21" ht="15" customHeight="1" x14ac:dyDescent="0.15">
      <c r="J31" s="11"/>
      <c r="K31" s="11"/>
      <c r="M31" s="43"/>
      <c r="N31" s="43"/>
      <c r="O31" s="47"/>
      <c r="P31" s="48"/>
      <c r="Q31" s="46"/>
      <c r="R31" s="42"/>
      <c r="S31" s="47"/>
      <c r="T31" s="17"/>
      <c r="U31" s="17"/>
    </row>
    <row r="32" spans="6:21" ht="15" customHeight="1" x14ac:dyDescent="0.15">
      <c r="J32" s="11"/>
      <c r="K32" s="11"/>
      <c r="M32" s="43"/>
      <c r="N32" s="43"/>
      <c r="O32" s="47"/>
      <c r="P32" s="48"/>
      <c r="Q32" s="46"/>
      <c r="R32" s="42"/>
      <c r="S32" s="47"/>
      <c r="T32" s="17"/>
      <c r="U32" s="17"/>
    </row>
    <row r="33" spans="7:21" ht="15" customHeight="1" x14ac:dyDescent="0.15">
      <c r="J33" s="11"/>
      <c r="K33" s="11"/>
      <c r="M33" s="43"/>
      <c r="N33" s="43"/>
      <c r="O33" s="47"/>
      <c r="P33" s="48"/>
      <c r="Q33" s="46"/>
      <c r="R33" s="42"/>
      <c r="S33" s="47"/>
      <c r="T33" s="17"/>
      <c r="U33" s="17"/>
    </row>
    <row r="34" spans="7:21" ht="15" customHeight="1" x14ac:dyDescent="0.15">
      <c r="J34" s="11"/>
      <c r="K34" s="11"/>
      <c r="M34" s="43"/>
      <c r="N34" s="43"/>
      <c r="O34" s="47"/>
      <c r="P34" s="48"/>
      <c r="Q34" s="46"/>
      <c r="R34" s="42"/>
      <c r="S34" s="47"/>
      <c r="T34" s="17"/>
      <c r="U34" s="17"/>
    </row>
    <row r="35" spans="7:21" ht="15" customHeight="1" x14ac:dyDescent="0.15">
      <c r="J35" s="11"/>
      <c r="K35" s="11"/>
      <c r="M35" s="43"/>
      <c r="N35" s="43"/>
      <c r="O35" s="47"/>
      <c r="P35" s="48"/>
      <c r="Q35" s="46"/>
      <c r="R35" s="42"/>
      <c r="S35" s="47"/>
      <c r="T35" s="17"/>
      <c r="U35" s="17"/>
    </row>
    <row r="36" spans="7:21" ht="15" customHeight="1" x14ac:dyDescent="0.15">
      <c r="J36" s="11"/>
      <c r="K36" s="11"/>
      <c r="M36" s="43"/>
      <c r="N36" s="43"/>
      <c r="O36" s="47"/>
      <c r="P36" s="48"/>
      <c r="Q36" s="46"/>
      <c r="R36" s="42"/>
      <c r="S36" s="47"/>
      <c r="T36" s="17"/>
      <c r="U36" s="17"/>
    </row>
    <row r="37" spans="7:21" ht="15" customHeight="1" x14ac:dyDescent="0.15">
      <c r="J37" s="11"/>
      <c r="K37" s="11"/>
      <c r="M37" s="42"/>
      <c r="N37" s="42"/>
      <c r="O37" s="42"/>
      <c r="P37" s="42"/>
      <c r="Q37" s="42"/>
      <c r="R37" s="42"/>
      <c r="S37" s="17"/>
      <c r="T37" s="17"/>
      <c r="U37" s="17"/>
    </row>
    <row r="38" spans="7:21" ht="15" customHeight="1" x14ac:dyDescent="0.15">
      <c r="J38" s="11"/>
      <c r="K38" s="11"/>
      <c r="M38" s="17"/>
      <c r="N38" s="17"/>
      <c r="O38" s="17"/>
      <c r="P38" s="17"/>
      <c r="Q38" s="17"/>
      <c r="R38" s="17"/>
      <c r="S38" s="17"/>
      <c r="T38" s="17"/>
      <c r="U38" s="17"/>
    </row>
    <row r="39" spans="7:21" ht="15" customHeight="1" x14ac:dyDescent="0.15">
      <c r="J39" s="11"/>
      <c r="K39" s="11"/>
      <c r="M39" s="17"/>
      <c r="N39" s="17"/>
      <c r="O39" s="17"/>
      <c r="P39" s="17"/>
      <c r="Q39" s="17"/>
      <c r="R39" s="17"/>
      <c r="S39" s="17"/>
      <c r="T39" s="17"/>
      <c r="U39" s="17"/>
    </row>
    <row r="40" spans="7:21" ht="15" customHeight="1" x14ac:dyDescent="0.15">
      <c r="J40" s="11"/>
      <c r="K40" s="11"/>
    </row>
    <row r="41" spans="7:21" ht="15" customHeight="1" x14ac:dyDescent="0.15">
      <c r="J41" s="11"/>
      <c r="K41" s="11"/>
    </row>
    <row r="42" spans="7:21" ht="15" customHeight="1" x14ac:dyDescent="0.15">
      <c r="G42" s="17"/>
      <c r="H42" s="17"/>
      <c r="I42" s="17"/>
      <c r="J42" s="11"/>
      <c r="K42" s="11"/>
      <c r="S42" s="51"/>
    </row>
    <row r="43" spans="7:21" ht="15" customHeight="1" x14ac:dyDescent="0.15">
      <c r="J43" s="11"/>
      <c r="K43" s="11"/>
    </row>
    <row r="44" spans="7:21" ht="15" customHeight="1" x14ac:dyDescent="0.15">
      <c r="J44" s="17"/>
      <c r="K44" s="11"/>
    </row>
    <row r="45" spans="7:21" ht="15" customHeight="1" x14ac:dyDescent="0.15">
      <c r="K45" s="11"/>
    </row>
    <row r="46" spans="7:21" ht="15" customHeight="1" x14ac:dyDescent="0.15">
      <c r="J46" s="11"/>
      <c r="K46" s="11"/>
    </row>
    <row r="47" spans="7:21" ht="15" customHeight="1" x14ac:dyDescent="0.15">
      <c r="H47" s="53"/>
      <c r="I47" s="53"/>
      <c r="K47" s="17"/>
      <c r="L47" s="51"/>
    </row>
    <row r="48" spans="7:21" ht="15" customHeight="1" x14ac:dyDescent="0.15">
      <c r="L48" s="51"/>
    </row>
    <row r="49" spans="12:19" ht="15" customHeight="1" x14ac:dyDescent="0.15">
      <c r="L49" s="51"/>
    </row>
    <row r="50" spans="12:19" ht="15" customHeight="1" x14ac:dyDescent="0.15"/>
    <row r="51" spans="12:19" ht="15" customHeight="1" x14ac:dyDescent="0.15"/>
    <row r="52" spans="12:19" ht="15" customHeight="1" x14ac:dyDescent="0.15"/>
    <row r="53" spans="12:19" ht="15" customHeight="1" x14ac:dyDescent="0.15"/>
    <row r="54" spans="12:19" ht="15" customHeight="1" x14ac:dyDescent="0.15">
      <c r="M54" s="33"/>
      <c r="N54" s="33"/>
      <c r="O54" s="33"/>
      <c r="P54" s="33"/>
      <c r="Q54" s="33"/>
      <c r="R54" s="65"/>
      <c r="S54" s="65"/>
    </row>
    <row r="55" spans="12:19" ht="15" customHeight="1" x14ac:dyDescent="0.15">
      <c r="M55" s="33"/>
      <c r="N55" s="33"/>
      <c r="O55" s="54"/>
      <c r="P55" s="33"/>
      <c r="Q55" s="33"/>
      <c r="R55" s="60"/>
      <c r="S55" s="60"/>
    </row>
    <row r="56" spans="12:19" ht="15" customHeight="1" x14ac:dyDescent="0.15">
      <c r="M56" s="33"/>
      <c r="N56" s="33"/>
      <c r="O56" s="33"/>
      <c r="P56" s="17"/>
      <c r="Q56" s="33"/>
      <c r="R56" s="60"/>
      <c r="S56" s="60"/>
    </row>
    <row r="57" spans="12:19" ht="15" customHeight="1" x14ac:dyDescent="0.15">
      <c r="M57" s="52"/>
      <c r="N57" s="52"/>
      <c r="O57" s="55"/>
      <c r="P57" s="56"/>
      <c r="Q57" s="38"/>
      <c r="R57" s="60"/>
      <c r="S57" s="44"/>
    </row>
    <row r="58" spans="12:19" ht="15" customHeight="1" x14ac:dyDescent="0.15">
      <c r="M58" s="52"/>
      <c r="N58" s="52"/>
      <c r="O58" s="55"/>
      <c r="P58" s="56"/>
      <c r="Q58" s="38"/>
      <c r="R58" s="60"/>
      <c r="S58" s="44"/>
    </row>
    <row r="59" spans="12:19" ht="15" customHeight="1" x14ac:dyDescent="0.15">
      <c r="M59" s="52"/>
      <c r="N59" s="52"/>
      <c r="O59" s="55"/>
      <c r="P59" s="56"/>
      <c r="Q59" s="38"/>
      <c r="R59" s="60"/>
      <c r="S59" s="44"/>
    </row>
    <row r="60" spans="12:19" ht="15" customHeight="1" x14ac:dyDescent="0.15"/>
    <row r="61" spans="12:19" ht="15" customHeight="1" x14ac:dyDescent="0.15"/>
    <row r="62" spans="12:19" ht="15" customHeight="1" x14ac:dyDescent="0.15"/>
    <row r="63" spans="12:19" ht="15" customHeight="1" x14ac:dyDescent="0.15"/>
    <row r="64" spans="12:19" ht="15" customHeight="1" x14ac:dyDescent="0.15"/>
    <row r="65" spans="10:10" ht="15" customHeight="1" x14ac:dyDescent="0.15"/>
    <row r="66" spans="10:10" ht="15" customHeight="1" x14ac:dyDescent="0.15"/>
    <row r="67" spans="10:10" ht="15" customHeight="1" x14ac:dyDescent="0.15"/>
    <row r="68" spans="10:10" ht="15" customHeight="1" x14ac:dyDescent="0.15"/>
    <row r="69" spans="10:10" ht="15" customHeight="1" x14ac:dyDescent="0.15"/>
    <row r="70" spans="10:10" ht="15" customHeight="1" x14ac:dyDescent="0.15"/>
    <row r="71" spans="10:10" ht="15" customHeight="1" x14ac:dyDescent="0.15"/>
    <row r="72" spans="10:10" ht="15" customHeight="1" x14ac:dyDescent="0.15"/>
    <row r="73" spans="10:10" ht="15" customHeight="1" x14ac:dyDescent="0.15"/>
    <row r="74" spans="10:10" ht="15" customHeight="1" x14ac:dyDescent="0.15"/>
    <row r="75" spans="10:10" ht="15" customHeight="1" x14ac:dyDescent="0.15"/>
    <row r="76" spans="10:10" ht="15" customHeight="1" x14ac:dyDescent="0.15"/>
    <row r="77" spans="10:10" ht="15" customHeight="1" x14ac:dyDescent="0.15"/>
    <row r="78" spans="10:10" ht="15" customHeight="1" x14ac:dyDescent="0.15"/>
    <row r="79" spans="10:10" ht="15" customHeight="1" x14ac:dyDescent="0.15">
      <c r="J79" s="11"/>
    </row>
    <row r="80" spans="10:10" ht="15" customHeight="1" x14ac:dyDescent="0.15">
      <c r="J80" s="11"/>
    </row>
    <row r="81" spans="10:11" ht="15" customHeight="1" x14ac:dyDescent="0.15">
      <c r="J81" s="11"/>
    </row>
    <row r="82" spans="10:11" ht="15" customHeight="1" x14ac:dyDescent="0.15">
      <c r="J82" s="11"/>
      <c r="K82" s="11"/>
    </row>
    <row r="83" spans="10:11" ht="15" customHeight="1" x14ac:dyDescent="0.15">
      <c r="K83" s="11"/>
    </row>
    <row r="84" spans="10:11" ht="15" customHeight="1" x14ac:dyDescent="0.15">
      <c r="K84" s="11"/>
    </row>
    <row r="85" spans="10:11" ht="15" customHeight="1" x14ac:dyDescent="0.15">
      <c r="K85" s="11"/>
    </row>
    <row r="86" spans="10:11" ht="15" customHeight="1" x14ac:dyDescent="0.15"/>
    <row r="87" spans="10:11" ht="15" customHeight="1" x14ac:dyDescent="0.15"/>
    <row r="88" spans="10:11" ht="15" customHeight="1" x14ac:dyDescent="0.15"/>
    <row r="89" spans="10:11" ht="15" customHeight="1" x14ac:dyDescent="0.15"/>
    <row r="90" spans="10:11" ht="15" customHeight="1" x14ac:dyDescent="0.15"/>
    <row r="91" spans="10:11" ht="15" customHeight="1" x14ac:dyDescent="0.15"/>
    <row r="92" spans="10:11" ht="15" customHeight="1" x14ac:dyDescent="0.15"/>
    <row r="93" spans="10:11" ht="15" customHeight="1" x14ac:dyDescent="0.15"/>
    <row r="94" spans="10:11" ht="15" customHeight="1" x14ac:dyDescent="0.15"/>
  </sheetData>
  <sheetProtection algorithmName="SHA-512" hashValue="qiGlxeU3RG/aoHUZrUHAp5AS4qBOVOaIANz3legU3n6Vd/qNXE7PgVPXhrRk0tUJbcBX5k3YZwyFMbzB2USeGQ==" saltValue="yZYfCrIP0JdhbZrYvslGWA==" spinCount="100000" sheet="1" formatCells="0" formatColumns="0" formatRows="0"/>
  <mergeCells count="9">
    <mergeCell ref="F17:G17"/>
    <mergeCell ref="R54:S54"/>
    <mergeCell ref="F1:K1"/>
    <mergeCell ref="M6:R6"/>
    <mergeCell ref="A12:B12"/>
    <mergeCell ref="A13:B13"/>
    <mergeCell ref="F13:G13"/>
    <mergeCell ref="A14:B14"/>
    <mergeCell ref="F14:G14"/>
  </mergeCells>
  <conditionalFormatting sqref="B5">
    <cfRule type="cellIs" dxfId="2" priority="3" operator="greaterThan">
      <formula>0</formula>
    </cfRule>
  </conditionalFormatting>
  <conditionalFormatting sqref="B6:B8">
    <cfRule type="cellIs" dxfId="1" priority="2" operator="greaterThan">
      <formula>0</formula>
    </cfRule>
  </conditionalFormatting>
  <conditionalFormatting sqref="C12:C14">
    <cfRule type="cellIs" dxfId="0" priority="1" operator="greaterThan">
      <formula>0</formula>
    </cfRule>
  </conditionalFormatting>
  <pageMargins left="0.78740157480314965" right="0.75" top="1.3779527559055118" bottom="1" header="0" footer="0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Ingreso Datos</vt:lpstr>
      <vt:lpstr>24</vt:lpstr>
      <vt:lpstr>'24'!Área_de_impresión</vt:lpstr>
    </vt:vector>
  </TitlesOfParts>
  <Company>Universidad De Chile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POBLETE OLAVE</dc:creator>
  <cp:lastModifiedBy>Francisco Gonzalez</cp:lastModifiedBy>
  <cp:lastPrinted>2009-11-19T16:40:44Z</cp:lastPrinted>
  <dcterms:created xsi:type="dcterms:W3CDTF">1999-10-13T14:07:43Z</dcterms:created>
  <dcterms:modified xsi:type="dcterms:W3CDTF">2024-06-28T00:03:55Z</dcterms:modified>
</cp:coreProperties>
</file>