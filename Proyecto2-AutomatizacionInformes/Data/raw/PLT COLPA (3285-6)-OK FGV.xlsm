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BH-LPE5-A-LP-S3-A-0+085-L (3285)\04 ENSAYOS\"/>
    </mc:Choice>
  </mc:AlternateContent>
  <bookViews>
    <workbookView xWindow="-120" yWindow="-120" windowWidth="20730" windowHeight="11160" tabRatio="858" activeTab="1"/>
  </bookViews>
  <sheets>
    <sheet name="Ingreso Datos" sheetId="206" r:id="rId1"/>
    <sheet name="6" sheetId="207" r:id="rId2"/>
  </sheets>
  <externalReferences>
    <externalReference r:id="rId3"/>
  </externalReferences>
  <definedNames>
    <definedName name="__123Graph_A" localSheetId="1" hidden="1">'[1]Ensaye Carga Puntual'!#REF!</definedName>
    <definedName name="__123Graph_A" hidden="1">'[1]Ensaye Carga Puntual'!#REF!</definedName>
    <definedName name="__123Graph_C" localSheetId="1" hidden="1">'[1]Ensaye Carga Puntual'!#REF!</definedName>
    <definedName name="__123Graph_C" hidden="1">'[1]Ensaye Carga Puntual'!#REF!</definedName>
    <definedName name="__123Graph_D" localSheetId="1" hidden="1">'[1]Ensaye Carga Puntual'!#REF!</definedName>
    <definedName name="__123Graph_D" hidden="1">'[1]Ensaye Carga Puntual'!#REF!</definedName>
    <definedName name="__123Graph_X" localSheetId="1" hidden="1">'[1]Ensaye Carga Puntual'!#REF!</definedName>
    <definedName name="__123Graph_X" hidden="1">'[1]Ensaye Carga Puntual'!#REF!</definedName>
    <definedName name="_1__123Graph_APUN_123" localSheetId="1" hidden="1">'[1]Ensaye Carga Puntual'!#REF!</definedName>
    <definedName name="_10__123Graph_CPUN_HG" localSheetId="1" hidden="1">'[1]Ensaye Carga Puntual'!#REF!</definedName>
    <definedName name="_10__123Graph_CPUN_HG" hidden="1">'[1]Ensaye Carga Puntual'!#REF!</definedName>
    <definedName name="_11__123Graph_DPUN_123" localSheetId="1" hidden="1">'[1]Ensaye Carga Puntual'!#REF!</definedName>
    <definedName name="_12__123Graph_DPUN_123" localSheetId="1" hidden="1">'[1]Ensaye Carga Puntual'!#REF!</definedName>
    <definedName name="_12__123Graph_DPUN_123" hidden="1">'[1]Ensaye Carga Puntual'!#REF!</definedName>
    <definedName name="_13__123Graph_XPUN_123" localSheetId="1" hidden="1">'[1]Ensaye Carga Puntual'!#REF!</definedName>
    <definedName name="_14__123Graph_XPUN_123" localSheetId="1" hidden="1">'[1]Ensaye Carga Puntual'!#REF!</definedName>
    <definedName name="_14__123Graph_XPUN_123" hidden="1">'[1]Ensaye Carga Puntual'!#REF!</definedName>
    <definedName name="_15__123Graph_XPUN_HG" localSheetId="1" hidden="1">'[1]Ensaye Carga Puntual'!#REF!</definedName>
    <definedName name="_16__123Graph_XPUN_HG" localSheetId="1" hidden="1">'[1]Ensaye Carga Puntual'!#REF!</definedName>
    <definedName name="_16__123Graph_XPUN_HG" hidden="1">'[1]Ensaye Carga Puntual'!#REF!</definedName>
    <definedName name="_2__123Graph_APUN_123" localSheetId="1" hidden="1">'[1]Ensaye Carga Puntual'!#REF!</definedName>
    <definedName name="_2__123Graph_APUN_123" hidden="1">'[1]Ensaye Carga Puntual'!#REF!</definedName>
    <definedName name="_3__123Graph_APUN_HG" localSheetId="1" hidden="1">'[1]Ensaye Carga Puntual'!#REF!</definedName>
    <definedName name="_4__123Graph_APUN_HG" localSheetId="1" hidden="1">'[1]Ensaye Carga Puntual'!#REF!</definedName>
    <definedName name="_4__123Graph_APUN_HG" hidden="1">'[1]Ensaye Carga Puntual'!#REF!</definedName>
    <definedName name="_5__123Graph_BPUN_HG" localSheetId="1" hidden="1">'[1]Ensaye Carga Puntual'!#REF!</definedName>
    <definedName name="_6__123Graph_BPUN_HG" localSheetId="1" hidden="1">'[1]Ensaye Carga Puntual'!#REF!</definedName>
    <definedName name="_6__123Graph_BPUN_HG" hidden="1">'[1]Ensaye Carga Puntual'!#REF!</definedName>
    <definedName name="_7__123Graph_CPUN_123" localSheetId="1" hidden="1">'[1]Ensaye Carga Puntual'!#REF!</definedName>
    <definedName name="_8__123Graph_CPUN_123" localSheetId="1" hidden="1">'[1]Ensaye Carga Puntual'!#REF!</definedName>
    <definedName name="_8__123Graph_CPUN_123" hidden="1">'[1]Ensaye Carga Puntual'!#REF!</definedName>
    <definedName name="_9__123Graph_CPUN_HG" localSheetId="1" hidden="1">'[1]Ensaye Carga Puntual'!#REF!</definedName>
    <definedName name="_Key1" hidden="1">'[1]Ensaye Carga Puntual'!$A$8:$A$14</definedName>
    <definedName name="_Order1" hidden="1">0</definedName>
    <definedName name="_Regression_Out" localSheetId="1" hidden="1">'[1]Ensaye Carga Puntual'!#REF!</definedName>
    <definedName name="_Regression_Out" hidden="1">'[1]Ensaye Carga Puntual'!#REF!</definedName>
    <definedName name="_Regression_X" localSheetId="1" hidden="1">'[1]Ensaye Carga Puntual'!#REF!</definedName>
    <definedName name="_Regression_X" hidden="1">'[1]Ensaye Carga Puntual'!#REF!</definedName>
    <definedName name="_Regression_Y" localSheetId="1" hidden="1">'[1]Ensaye Carga Puntual'!#REF!</definedName>
    <definedName name="_Regression_Y" hidden="1">'[1]Ensaye Carga Puntual'!#REF!</definedName>
    <definedName name="_Sort" localSheetId="1" hidden="1">'[1]Ensaye Carga Puntual'!#REF!</definedName>
    <definedName name="_Sort" hidden="1">'[1]Ensaye Carga Puntual'!#REF!</definedName>
    <definedName name="_xlnm.Print_Area" localSheetId="1">'6'!$T$1:$AR$59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207" l="1"/>
  <c r="G19" i="207"/>
  <c r="G20" i="207"/>
  <c r="G21" i="207"/>
  <c r="G22" i="207"/>
  <c r="G23" i="207"/>
  <c r="G24" i="207"/>
  <c r="G25" i="207"/>
  <c r="G26" i="207"/>
  <c r="G17" i="207"/>
  <c r="C4" i="207" l="1"/>
  <c r="V4" i="207" l="1"/>
  <c r="V6" i="207" l="1"/>
  <c r="V5" i="207"/>
  <c r="AL2" i="207" l="1"/>
  <c r="AY5" i="207"/>
  <c r="AY6" i="207"/>
  <c r="V7" i="207"/>
  <c r="V8" i="207"/>
  <c r="V9" i="207"/>
  <c r="U15" i="207"/>
  <c r="V15" i="207"/>
  <c r="AD15" i="207"/>
  <c r="AE15" i="207"/>
  <c r="AF15" i="207"/>
  <c r="AG15" i="207"/>
  <c r="F17" i="207"/>
  <c r="W15" i="207" s="1"/>
  <c r="H17" i="207"/>
  <c r="X15" i="207" s="1"/>
  <c r="U16" i="207"/>
  <c r="V16" i="207"/>
  <c r="AD16" i="207"/>
  <c r="AE16" i="207"/>
  <c r="AF16" i="207"/>
  <c r="AG16" i="207"/>
  <c r="F18" i="207"/>
  <c r="W16" i="207" s="1"/>
  <c r="H18" i="207"/>
  <c r="X16" i="207" s="1"/>
  <c r="U17" i="207"/>
  <c r="F19" i="207"/>
  <c r="H19" i="207"/>
  <c r="U18" i="207"/>
  <c r="F20" i="207"/>
  <c r="H20" i="207"/>
  <c r="U19" i="207"/>
  <c r="F21" i="207"/>
  <c r="H21" i="207"/>
  <c r="U20" i="207"/>
  <c r="F22" i="207"/>
  <c r="H22" i="207"/>
  <c r="U21" i="207"/>
  <c r="F23" i="207"/>
  <c r="H23" i="207"/>
  <c r="U22" i="207"/>
  <c r="F24" i="207"/>
  <c r="H24" i="207"/>
  <c r="U23" i="207"/>
  <c r="F25" i="207"/>
  <c r="H25" i="207"/>
  <c r="U24" i="207"/>
  <c r="F26" i="207"/>
  <c r="H26" i="207"/>
  <c r="M44" i="207"/>
  <c r="M45" i="207" s="1"/>
  <c r="M49" i="207"/>
  <c r="X50" i="207"/>
  <c r="N19" i="207" l="1"/>
  <c r="N17" i="207"/>
  <c r="N23" i="207"/>
  <c r="N25" i="207"/>
  <c r="N21" i="207"/>
  <c r="N26" i="207"/>
  <c r="I25" i="207"/>
  <c r="K25" i="207" s="1"/>
  <c r="N24" i="207"/>
  <c r="N22" i="207"/>
  <c r="I21" i="207"/>
  <c r="K21" i="207" s="1"/>
  <c r="N20" i="207"/>
  <c r="N18" i="207"/>
  <c r="I17" i="207"/>
  <c r="K17" i="207" s="1"/>
  <c r="I26" i="207"/>
  <c r="J26" i="207" s="1"/>
  <c r="I24" i="207"/>
  <c r="I22" i="207"/>
  <c r="J22" i="207" s="1"/>
  <c r="L22" i="207" s="1"/>
  <c r="I20" i="207"/>
  <c r="K20" i="207" s="1"/>
  <c r="I18" i="207"/>
  <c r="J18" i="207" s="1"/>
  <c r="L18" i="207" s="1"/>
  <c r="AB16" i="207" s="1"/>
  <c r="I23" i="207"/>
  <c r="I19" i="207"/>
  <c r="K24" i="207"/>
  <c r="K18" i="207" l="1"/>
  <c r="Y16" i="207"/>
  <c r="K26" i="207"/>
  <c r="Z16" i="207"/>
  <c r="L26" i="207"/>
  <c r="J24" i="207"/>
  <c r="J17" i="207"/>
  <c r="Y15" i="207"/>
  <c r="J21" i="207"/>
  <c r="J25" i="207"/>
  <c r="K22" i="207"/>
  <c r="M22" i="207" s="1"/>
  <c r="J20" i="207"/>
  <c r="K19" i="207"/>
  <c r="J19" i="207"/>
  <c r="AA16" i="207"/>
  <c r="M18" i="207"/>
  <c r="AC16" i="207" s="1"/>
  <c r="AA15" i="207"/>
  <c r="K23" i="207"/>
  <c r="J23" i="207"/>
  <c r="M26" i="207" l="1"/>
  <c r="L21" i="207"/>
  <c r="L24" i="207"/>
  <c r="L20" i="207"/>
  <c r="L25" i="207"/>
  <c r="Z15" i="207"/>
  <c r="L17" i="207"/>
  <c r="L19" i="207"/>
  <c r="L23" i="207"/>
  <c r="M23" i="207" l="1"/>
  <c r="M19" i="207"/>
  <c r="M25" i="207"/>
  <c r="M24" i="207"/>
  <c r="AB15" i="207"/>
  <c r="M17" i="207"/>
  <c r="AC15" i="207" s="1"/>
  <c r="M20" i="207"/>
  <c r="M21" i="207"/>
  <c r="M46" i="207" l="1"/>
  <c r="X51" i="207" s="1"/>
  <c r="X52" i="207" s="1"/>
</calcChain>
</file>

<file path=xl/sharedStrings.xml><?xml version="1.0" encoding="utf-8"?>
<sst xmlns="http://schemas.openxmlformats.org/spreadsheetml/2006/main" count="236" uniqueCount="98">
  <si>
    <t>Proyecto</t>
  </si>
  <si>
    <t>Muestra</t>
  </si>
  <si>
    <t>Orden de Trabajo</t>
  </si>
  <si>
    <t>Fecha de Inicio</t>
  </si>
  <si>
    <t>Fecha de Término</t>
  </si>
  <si>
    <t>Referencias</t>
  </si>
  <si>
    <t>Observaciones</t>
  </si>
  <si>
    <t>Tipo de Roca</t>
  </si>
  <si>
    <t>[N]</t>
  </si>
  <si>
    <t>Nº INFORME</t>
  </si>
  <si>
    <t>CANTIDAD DE HOJAS (01 HASTA 30)</t>
  </si>
  <si>
    <t>Hoja Nº</t>
  </si>
  <si>
    <t>Nombre Hoja</t>
  </si>
  <si>
    <t>MUESTRA</t>
  </si>
  <si>
    <t>c. Gráfico confeccionado en escala Log-Log</t>
  </si>
  <si>
    <t>b. IS(50) determinado según promedio</t>
  </si>
  <si>
    <t xml:space="preserve">a. Muestras ensayadas presentan formas irregulares </t>
  </si>
  <si>
    <t>2. Determinación de Humedad según SLG-PP-07 basado en ASTM D2216-10</t>
  </si>
  <si>
    <t>mayor a 10.0  [MPa] = Extremadamente Alta.</t>
  </si>
  <si>
    <t>3.0  a 10.0  [MPa] = Muy Alta.</t>
  </si>
  <si>
    <t>1.0  a  3.0  [MPa] = Alta.</t>
  </si>
  <si>
    <t xml:space="preserve"> 0,3  a  1,0  [MPa] = Media.</t>
  </si>
  <si>
    <t xml:space="preserve"> 0,1  a   0,3  [MPa] = Baja.</t>
  </si>
  <si>
    <t xml:space="preserve"> 0,03  a   0,1  [MPa] = Muy Baja.</t>
  </si>
  <si>
    <t>menor a   0,03  [MPa] = Extremadamente Baja.</t>
  </si>
  <si>
    <t>STANDARD TEST METHOD FOR DETERMINATION OF THE POINT LOAD STRENGTH INDEX OF ROCK AND APPLICATION TO ROCK STRENGTH CLASSIFICATIONS</t>
  </si>
  <si>
    <t>D 5731 - 08</t>
  </si>
  <si>
    <t>(*) Tabla de Clasificación de Resistencia</t>
  </si>
  <si>
    <t>Clasificación de Resistencia (*)</t>
  </si>
  <si>
    <t>Índice de  Resistencia para diámetro 50 mm, "Is (50)" [MPa]</t>
  </si>
  <si>
    <t>Contenido de Humedad [%]</t>
  </si>
  <si>
    <t>Resultados:</t>
  </si>
  <si>
    <t>promedio</t>
  </si>
  <si>
    <t>IS(50)</t>
  </si>
  <si>
    <t>Fruptura (D50)</t>
  </si>
  <si>
    <t xml:space="preserve">X + </t>
  </si>
  <si>
    <t>Y=</t>
  </si>
  <si>
    <t>Fotografia despues de ensayo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</si>
  <si>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</si>
  <si>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</si>
  <si>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</si>
  <si>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</si>
  <si>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</si>
  <si>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</si>
  <si>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</si>
  <si>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</si>
  <si>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</si>
  <si>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</si>
  <si>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[mm]</t>
  </si>
  <si>
    <t>[mm²]</t>
  </si>
  <si>
    <t>KN</t>
  </si>
  <si>
    <t>Falla por</t>
  </si>
  <si>
    <t>Puntual (Is50)</t>
  </si>
  <si>
    <t>Corrección (F)</t>
  </si>
  <si>
    <t>Puntual (Is)</t>
  </si>
  <si>
    <t>De</t>
  </si>
  <si>
    <t>De²</t>
  </si>
  <si>
    <t>de Ruptura</t>
  </si>
  <si>
    <t>Promedio</t>
  </si>
  <si>
    <t>Manométrica</t>
  </si>
  <si>
    <t>menor</t>
  </si>
  <si>
    <t>Mayor</t>
  </si>
  <si>
    <t>entre puntas (D)</t>
  </si>
  <si>
    <t>Tipo de falla</t>
  </si>
  <si>
    <t>Fracturas/Vetillas</t>
  </si>
  <si>
    <t>Relación Ancho/diámetro 0,3&lt;D/W&lt;1</t>
  </si>
  <si>
    <t>Índice de Carga</t>
  </si>
  <si>
    <t>Factor de</t>
  </si>
  <si>
    <t>Fuerza</t>
  </si>
  <si>
    <t>Ancho</t>
  </si>
  <si>
    <t>Presión</t>
  </si>
  <si>
    <t>Distancia</t>
  </si>
  <si>
    <t>Identificación de fragmento a ensayar.</t>
  </si>
  <si>
    <t>Datos de ensaye:</t>
  </si>
  <si>
    <t>HUMEDAD</t>
  </si>
  <si>
    <t>FECHA termino</t>
  </si>
  <si>
    <t>Nº Informe</t>
  </si>
  <si>
    <t>FECHA inicio</t>
  </si>
  <si>
    <t>INFORME ENSAYO CARGA PUNTUAL EN COLPA</t>
  </si>
  <si>
    <t>CAMBIAR SOLO LAS CELDAS EN VERDE Y AGREGAR FOTOGRAFIAS (50% VGA)</t>
  </si>
  <si>
    <t>1. Determinación de Índice de Resistencia de Carga Puntual basada en ASTM D5731-16</t>
  </si>
  <si>
    <t>[MPa]</t>
  </si>
  <si>
    <t>[kN]</t>
  </si>
  <si>
    <t>Alteración</t>
  </si>
  <si>
    <t>FOTOGRAFÍAS</t>
  </si>
  <si>
    <t>Fotografía antes de ensayo</t>
  </si>
  <si>
    <t>Fotografía después de ensayo</t>
  </si>
  <si>
    <t>Identificación de fragmento a ensayar</t>
  </si>
  <si>
    <t>[psi]</t>
  </si>
  <si>
    <t>BH-LPE5-A-LP-S3-A-0+085-L</t>
  </si>
  <si>
    <t>0,2</t>
  </si>
  <si>
    <t>Zeolitas</t>
  </si>
  <si>
    <t>Mixta (Válida)</t>
  </si>
  <si>
    <t>BH-LPE5-A-LP-S3-A-0+085-L (04,70-05,00)</t>
  </si>
  <si>
    <t>-</t>
  </si>
  <si>
    <t>1.914.637-C</t>
  </si>
  <si>
    <t>Andesita afanítica</t>
  </si>
  <si>
    <t>Cloritización y zeolitización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</si>
</sst>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_)"/>
    <numFmt numFmtId="165" formatCode="0.000"/>
    <numFmt numFmtId="166" formatCode="0_)"/>
    <numFmt numFmtId="167" formatCode="0.0_)"/>
    <numFmt numFmtId="168" formatCode="0.000_)"/>
    <numFmt numFmtId="169" formatCode="0.0"/>
    <numFmt numFmtId="171" formatCode="dd/mm/yyyy;@"/>
  </numFmts>
  <fonts count="19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color indexed="48"/>
      <name val="Arial"/>
      <family val="2"/>
    </font>
    <font>
      <i/>
      <sz val="8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9"/>
      <color rgb="FF0070C0"/>
      <name val="Arial"/>
      <family val="2"/>
    </font>
    <font>
      <sz val="9"/>
      <color indexed="8"/>
      <name val="Arial"/>
      <family val="2"/>
    </font>
    <font>
      <sz val="9"/>
      <color theme="0"/>
      <name val="Arial"/>
      <family val="2"/>
    </font>
    <font>
      <b/>
      <sz val="9"/>
      <color rgb="FF0070C0"/>
      <name val="Arial"/>
      <family val="2"/>
    </font>
    <font>
      <b/>
      <sz val="11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2" fillId="0" borderId="13" xfId="0" applyFont="1" applyFill="1" applyBorder="1" applyAlignment="1" applyProtection="1">
      <alignment horizontal="left" vertical="center"/>
    </xf>
    <xf numFmtId="0" fontId="6" fillId="2" borderId="4" xfId="0" applyNumberFormat="1" applyFont="1" applyFill="1" applyBorder="1" applyAlignment="1" applyProtection="1">
      <alignment vertical="center"/>
    </xf>
    <xf numFmtId="0" fontId="6" fillId="2" borderId="2" xfId="0" applyNumberFormat="1" applyFont="1" applyFill="1" applyBorder="1" applyAlignment="1" applyProtection="1">
      <alignment vertical="center"/>
    </xf>
    <xf numFmtId="0" fontId="6" fillId="2" borderId="3" xfId="0" applyNumberFormat="1" applyFont="1" applyFill="1" applyBorder="1" applyAlignment="1" applyProtection="1">
      <alignment vertical="center"/>
    </xf>
    <xf numFmtId="0" fontId="7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2" fillId="3" borderId="0" xfId="0" applyFont="1" applyFill="1" applyBorder="1" applyProtection="1"/>
    <xf numFmtId="166" fontId="4" fillId="3" borderId="0" xfId="0" applyNumberFormat="1" applyFont="1" applyFill="1" applyBorder="1" applyAlignment="1" applyProtection="1">
      <alignment horizontal="center"/>
      <protection locked="0"/>
    </xf>
    <xf numFmtId="167" fontId="4" fillId="3" borderId="0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 vertical="center"/>
    </xf>
    <xf numFmtId="0" fontId="2" fillId="3" borderId="6" xfId="0" quotePrefix="1" applyFont="1" applyFill="1" applyBorder="1" applyAlignment="1" applyProtection="1">
      <alignment horizontal="left" vertical="center"/>
    </xf>
    <xf numFmtId="0" fontId="2" fillId="3" borderId="6" xfId="0" applyFont="1" applyFill="1" applyBorder="1" applyAlignment="1" applyProtection="1">
      <alignment horizontal="left" vertical="center"/>
    </xf>
    <xf numFmtId="0" fontId="14" fillId="3" borderId="6" xfId="0" applyFont="1" applyFill="1" applyBorder="1" applyAlignment="1" applyProtection="1">
      <alignment vertical="center" wrapText="1"/>
      <protection locked="0"/>
    </xf>
    <xf numFmtId="2" fontId="2" fillId="3" borderId="6" xfId="0" applyNumberFormat="1" applyFont="1" applyFill="1" applyBorder="1" applyAlignment="1" applyProtection="1">
      <alignment horizontal="center" wrapText="1"/>
    </xf>
    <xf numFmtId="0" fontId="14" fillId="3" borderId="6" xfId="0" applyFont="1" applyFill="1" applyBorder="1" applyAlignment="1" applyProtection="1">
      <alignment vertical="center"/>
      <protection locked="0"/>
    </xf>
    <xf numFmtId="166" fontId="4" fillId="3" borderId="0" xfId="0" applyNumberFormat="1" applyFont="1" applyFill="1" applyBorder="1" applyAlignment="1" applyProtection="1">
      <alignment horizontal="center" wrapText="1"/>
      <protection locked="0"/>
    </xf>
    <xf numFmtId="167" fontId="4" fillId="3" borderId="0" xfId="0" applyNumberFormat="1" applyFont="1" applyFill="1" applyBorder="1" applyAlignment="1" applyProtection="1">
      <alignment horizontal="center" wrapText="1"/>
      <protection locked="0"/>
    </xf>
    <xf numFmtId="167" fontId="2" fillId="3" borderId="6" xfId="0" applyNumberFormat="1" applyFont="1" applyFill="1" applyBorder="1" applyAlignment="1" applyProtection="1">
      <alignment horizontal="center" vertical="center" wrapText="1"/>
    </xf>
    <xf numFmtId="2" fontId="2" fillId="3" borderId="6" xfId="0" applyNumberFormat="1" applyFont="1" applyFill="1" applyBorder="1" applyAlignment="1" applyProtection="1">
      <alignment horizontal="center" wrapText="1"/>
      <protection locked="0"/>
    </xf>
    <xf numFmtId="0" fontId="2" fillId="3" borderId="7" xfId="0" applyFont="1" applyFill="1" applyBorder="1" applyAlignment="1" applyProtection="1">
      <alignment horizontal="center"/>
    </xf>
    <xf numFmtId="0" fontId="2" fillId="3" borderId="11" xfId="0" applyFont="1" applyFill="1" applyBorder="1" applyAlignment="1" applyProtection="1">
      <alignment horizontal="center"/>
    </xf>
    <xf numFmtId="0" fontId="2" fillId="3" borderId="15" xfId="0" applyFont="1" applyFill="1" applyBorder="1" applyAlignment="1" applyProtection="1">
      <alignment horizontal="center"/>
    </xf>
    <xf numFmtId="0" fontId="2" fillId="3" borderId="8" xfId="0" applyFont="1" applyFill="1" applyBorder="1" applyAlignment="1" applyProtection="1">
      <alignment horizontal="center"/>
    </xf>
    <xf numFmtId="0" fontId="2" fillId="3" borderId="14" xfId="0" applyFont="1" applyFill="1" applyBorder="1" applyAlignment="1" applyProtection="1">
      <alignment horizontal="center"/>
    </xf>
    <xf numFmtId="0" fontId="2" fillId="3" borderId="9" xfId="0" applyFont="1" applyFill="1" applyBorder="1" applyAlignment="1" applyProtection="1">
      <alignment horizontal="center"/>
    </xf>
    <xf numFmtId="0" fontId="2" fillId="3" borderId="13" xfId="0" applyFont="1" applyFill="1" applyBorder="1" applyAlignment="1" applyProtection="1">
      <alignment horizontal="center"/>
    </xf>
    <xf numFmtId="0" fontId="1" fillId="3" borderId="4" xfId="0" applyFont="1" applyFill="1" applyBorder="1" applyAlignment="1" applyProtection="1">
      <alignment horizontal="left" vertical="center"/>
    </xf>
    <xf numFmtId="0" fontId="1" fillId="3" borderId="13" xfId="0" applyFont="1" applyFill="1" applyBorder="1" applyAlignment="1" applyProtection="1">
      <alignment horizontal="left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</xf>
    <xf numFmtId="164" fontId="2" fillId="3" borderId="6" xfId="0" applyNumberFormat="1" applyFont="1" applyFill="1" applyBorder="1" applyAlignment="1" applyProtection="1">
      <alignment horizontal="center" vertical="center" wrapText="1"/>
    </xf>
    <xf numFmtId="0" fontId="2" fillId="3" borderId="0" xfId="0" applyFont="1" applyFill="1" applyProtection="1">
      <protection locked="0"/>
    </xf>
    <xf numFmtId="0" fontId="1" fillId="3" borderId="0" xfId="0" applyFont="1" applyFill="1" applyProtection="1">
      <protection locked="0"/>
    </xf>
    <xf numFmtId="0" fontId="5" fillId="3" borderId="6" xfId="0" applyFont="1" applyFill="1" applyBorder="1" applyProtection="1">
      <protection locked="0"/>
    </xf>
    <xf numFmtId="0" fontId="2" fillId="3" borderId="2" xfId="0" applyFont="1" applyFill="1" applyBorder="1" applyProtection="1">
      <protection locked="0"/>
    </xf>
    <xf numFmtId="0" fontId="2" fillId="3" borderId="3" xfId="0" applyFont="1" applyFill="1" applyBorder="1" applyProtection="1">
      <protection locked="0"/>
    </xf>
    <xf numFmtId="0" fontId="1" fillId="3" borderId="0" xfId="0" applyFont="1" applyFill="1" applyAlignment="1" applyProtection="1">
      <alignment vertical="center"/>
      <protection locked="0"/>
    </xf>
    <xf numFmtId="0" fontId="2" fillId="3" borderId="0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Border="1" applyProtection="1">
      <protection locked="0"/>
    </xf>
    <xf numFmtId="0" fontId="16" fillId="3" borderId="0" xfId="0" applyFont="1" applyFill="1" applyProtection="1">
      <protection locked="0"/>
    </xf>
    <xf numFmtId="0" fontId="2" fillId="3" borderId="0" xfId="0" applyFont="1" applyFill="1" applyAlignment="1" applyProtection="1">
      <alignment vertical="center"/>
      <protection locked="0"/>
    </xf>
    <xf numFmtId="0" fontId="18" fillId="3" borderId="0" xfId="0" applyFont="1" applyFill="1" applyProtection="1">
      <protection locked="0"/>
    </xf>
    <xf numFmtId="3" fontId="2" fillId="3" borderId="0" xfId="0" applyNumberFormat="1" applyFont="1" applyFill="1" applyProtection="1">
      <protection locked="0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0" xfId="0" applyFont="1" applyFill="1" applyBorder="1" applyAlignment="1" applyProtection="1">
      <alignment vertical="center"/>
      <protection locked="0"/>
    </xf>
    <xf numFmtId="0" fontId="4" fillId="3" borderId="0" xfId="0" applyFont="1" applyFill="1" applyAlignment="1" applyProtection="1">
      <alignment vertical="center"/>
      <protection locked="0"/>
    </xf>
    <xf numFmtId="0" fontId="4" fillId="3" borderId="0" xfId="0" applyFont="1" applyFill="1" applyProtection="1">
      <protection locked="0"/>
    </xf>
    <xf numFmtId="0" fontId="4" fillId="3" borderId="0" xfId="0" applyFont="1" applyFill="1" applyBorder="1" applyAlignment="1" applyProtection="1">
      <alignment vertical="center"/>
      <protection locked="0"/>
    </xf>
    <xf numFmtId="0" fontId="4" fillId="3" borderId="0" xfId="0" applyFont="1" applyFill="1" applyBorder="1" applyAlignment="1" applyProtection="1">
      <alignment horizontal="left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166" fontId="2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9" fillId="3" borderId="15" xfId="0" applyFont="1" applyFill="1" applyBorder="1" applyProtection="1"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9" fillId="3" borderId="12" xfId="0" applyFont="1" applyFill="1" applyBorder="1" applyAlignment="1" applyProtection="1">
      <alignment horizontal="center" wrapText="1"/>
      <protection locked="0"/>
    </xf>
    <xf numFmtId="0" fontId="9" fillId="3" borderId="12" xfId="0" applyFont="1" applyFill="1" applyBorder="1" applyAlignment="1" applyProtection="1">
      <alignment wrapText="1"/>
      <protection locked="0"/>
    </xf>
    <xf numFmtId="0" fontId="9" fillId="3" borderId="7" xfId="0" applyFont="1" applyFill="1" applyBorder="1" applyAlignment="1" applyProtection="1">
      <alignment horizontal="center" wrapText="1"/>
      <protection locked="0"/>
    </xf>
    <xf numFmtId="0" fontId="2" fillId="3" borderId="0" xfId="0" applyFont="1" applyFill="1" applyAlignment="1" applyProtection="1">
      <alignment wrapText="1"/>
      <protection locked="0"/>
    </xf>
    <xf numFmtId="164" fontId="9" fillId="3" borderId="0" xfId="0" applyNumberFormat="1" applyFont="1" applyFill="1" applyBorder="1" applyAlignment="1" applyProtection="1">
      <alignment vertical="center" wrapText="1"/>
      <protection locked="0"/>
    </xf>
    <xf numFmtId="0" fontId="2" fillId="3" borderId="0" xfId="0" applyFont="1" applyFill="1" applyBorder="1" applyAlignment="1" applyProtection="1">
      <alignment wrapText="1"/>
      <protection locked="0"/>
    </xf>
    <xf numFmtId="0" fontId="9" fillId="3" borderId="0" xfId="0" applyFont="1" applyFill="1" applyAlignment="1" applyProtection="1">
      <alignment wrapText="1"/>
      <protection locked="0"/>
    </xf>
    <xf numFmtId="1" fontId="4" fillId="3" borderId="0" xfId="0" applyNumberFormat="1" applyFont="1" applyFill="1" applyBorder="1" applyAlignment="1" applyProtection="1">
      <alignment horizontal="center" wrapText="1"/>
      <protection locked="0"/>
    </xf>
    <xf numFmtId="2" fontId="15" fillId="3" borderId="0" xfId="0" applyNumberFormat="1" applyFont="1" applyFill="1" applyBorder="1" applyAlignment="1" applyProtection="1">
      <alignment horizontal="center" wrapText="1"/>
      <protection locked="0"/>
    </xf>
    <xf numFmtId="2" fontId="15" fillId="3" borderId="0" xfId="0" applyNumberFormat="1" applyFont="1" applyFill="1" applyBorder="1" applyAlignment="1" applyProtection="1">
      <alignment wrapText="1"/>
      <protection locked="0"/>
    </xf>
    <xf numFmtId="164" fontId="10" fillId="3" borderId="0" xfId="0" applyNumberFormat="1" applyFont="1" applyFill="1" applyBorder="1" applyAlignment="1" applyProtection="1">
      <alignment horizontal="center" wrapText="1"/>
      <protection locked="0"/>
    </xf>
    <xf numFmtId="169" fontId="2" fillId="3" borderId="0" xfId="0" applyNumberFormat="1" applyFont="1" applyFill="1" applyBorder="1" applyAlignment="1" applyProtection="1">
      <alignment wrapText="1"/>
      <protection locked="0"/>
    </xf>
    <xf numFmtId="2" fontId="4" fillId="3" borderId="0" xfId="0" applyNumberFormat="1" applyFont="1" applyFill="1" applyBorder="1" applyAlignment="1" applyProtection="1">
      <alignment horizontal="center" wrapText="1"/>
      <protection locked="0"/>
    </xf>
    <xf numFmtId="0" fontId="4" fillId="3" borderId="0" xfId="0" applyFont="1" applyFill="1" applyBorder="1" applyAlignment="1" applyProtection="1">
      <alignment horizontal="center" wrapText="1"/>
      <protection locked="0"/>
    </xf>
    <xf numFmtId="2" fontId="2" fillId="3" borderId="6" xfId="0" applyNumberFormat="1" applyFont="1" applyFill="1" applyBorder="1" applyAlignment="1" applyProtection="1">
      <alignment horizontal="center"/>
      <protection locked="0"/>
    </xf>
    <xf numFmtId="169" fontId="2" fillId="3" borderId="0" xfId="0" applyNumberFormat="1" applyFont="1" applyFill="1" applyBorder="1" applyProtection="1">
      <protection locked="0"/>
    </xf>
    <xf numFmtId="2" fontId="4" fillId="3" borderId="0" xfId="0" applyNumberFormat="1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horizontal="center"/>
      <protection locked="0"/>
    </xf>
    <xf numFmtId="164" fontId="10" fillId="3" borderId="0" xfId="0" applyNumberFormat="1" applyFont="1" applyFill="1" applyBorder="1" applyAlignment="1" applyProtection="1">
      <alignment horizontal="center"/>
      <protection locked="0"/>
    </xf>
    <xf numFmtId="164" fontId="4" fillId="3" borderId="0" xfId="0" applyNumberFormat="1" applyFont="1" applyFill="1" applyBorder="1" applyAlignment="1" applyProtection="1">
      <alignment horizontal="center"/>
      <protection locked="0"/>
    </xf>
    <xf numFmtId="165" fontId="4" fillId="3" borderId="0" xfId="0" applyNumberFormat="1" applyFont="1" applyFill="1" applyBorder="1" applyAlignment="1" applyProtection="1">
      <alignment horizontal="center"/>
      <protection locked="0"/>
    </xf>
    <xf numFmtId="168" fontId="4" fillId="3" borderId="0" xfId="0" applyNumberFormat="1" applyFont="1" applyFill="1" applyBorder="1" applyAlignment="1" applyProtection="1">
      <alignment horizontal="center"/>
      <protection locked="0"/>
    </xf>
    <xf numFmtId="1" fontId="4" fillId="3" borderId="0" xfId="0" applyNumberFormat="1" applyFont="1" applyFill="1" applyBorder="1" applyAlignment="1" applyProtection="1">
      <alignment horizontal="center"/>
      <protection locked="0"/>
    </xf>
    <xf numFmtId="0" fontId="9" fillId="3" borderId="0" xfId="0" applyFont="1" applyFill="1" applyAlignment="1" applyProtection="1">
      <protection locked="0"/>
    </xf>
    <xf numFmtId="0" fontId="13" fillId="3" borderId="0" xfId="0" applyFont="1" applyFill="1" applyProtection="1">
      <protection locked="0"/>
    </xf>
    <xf numFmtId="2" fontId="2" fillId="3" borderId="0" xfId="0" applyNumberFormat="1" applyFont="1" applyFill="1" applyProtection="1">
      <protection locked="0"/>
    </xf>
    <xf numFmtId="164" fontId="2" fillId="3" borderId="0" xfId="0" applyNumberFormat="1" applyFont="1" applyFill="1" applyProtection="1">
      <protection locked="0"/>
    </xf>
    <xf numFmtId="166" fontId="2" fillId="3" borderId="0" xfId="0" applyNumberFormat="1" applyFont="1" applyFill="1" applyBorder="1" applyAlignment="1" applyProtection="1">
      <alignment horizontal="center"/>
      <protection locked="0"/>
    </xf>
    <xf numFmtId="0" fontId="2" fillId="3" borderId="0" xfId="0" quotePrefix="1" applyFont="1" applyFill="1" applyBorder="1" applyAlignment="1" applyProtection="1">
      <alignment horizontal="center"/>
      <protection locked="0"/>
    </xf>
    <xf numFmtId="0" fontId="10" fillId="3" borderId="0" xfId="0" applyFont="1" applyFill="1" applyBorder="1" applyAlignment="1" applyProtection="1">
      <alignment horizontal="center"/>
      <protection locked="0"/>
    </xf>
    <xf numFmtId="164" fontId="2" fillId="3" borderId="0" xfId="0" applyNumberFormat="1" applyFont="1" applyFill="1" applyBorder="1" applyAlignment="1" applyProtection="1">
      <alignment horizontal="center"/>
      <protection locked="0"/>
    </xf>
    <xf numFmtId="165" fontId="2" fillId="3" borderId="0" xfId="0" applyNumberFormat="1" applyFont="1" applyFill="1" applyBorder="1" applyAlignment="1" applyProtection="1">
      <alignment horizontal="center"/>
      <protection locked="0"/>
    </xf>
    <xf numFmtId="2" fontId="2" fillId="3" borderId="0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left"/>
    </xf>
    <xf numFmtId="0" fontId="1" fillId="3" borderId="0" xfId="0" applyFont="1" applyFill="1" applyProtection="1"/>
    <xf numFmtId="0" fontId="2" fillId="3" borderId="0" xfId="0" applyFont="1" applyFill="1" applyProtection="1"/>
    <xf numFmtId="0" fontId="1" fillId="3" borderId="4" xfId="0" applyFont="1" applyFill="1" applyBorder="1" applyAlignment="1" applyProtection="1">
      <alignment vertical="center"/>
    </xf>
    <xf numFmtId="0" fontId="1" fillId="3" borderId="7" xfId="0" applyFont="1" applyFill="1" applyBorder="1" applyAlignment="1" applyProtection="1">
      <alignment vertical="center"/>
    </xf>
    <xf numFmtId="0" fontId="2" fillId="3" borderId="12" xfId="0" applyFont="1" applyFill="1" applyBorder="1" applyAlignment="1" applyProtection="1">
      <alignment horizontal="center"/>
    </xf>
    <xf numFmtId="0" fontId="2" fillId="3" borderId="12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vertical="center"/>
    </xf>
    <xf numFmtId="0" fontId="2" fillId="3" borderId="2" xfId="0" applyFont="1" applyFill="1" applyBorder="1" applyAlignment="1" applyProtection="1">
      <alignment vertical="center"/>
    </xf>
    <xf numFmtId="0" fontId="2" fillId="3" borderId="3" xfId="0" applyFont="1" applyFill="1" applyBorder="1" applyAlignment="1" applyProtection="1">
      <alignment vertical="center"/>
    </xf>
    <xf numFmtId="2" fontId="2" fillId="3" borderId="6" xfId="0" applyNumberFormat="1" applyFont="1" applyFill="1" applyBorder="1" applyAlignment="1" applyProtection="1">
      <alignment horizontal="center" vertical="center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left" vertical="center"/>
    </xf>
    <xf numFmtId="0" fontId="2" fillId="3" borderId="2" xfId="0" applyFont="1" applyFill="1" applyBorder="1" applyAlignment="1" applyProtection="1">
      <alignment horizontal="left" vertical="center"/>
    </xf>
    <xf numFmtId="0" fontId="2" fillId="3" borderId="3" xfId="0" applyFont="1" applyFill="1" applyBorder="1" applyAlignment="1" applyProtection="1">
      <alignment horizontal="left" vertical="center"/>
    </xf>
    <xf numFmtId="0" fontId="2" fillId="3" borderId="9" xfId="0" applyFont="1" applyFill="1" applyBorder="1" applyAlignment="1" applyProtection="1">
      <alignment horizontal="center" wrapText="1"/>
      <protection locked="0"/>
    </xf>
    <xf numFmtId="0" fontId="2" fillId="3" borderId="15" xfId="0" applyFont="1" applyFill="1" applyBorder="1" applyAlignment="1" applyProtection="1">
      <alignment horizontal="center" wrapText="1"/>
      <protection locked="0"/>
    </xf>
    <xf numFmtId="0" fontId="2" fillId="3" borderId="12" xfId="0" applyFont="1" applyFill="1" applyBorder="1" applyAlignment="1" applyProtection="1">
      <alignment horizontal="center" wrapText="1"/>
      <protection locked="0"/>
    </xf>
    <xf numFmtId="0" fontId="9" fillId="3" borderId="9" xfId="0" applyFont="1" applyFill="1" applyBorder="1" applyAlignment="1" applyProtection="1">
      <alignment horizontal="center" vertical="center" wrapText="1"/>
      <protection locked="0"/>
    </xf>
    <xf numFmtId="0" fontId="9" fillId="3" borderId="15" xfId="0" applyFont="1" applyFill="1" applyBorder="1" applyAlignment="1" applyProtection="1">
      <alignment horizontal="center" vertical="center" wrapText="1"/>
      <protection locked="0"/>
    </xf>
    <xf numFmtId="0" fontId="9" fillId="3" borderId="12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/>
      <protection locked="0"/>
    </xf>
    <xf numFmtId="0" fontId="9" fillId="3" borderId="2" xfId="0" applyFont="1" applyFill="1" applyBorder="1" applyAlignment="1" applyProtection="1">
      <alignment horizontal="center"/>
      <protection locked="0"/>
    </xf>
    <xf numFmtId="0" fontId="9" fillId="3" borderId="3" xfId="0" applyFont="1" applyFill="1" applyBorder="1" applyAlignment="1" applyProtection="1">
      <alignment horizontal="center"/>
      <protection locked="0"/>
    </xf>
    <xf numFmtId="0" fontId="10" fillId="3" borderId="0" xfId="0" applyFont="1" applyFill="1" applyBorder="1" applyAlignment="1" applyProtection="1">
      <alignment horizontal="center"/>
      <protection locked="0"/>
    </xf>
    <xf numFmtId="0" fontId="1" fillId="3" borderId="13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  <protection locked="0"/>
    </xf>
    <xf numFmtId="0" fontId="1" fillId="3" borderId="14" xfId="0" applyFont="1" applyFill="1" applyBorder="1" applyAlignment="1" applyProtection="1">
      <alignment horizontal="center"/>
      <protection locked="0"/>
    </xf>
    <xf numFmtId="0" fontId="12" fillId="3" borderId="8" xfId="0" applyFont="1" applyFill="1" applyBorder="1" applyAlignment="1" applyProtection="1">
      <alignment horizontal="center"/>
      <protection locked="0"/>
    </xf>
    <xf numFmtId="0" fontId="12" fillId="3" borderId="0" xfId="0" applyFont="1" applyFill="1" applyBorder="1" applyAlignment="1" applyProtection="1">
      <alignment horizontal="center"/>
      <protection locked="0"/>
    </xf>
    <xf numFmtId="0" fontId="12" fillId="3" borderId="11" xfId="0" applyFont="1" applyFill="1" applyBorder="1" applyAlignment="1" applyProtection="1">
      <alignment horizontal="center"/>
      <protection locked="0"/>
    </xf>
    <xf numFmtId="0" fontId="11" fillId="3" borderId="7" xfId="0" applyFont="1" applyFill="1" applyBorder="1" applyAlignment="1" applyProtection="1">
      <alignment horizontal="center" vertical="center" wrapText="1"/>
      <protection locked="0"/>
    </xf>
    <xf numFmtId="0" fontId="11" fillId="3" borderId="5" xfId="0" applyFont="1" applyFill="1" applyBorder="1" applyAlignment="1" applyProtection="1">
      <alignment horizontal="center" vertical="center" wrapText="1"/>
      <protection locked="0"/>
    </xf>
    <xf numFmtId="0" fontId="11" fillId="3" borderId="10" xfId="0" applyFont="1" applyFill="1" applyBorder="1" applyAlignment="1" applyProtection="1">
      <alignment horizontal="center" vertical="center" wrapText="1"/>
      <protection locked="0"/>
    </xf>
    <xf numFmtId="14" fontId="14" fillId="3" borderId="4" xfId="0" applyNumberFormat="1" applyFont="1" applyFill="1" applyBorder="1" applyAlignment="1" applyProtection="1">
      <alignment horizontal="left" vertical="center"/>
      <protection locked="0"/>
    </xf>
    <xf numFmtId="14" fontId="14" fillId="3" borderId="2" xfId="0" applyNumberFormat="1" applyFont="1" applyFill="1" applyBorder="1" applyAlignment="1" applyProtection="1">
      <alignment horizontal="left" vertical="center"/>
      <protection locked="0"/>
    </xf>
    <xf numFmtId="14" fontId="14" fillId="3" borderId="3" xfId="0" applyNumberFormat="1" applyFont="1" applyFill="1" applyBorder="1" applyAlignment="1" applyProtection="1">
      <alignment horizontal="left" vertical="center"/>
      <protection locked="0"/>
    </xf>
    <xf numFmtId="14" fontId="14" fillId="3" borderId="6" xfId="0" applyNumberFormat="1" applyFont="1" applyFill="1" applyBorder="1" applyAlignment="1" applyProtection="1">
      <alignment horizontal="left" vertical="center"/>
      <protection locked="0"/>
    </xf>
    <xf numFmtId="49" fontId="17" fillId="3" borderId="6" xfId="0" applyNumberFormat="1" applyFont="1" applyFill="1" applyBorder="1" applyAlignment="1" applyProtection="1">
      <alignment vertical="center"/>
      <protection locked="0"/>
    </xf>
    <xf numFmtId="49" fontId="14" fillId="3" borderId="6" xfId="0" applyNumberFormat="1" applyFont="1" applyFill="1" applyBorder="1" applyAlignment="1" applyProtection="1">
      <alignment horizontal="left" vertical="center"/>
      <protection locked="0"/>
    </xf>
    <xf numFmtId="0" fontId="2" fillId="3" borderId="9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0" fontId="2" fillId="3" borderId="12" xfId="0" applyFont="1" applyFill="1" applyBorder="1" applyAlignment="1" applyProtection="1">
      <alignment horizontal="center" vertical="center" wrapText="1"/>
    </xf>
    <xf numFmtId="0" fontId="2" fillId="3" borderId="4" xfId="0" applyFont="1" applyFill="1" applyBorder="1" applyAlignment="1" applyProtection="1">
      <alignment horizontal="left" vertical="center" indent="1"/>
    </xf>
    <xf numFmtId="0" fontId="2" fillId="3" borderId="2" xfId="0" applyFont="1" applyFill="1" applyBorder="1" applyAlignment="1" applyProtection="1">
      <alignment horizontal="left" vertical="center" indent="1"/>
    </xf>
    <xf numFmtId="0" fontId="2" fillId="3" borderId="3" xfId="0" applyFont="1" applyFill="1" applyBorder="1" applyAlignment="1" applyProtection="1">
      <alignment horizontal="left" vertical="center" indent="1"/>
    </xf>
    <xf numFmtId="14" fontId="2" fillId="3" borderId="2" xfId="0" applyNumberFormat="1" applyFont="1" applyFill="1" applyBorder="1" applyAlignment="1" applyProtection="1">
      <alignment horizontal="left" vertical="center" indent="1"/>
    </xf>
    <xf numFmtId="0" fontId="2" fillId="3" borderId="2" xfId="0" applyFont="1" applyFill="1" applyBorder="1" applyAlignment="1" applyProtection="1">
      <alignment horizontal="left" indent="1"/>
    </xf>
    <xf numFmtId="0" fontId="2" fillId="3" borderId="3" xfId="0" applyFont="1" applyFill="1" applyBorder="1" applyAlignment="1" applyProtection="1">
      <alignment horizontal="left" indent="1"/>
    </xf>
    <xf numFmtId="166" fontId="2" fillId="3" borderId="4" xfId="0" applyNumberFormat="1" applyFont="1" applyFill="1" applyBorder="1" applyAlignment="1" applyProtection="1">
      <alignment horizontal="left" vertical="center" indent="1"/>
    </xf>
    <xf numFmtId="166" fontId="2" fillId="3" borderId="2" xfId="0" applyNumberFormat="1" applyFont="1" applyFill="1" applyBorder="1" applyAlignment="1" applyProtection="1">
      <alignment horizontal="left" vertical="center" indent="1"/>
    </xf>
    <xf numFmtId="166" fontId="2" fillId="3" borderId="3" xfId="0" applyNumberFormat="1" applyFont="1" applyFill="1" applyBorder="1" applyAlignment="1" applyProtection="1">
      <alignment horizontal="left" vertical="center" indent="1"/>
    </xf>
    <xf numFmtId="171" fontId="2" fillId="3" borderId="4" xfId="0" applyNumberFormat="1" applyFont="1" applyFill="1" applyBorder="1" applyAlignment="1" applyProtection="1">
      <alignment horizontal="left" vertical="center" indent="1"/>
    </xf>
    <xf numFmtId="171" fontId="2" fillId="3" borderId="2" xfId="0" applyNumberFormat="1" applyFont="1" applyFill="1" applyBorder="1" applyAlignment="1" applyProtection="1">
      <alignment horizontal="left" vertical="center" indent="1"/>
    </xf>
  </cellXfs>
  <cellStyles count="1">
    <cellStyle name="Normal" xfId="0" builtinId="0"/>
  </cellStyles>
  <dxfs count="9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 sz="11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Gráfico: Fuerza de Ruptura v/s De</a:t>
            </a:r>
            <a:r>
              <a:rPr lang="es-CL" sz="1100" b="1" i="0" u="none" strike="noStrike" baseline="30000">
                <a:solidFill>
                  <a:srgbClr val="000000"/>
                </a:solidFill>
                <a:latin typeface="Arial"/>
                <a:cs typeface="Arial"/>
              </a:rPr>
              <a:t>2</a:t>
            </a:r>
          </a:p>
        </c:rich>
      </c:tx>
      <c:layout>
        <c:manualLayout>
          <c:xMode val="edge"/>
          <c:yMode val="edge"/>
          <c:x val="0.3327608419808476"/>
          <c:y val="3.2777788632500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295545010516173"/>
          <c:y val="0.20349139980331313"/>
          <c:w val="0.81680610678382182"/>
          <c:h val="0.6455006468547982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'6'!$Y$15:$Y$16</c:f>
              <c:numCache>
                <c:formatCode>0.0_)</c:formatCode>
                <c:ptCount val="2"/>
                <c:pt idx="0">
                  <c:v>2677.8161676648924</c:v>
                </c:pt>
                <c:pt idx="1">
                  <c:v>2093.00623124597</c:v>
                </c:pt>
              </c:numCache>
            </c:numRef>
          </c:xVal>
          <c:yVal>
            <c:numRef>
              <c:f>'6'!$X$15:$X$16</c:f>
              <c:numCache>
                <c:formatCode>0.0_)</c:formatCode>
                <c:ptCount val="2"/>
                <c:pt idx="0">
                  <c:v>21.220700000000004</c:v>
                </c:pt>
                <c:pt idx="1">
                  <c:v>8.4581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FB-43EC-8F2C-4B46ACBD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7890304"/>
        <c:axId val="687881056"/>
      </c:scatterChart>
      <c:valAx>
        <c:axId val="687890304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s-CL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De</a:t>
                </a:r>
                <a:r>
                  <a:rPr lang="es-CL" sz="800" b="0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2</a:t>
                </a:r>
                <a:r>
                  <a:rPr lang="es-CL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[mm</a:t>
                </a:r>
                <a:r>
                  <a:rPr lang="es-CL" sz="800" b="0" i="0" u="none" strike="noStrike" baseline="30000">
                    <a:solidFill>
                      <a:srgbClr val="000000"/>
                    </a:solidFill>
                    <a:latin typeface="Arial"/>
                    <a:cs typeface="Arial"/>
                  </a:rPr>
                  <a:t>2</a:t>
                </a:r>
                <a:r>
                  <a:rPr lang="es-CL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]</a:t>
                </a:r>
              </a:p>
            </c:rich>
          </c:tx>
          <c:layout>
            <c:manualLayout>
              <c:xMode val="edge"/>
              <c:yMode val="edge"/>
              <c:x val="0.48899921142144231"/>
              <c:y val="0.9177668796363233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81056"/>
        <c:crossesAt val="0.1"/>
        <c:crossBetween val="midCat"/>
      </c:valAx>
      <c:valAx>
        <c:axId val="687881056"/>
        <c:scaling>
          <c:logBase val="10"/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Fuerza de Ruptura [kN]</a:t>
                </a:r>
              </a:p>
            </c:rich>
          </c:tx>
          <c:layout>
            <c:manualLayout>
              <c:xMode val="edge"/>
              <c:yMode val="edge"/>
              <c:x val="2.3418978457289252E-2"/>
              <c:y val="0.2761120988908656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8789030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000000000000244" r="0.75000000000000244" t="1" header="0" footer="0"/>
    <c:pageSetup paperSize="9" orientation="landscape"/>
  </c:printSettings>
  <c:userShapes r:id="rId1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6</xdr:row>
      <xdr:rowOff>0</xdr:rowOff>
    </xdr:from>
    <xdr:to>
      <xdr:col>9</xdr:col>
      <xdr:colOff>0</xdr:colOff>
      <xdr:row>10</xdr:row>
      <xdr:rowOff>38100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10275" y="971550"/>
          <a:ext cx="1600200" cy="6858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114300</xdr:colOff>
      <xdr:row>6</xdr:row>
      <xdr:rowOff>0</xdr:rowOff>
    </xdr:from>
    <xdr:to>
      <xdr:col>11</xdr:col>
      <xdr:colOff>0</xdr:colOff>
      <xdr:row>10</xdr:row>
      <xdr:rowOff>38100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7724775" y="971550"/>
          <a:ext cx="1562100" cy="68580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175649</xdr:colOff>
      <xdr:row>47</xdr:row>
      <xdr:rowOff>154822</xdr:rowOff>
    </xdr:from>
    <xdr:to>
      <xdr:col>32</xdr:col>
      <xdr:colOff>430860</xdr:colOff>
      <xdr:row>77</xdr:row>
      <xdr:rowOff>108132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383931</xdr:colOff>
      <xdr:row>6</xdr:row>
      <xdr:rowOff>94202</xdr:rowOff>
    </xdr:from>
    <xdr:to>
      <xdr:col>42</xdr:col>
      <xdr:colOff>475806</xdr:colOff>
      <xdr:row>19</xdr:row>
      <xdr:rowOff>141377</xdr:rowOff>
    </xdr:to>
    <xdr:sp macro="" textlink="">
      <xdr:nvSpPr>
        <xdr:cNvPr id="3" name="Rectangl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27520656" y="1008602"/>
          <a:ext cx="3759000" cy="20283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436942</xdr:colOff>
      <xdr:row>4</xdr:row>
      <xdr:rowOff>103710</xdr:rowOff>
    </xdr:from>
    <xdr:to>
      <xdr:col>42</xdr:col>
      <xdr:colOff>480470</xdr:colOff>
      <xdr:row>6</xdr:row>
      <xdr:rowOff>57599</xdr:rowOff>
    </xdr:to>
    <xdr:grpSp>
      <xdr:nvGrpSpPr>
        <xdr:cNvPr id="4" name="Grupo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3612517" y="903810"/>
          <a:ext cx="4091653" cy="353939"/>
          <a:chOff x="33406633" y="4570857"/>
          <a:chExt cx="4089092" cy="352339"/>
        </a:xfrm>
      </xdr:grpSpPr>
      <xdr:sp macro="" textlink="$AY$5">
        <xdr:nvSpPr>
          <xdr:cNvPr id="5" name="43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 bwMode="auto">
          <a:xfrm>
            <a:off x="33406633" y="4570857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D1E6094-0756-4C74-828C-C1B6744400E1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PROYECTO: BH-LPE5-A-LP-S3-A-0+085-L</a:t>
            </a:fld>
            <a:endParaRPr lang="es-ES" sz="900"/>
          </a:p>
        </xdr:txBody>
      </xdr:sp>
      <xdr:sp macro="" textlink="$AY$6">
        <xdr:nvSpPr>
          <xdr:cNvPr id="6" name="44 CuadroText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 bwMode="auto">
          <a:xfrm>
            <a:off x="33406633" y="4713646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335218C-78A5-4FFE-9737-A4971417114E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MUESTRA: BH-LPE5-A-LP-S3-A-0+085-L (04,70-05,00)</a:t>
            </a:fld>
            <a:endParaRPr lang="es-ES" sz="900"/>
          </a:p>
        </xdr:txBody>
      </xdr:sp>
    </xdr:grpSp>
    <xdr:clientData/>
  </xdr:twoCellAnchor>
  <xdr:twoCellAnchor>
    <xdr:from>
      <xdr:col>37</xdr:col>
      <xdr:colOff>610726</xdr:colOff>
      <xdr:row>26</xdr:row>
      <xdr:rowOff>0</xdr:rowOff>
    </xdr:from>
    <xdr:to>
      <xdr:col>42</xdr:col>
      <xdr:colOff>654254</xdr:colOff>
      <xdr:row>26</xdr:row>
      <xdr:rowOff>0</xdr:rowOff>
    </xdr:to>
    <xdr:grpSp>
      <xdr:nvGrpSpPr>
        <xdr:cNvPr id="7" name="Grupo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33786301" y="8058150"/>
          <a:ext cx="4091653" cy="0"/>
          <a:chOff x="33406633" y="4589821"/>
          <a:chExt cx="4089092" cy="333375"/>
        </a:xfrm>
      </xdr:grpSpPr>
      <xdr:sp macro="" textlink="$AY$5">
        <xdr:nvSpPr>
          <xdr:cNvPr id="8" name="43 CuadroTexto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 bwMode="auto">
          <a:xfrm>
            <a:off x="33406633" y="4589821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D1E6094-0756-4C74-828C-C1B6744400E1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PROYECTO: BH-LPE5-A-LP-S3-A-0+085-L</a:t>
            </a:fld>
            <a:endParaRPr lang="es-ES" sz="900"/>
          </a:p>
        </xdr:txBody>
      </xdr:sp>
      <xdr:sp macro="" textlink="$AY$6">
        <xdr:nvSpPr>
          <xdr:cNvPr id="9" name="44 CuadroTexto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 bwMode="auto">
          <a:xfrm>
            <a:off x="33406633" y="4713646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335218C-78A5-4FFE-9737-A4971417114E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MUESTRA: BH-LPE5-A-LP-S3-A-0+085-L (04,70-05,00)</a:t>
            </a:fld>
            <a:endParaRPr lang="es-ES" sz="900"/>
          </a:p>
        </xdr:txBody>
      </xdr:sp>
    </xdr:grpSp>
    <xdr:clientData/>
  </xdr:twoCellAnchor>
  <xdr:twoCellAnchor>
    <xdr:from>
      <xdr:col>37</xdr:col>
      <xdr:colOff>383931</xdr:colOff>
      <xdr:row>21</xdr:row>
      <xdr:rowOff>288456</xdr:rowOff>
    </xdr:from>
    <xdr:to>
      <xdr:col>42</xdr:col>
      <xdr:colOff>475806</xdr:colOff>
      <xdr:row>53</xdr:row>
      <xdr:rowOff>97506</xdr:rowOff>
    </xdr:to>
    <xdr:sp macro="" textlink="">
      <xdr:nvSpPr>
        <xdr:cNvPr id="10" name="Rectangle 1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27520656" y="3355506"/>
          <a:ext cx="3759000" cy="48192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442804</xdr:colOff>
      <xdr:row>20</xdr:row>
      <xdr:rowOff>339831</xdr:rowOff>
    </xdr:from>
    <xdr:to>
      <xdr:col>42</xdr:col>
      <xdr:colOff>486332</xdr:colOff>
      <xdr:row>21</xdr:row>
      <xdr:rowOff>251851</xdr:rowOff>
    </xdr:to>
    <xdr:grpSp>
      <xdr:nvGrpSpPr>
        <xdr:cNvPr id="11" name="Grupo 14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33618379" y="5769081"/>
          <a:ext cx="4091653" cy="350170"/>
          <a:chOff x="33406633" y="4570641"/>
          <a:chExt cx="4089092" cy="352555"/>
        </a:xfrm>
      </xdr:grpSpPr>
      <xdr:sp macro="" textlink="$AY$5">
        <xdr:nvSpPr>
          <xdr:cNvPr id="12" name="43 CuadroTexto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 bwMode="auto">
          <a:xfrm>
            <a:off x="33406633" y="4570641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ED1E6094-0756-4C74-828C-C1B6744400E1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PROYECTO: BH-LPE5-A-LP-S3-A-0+085-L</a:t>
            </a:fld>
            <a:endParaRPr lang="es-ES" sz="900"/>
          </a:p>
        </xdr:txBody>
      </xdr:sp>
      <xdr:sp macro="" textlink="$AY$6">
        <xdr:nvSpPr>
          <xdr:cNvPr id="13" name="44 CuadroTexto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 bwMode="auto">
          <a:xfrm>
            <a:off x="33406633" y="4713646"/>
            <a:ext cx="4089092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335218C-78A5-4FFE-9737-A4971417114E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MUESTRA: BH-LPE5-A-LP-S3-A-0+085-L (04,70-05,00)</a:t>
            </a:fld>
            <a:endParaRPr lang="es-ES" sz="900"/>
          </a:p>
        </xdr:txBody>
      </xdr:sp>
    </xdr:grpSp>
    <xdr:clientData/>
  </xdr:twoCellAnchor>
  <xdr:twoCellAnchor editAs="oneCell">
    <xdr:from>
      <xdr:col>37</xdr:col>
      <xdr:colOff>380999</xdr:colOff>
      <xdr:row>6</xdr:row>
      <xdr:rowOff>95250</xdr:rowOff>
    </xdr:from>
    <xdr:to>
      <xdr:col>42</xdr:col>
      <xdr:colOff>476250</xdr:colOff>
      <xdr:row>19</xdr:row>
      <xdr:rowOff>152400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185AC5-52DF-4286-93C5-DDA99D5F36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3556574" y="1295400"/>
          <a:ext cx="4143376" cy="3848100"/>
        </a:xfrm>
        <a:prstGeom prst="rect">
          <a:avLst/>
        </a:prstGeom>
      </xdr:spPr>
    </xdr:pic>
    <xdr:clientData/>
  </xdr:twoCellAnchor>
  <xdr:twoCellAnchor editAs="oneCell">
    <xdr:from>
      <xdr:col>37</xdr:col>
      <xdr:colOff>381000</xdr:colOff>
      <xdr:row>21</xdr:row>
      <xdr:rowOff>285750</xdr:rowOff>
    </xdr:from>
    <xdr:to>
      <xdr:col>42</xdr:col>
      <xdr:colOff>476251</xdr:colOff>
      <xdr:row>53</xdr:row>
      <xdr:rowOff>95250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9B69D2C-50E5-40D1-87C1-B38CF23D84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33556575" y="6153150"/>
          <a:ext cx="4143376" cy="3600450"/>
        </a:xfrm>
        <a:prstGeom prst="rect">
          <a:avLst/>
        </a:prstGeom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0.14967</cdr:x>
      <cdr:y>0.08437</cdr:y>
    </cdr:from>
    <cdr:to>
      <cdr:x>0.82517</cdr:x>
      <cdr:y>0.13151</cdr:y>
    </cdr:to>
    <cdr:sp macro="" textlink="'6'!$AY$5">
      <cdr:nvSpPr>
        <cdr:cNvPr id="3" name="2 Rectángulo"/>
        <cdr:cNvSpPr/>
      </cdr:nvSpPr>
      <cdr:spPr bwMode="auto">
        <a:xfrm xmlns:a="http://schemas.openxmlformats.org/drawingml/2006/main">
          <a:off x="1076326" y="323850"/>
          <a:ext cx="4857750" cy="180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pPr algn="ctr"/>
          <a:fld id="{91EDECED-F4E4-4685-B773-3ED017061257}" type="TxLink">
            <a:rPr lang="es-CL" sz="1100" b="1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PROYECTO: BH-LPE5-A-LP-S3-A-0+085-L</a:t>
          </a:fld>
          <a:endParaRPr lang="es-CL" b="1">
            <a:latin typeface="Arial" pitchFamily="34" charset="0"/>
            <a:cs typeface="Arial" pitchFamily="34" charset="0"/>
          </a:endParaRPr>
        </a:p>
      </cdr:txBody>
    </cdr:sp>
  </cdr:relSizeAnchor>
  <cdr:relSizeAnchor xmlns:cdr="http://schemas.openxmlformats.org/drawingml/2006/chartDrawing">
    <cdr:from>
      <cdr:x>0.15232</cdr:x>
      <cdr:y>0.12407</cdr:y>
    </cdr:from>
    <cdr:to>
      <cdr:x>0.82998</cdr:x>
      <cdr:y>0.17122</cdr:y>
    </cdr:to>
    <cdr:sp macro="" textlink="'6'!$AY$6">
      <cdr:nvSpPr>
        <cdr:cNvPr id="4" name="1 Rectángulo"/>
        <cdr:cNvSpPr/>
      </cdr:nvSpPr>
      <cdr:spPr bwMode="auto">
        <a:xfrm xmlns:a="http://schemas.openxmlformats.org/drawingml/2006/main">
          <a:off x="1095375" y="476250"/>
          <a:ext cx="4873294" cy="180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pPr algn="ctr"/>
          <a:fld id="{3640ACC5-1C35-4950-994C-261E469B9B96}" type="TxLink">
            <a:rPr lang="es-CL" sz="1100" b="1" i="0" u="none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pPr algn="ctr"/>
            <a:t>MUESTRA: BH-LPE5-A-LP-S3-A-0+085-L (04,70-05,00)</a:t>
          </a:fld>
          <a:endParaRPr lang="es-CL" b="1">
            <a:latin typeface="Arial" pitchFamily="34" charset="0"/>
            <a:cs typeface="Arial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1"/>
  <sheetViews>
    <sheetView showGridLines="0" workbookViewId="0">
      <selection activeCell="F10" sqref="F10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89</v>
      </c>
      <c r="D2" s="3"/>
      <c r="E2" s="3"/>
      <c r="F2" s="3"/>
      <c r="G2" s="3"/>
      <c r="H2" s="4"/>
    </row>
    <row r="3" spans="2:8" x14ac:dyDescent="0.15">
      <c r="B3" s="6" t="s">
        <v>9</v>
      </c>
      <c r="C3" s="2" t="s">
        <v>95</v>
      </c>
      <c r="D3" s="3"/>
      <c r="E3" s="3"/>
      <c r="F3" s="3"/>
      <c r="G3" s="3"/>
      <c r="H3" s="4"/>
    </row>
    <row r="4" spans="2:8" x14ac:dyDescent="0.15">
      <c r="B4" s="7" t="s">
        <v>2</v>
      </c>
      <c r="C4" s="2" t="s">
        <v>94</v>
      </c>
      <c r="D4" s="3"/>
      <c r="E4" s="3"/>
      <c r="F4" s="3"/>
      <c r="G4" s="3"/>
      <c r="H4" s="4"/>
    </row>
    <row r="6" spans="2:8" x14ac:dyDescent="0.15">
      <c r="B6" s="107" t="s">
        <v>10</v>
      </c>
      <c r="C6" s="107"/>
      <c r="D6" s="107"/>
    </row>
    <row r="7" spans="2:8" x14ac:dyDescent="0.15">
      <c r="B7" s="108">
        <v>1</v>
      </c>
      <c r="C7" s="108"/>
      <c r="D7" s="108"/>
    </row>
    <row r="10" spans="2:8" x14ac:dyDescent="0.15">
      <c r="B10" s="8" t="s">
        <v>11</v>
      </c>
      <c r="C10" s="8" t="s">
        <v>12</v>
      </c>
    </row>
    <row r="11" spans="2:8" x14ac:dyDescent="0.15">
      <c r="B11" s="9">
        <v>1</v>
      </c>
      <c r="C11" s="10">
        <v>6</v>
      </c>
    </row>
  </sheetData>
  <sheetProtection formatCells="0" formatColumns="0" formatRows="0"/>
  <protectedRanges>
    <protectedRange sqref="C2:H4 B7 B10:D11 B39:H112 D12:D20 D21:H38 B12:C38 G10:H2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BG105"/>
  <sheetViews>
    <sheetView tabSelected="1" topLeftCell="T1" zoomScaleNormal="100" workbookViewId="0">
      <selection activeCell="AJ18" sqref="AJ18"/>
    </sheetView>
  </sheetViews>
  <sheetFormatPr baseColWidth="10" defaultColWidth="9.625" defaultRowHeight="12" x14ac:dyDescent="0.2"/>
  <cols>
    <col min="1" max="1" width="12.625" style="36" customWidth="1"/>
    <col min="2" max="2" width="13" style="36" customWidth="1"/>
    <col min="3" max="10" width="9.625" style="36"/>
    <col min="11" max="11" width="11.125" style="36" bestFit="1" customWidth="1"/>
    <col min="12" max="12" width="10.625" style="36" bestFit="1" customWidth="1"/>
    <col min="13" max="13" width="11.125" style="36" bestFit="1" customWidth="1"/>
    <col min="14" max="15" width="11.125" style="36" customWidth="1"/>
    <col min="16" max="16" width="15.125" style="36" customWidth="1"/>
    <col min="17" max="17" width="19.5" style="36" customWidth="1"/>
    <col min="18" max="18" width="26.25" style="36" customWidth="1"/>
    <col min="19" max="20" width="9.625" style="36"/>
    <col min="21" max="21" width="14.625" style="36" customWidth="1"/>
    <col min="22" max="22" width="14.125" style="36" customWidth="1"/>
    <col min="23" max="23" width="13.25" style="36" customWidth="1"/>
    <col min="24" max="24" width="8.875" style="36" customWidth="1"/>
    <col min="25" max="25" width="9.875" style="94" customWidth="1"/>
    <col min="26" max="26" width="8.875" style="94" customWidth="1"/>
    <col min="27" max="27" width="11.75" style="36" bestFit="1" customWidth="1"/>
    <col min="28" max="28" width="10.625" style="36" bestFit="1" customWidth="1"/>
    <col min="29" max="29" width="11.375" style="36" customWidth="1"/>
    <col min="30" max="30" width="12.375" style="36" customWidth="1"/>
    <col min="31" max="31" width="12.75" style="36" customWidth="1"/>
    <col min="32" max="32" width="12.375" style="36" customWidth="1"/>
    <col min="33" max="33" width="13.75" style="36" customWidth="1"/>
    <col min="34" max="35" width="9.5" style="36" customWidth="1"/>
    <col min="36" max="36" width="14.25" style="36" customWidth="1"/>
    <col min="37" max="37" width="9.625" style="36" customWidth="1"/>
    <col min="38" max="43" width="10.625" style="36" customWidth="1"/>
    <col min="44" max="44" width="9.625" style="36"/>
    <col min="45" max="45" width="11.125" style="36" customWidth="1"/>
    <col min="46" max="16384" width="9.625" style="36"/>
  </cols>
  <sheetData>
    <row r="1" spans="1:59" ht="15.75" customHeight="1" x14ac:dyDescent="0.2">
      <c r="U1" s="96" t="s">
        <v>78</v>
      </c>
      <c r="V1" s="97"/>
      <c r="W1" s="97"/>
      <c r="X1" s="97"/>
      <c r="Y1" s="98"/>
      <c r="Z1" s="98"/>
      <c r="AA1" s="98"/>
      <c r="AB1" s="98"/>
      <c r="AC1" s="98"/>
      <c r="AD1" s="98"/>
      <c r="AE1" s="98"/>
      <c r="AF1" s="98"/>
      <c r="AG1" s="98"/>
    </row>
    <row r="2" spans="1:59" ht="15.75" customHeight="1" x14ac:dyDescent="0.2">
      <c r="B2" s="38" t="s">
        <v>79</v>
      </c>
      <c r="C2" s="39"/>
      <c r="D2" s="40"/>
      <c r="E2" s="39"/>
      <c r="F2" s="39"/>
      <c r="G2" s="39"/>
      <c r="H2" s="40"/>
      <c r="U2" s="96"/>
      <c r="V2" s="97"/>
      <c r="W2" s="97"/>
      <c r="X2" s="97"/>
      <c r="Y2" s="98"/>
      <c r="Z2" s="98"/>
      <c r="AA2" s="98"/>
      <c r="AB2" s="98"/>
      <c r="AC2" s="98"/>
      <c r="AD2" s="98"/>
      <c r="AE2" s="98"/>
      <c r="AF2" s="98"/>
      <c r="AG2" s="98"/>
      <c r="AL2" s="109" t="str">
        <f>+U1</f>
        <v>INFORME ENSAYO CARGA PUNTUAL EN COLPA</v>
      </c>
      <c r="AM2" s="109"/>
      <c r="AN2" s="109"/>
      <c r="AO2" s="109"/>
      <c r="AP2" s="109"/>
      <c r="AQ2" s="109"/>
    </row>
    <row r="3" spans="1:59" ht="15.75" customHeight="1" x14ac:dyDescent="0.2"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</row>
    <row r="4" spans="1:59" ht="15.75" customHeight="1" x14ac:dyDescent="0.2">
      <c r="B4" s="41" t="s">
        <v>0</v>
      </c>
      <c r="C4" s="132" t="str">
        <f>'Ingreso Datos'!C2</f>
        <v>BH-LPE5-A-LP-S3-A-0+085-L</v>
      </c>
      <c r="D4" s="133"/>
      <c r="E4" s="134"/>
      <c r="U4" s="32" t="s">
        <v>0</v>
      </c>
      <c r="V4" s="141" t="str">
        <f>+'Ingreso Datos'!C2</f>
        <v>BH-LPE5-A-LP-S3-A-0+085-L</v>
      </c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3"/>
      <c r="AH4" s="42"/>
      <c r="AI4" s="42"/>
      <c r="AJ4" s="43"/>
      <c r="AL4" s="109" t="s">
        <v>84</v>
      </c>
      <c r="AM4" s="109"/>
      <c r="AN4" s="109"/>
      <c r="AO4" s="109"/>
      <c r="AP4" s="109"/>
      <c r="AQ4" s="109"/>
      <c r="AY4" s="44"/>
      <c r="AZ4" s="44"/>
      <c r="BA4" s="44"/>
      <c r="BB4" s="44"/>
      <c r="BC4" s="44"/>
    </row>
    <row r="5" spans="1:59" ht="15.75" customHeight="1" x14ac:dyDescent="0.25">
      <c r="B5" s="45" t="s">
        <v>77</v>
      </c>
      <c r="C5" s="132">
        <v>45440</v>
      </c>
      <c r="D5" s="133"/>
      <c r="E5" s="134"/>
      <c r="U5" s="31" t="s">
        <v>76</v>
      </c>
      <c r="V5" s="141" t="str">
        <f>+'Ingreso Datos'!C3</f>
        <v>1.914.637-C</v>
      </c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3"/>
      <c r="AH5" s="42"/>
      <c r="AI5" s="42"/>
      <c r="AJ5" s="43"/>
      <c r="AY5" s="46" t="str">
        <f>+CONCATENATE("PROYECTO: ",C4)</f>
        <v>PROYECTO: BH-LPE5-A-LP-S3-A-0+085-L</v>
      </c>
      <c r="AZ5" s="44"/>
      <c r="BA5" s="44"/>
      <c r="BB5" s="44"/>
      <c r="BC5" s="44"/>
    </row>
    <row r="6" spans="1:59" ht="15.75" customHeight="1" x14ac:dyDescent="0.25">
      <c r="B6" s="45" t="s">
        <v>75</v>
      </c>
      <c r="C6" s="135">
        <v>45440</v>
      </c>
      <c r="D6" s="135"/>
      <c r="E6" s="135"/>
      <c r="H6" s="47"/>
      <c r="U6" s="32" t="s">
        <v>2</v>
      </c>
      <c r="V6" s="141" t="str">
        <f>+'Ingreso Datos'!C4</f>
        <v>-</v>
      </c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3"/>
      <c r="AH6" s="42"/>
      <c r="AI6" s="42"/>
      <c r="AJ6" s="43"/>
      <c r="AY6" s="46" t="str">
        <f>+CONCATENATE("MUESTRA: ",C7)</f>
        <v>MUESTRA: BH-LPE5-A-LP-S3-A-0+085-L (04,70-05,00)</v>
      </c>
      <c r="AZ6" s="44"/>
      <c r="BA6" s="44"/>
      <c r="BB6" s="44"/>
      <c r="BC6" s="44"/>
    </row>
    <row r="7" spans="1:59" ht="15.75" customHeight="1" x14ac:dyDescent="0.2">
      <c r="B7" s="41" t="s">
        <v>13</v>
      </c>
      <c r="C7" s="136" t="s">
        <v>93</v>
      </c>
      <c r="D7" s="136"/>
      <c r="E7" s="136"/>
      <c r="U7" s="99" t="s">
        <v>3</v>
      </c>
      <c r="V7" s="150">
        <f>C5</f>
        <v>45440</v>
      </c>
      <c r="W7" s="151"/>
      <c r="X7" s="144"/>
      <c r="Y7" s="144"/>
      <c r="Z7" s="144"/>
      <c r="AA7" s="144"/>
      <c r="AB7" s="144"/>
      <c r="AC7" s="144"/>
      <c r="AD7" s="145"/>
      <c r="AE7" s="145"/>
      <c r="AF7" s="145"/>
      <c r="AG7" s="146"/>
      <c r="AH7" s="48"/>
      <c r="AI7" s="48"/>
      <c r="AJ7" s="43"/>
      <c r="AY7" s="44"/>
      <c r="AZ7" s="44"/>
      <c r="BA7" s="44"/>
      <c r="BB7" s="44"/>
      <c r="BC7" s="44"/>
    </row>
    <row r="8" spans="1:59" ht="15.75" customHeight="1" x14ac:dyDescent="0.2">
      <c r="B8" s="49" t="s">
        <v>74</v>
      </c>
      <c r="C8" s="137" t="s">
        <v>90</v>
      </c>
      <c r="D8" s="137"/>
      <c r="E8" s="137"/>
      <c r="U8" s="100" t="s">
        <v>4</v>
      </c>
      <c r="V8" s="150">
        <f>C6</f>
        <v>45440</v>
      </c>
      <c r="W8" s="151"/>
      <c r="X8" s="144"/>
      <c r="Y8" s="144"/>
      <c r="Z8" s="144"/>
      <c r="AA8" s="144"/>
      <c r="AB8" s="144"/>
      <c r="AC8" s="144"/>
      <c r="AD8" s="145"/>
      <c r="AE8" s="145"/>
      <c r="AF8" s="145"/>
      <c r="AG8" s="146"/>
      <c r="AH8" s="48"/>
      <c r="AI8" s="48"/>
      <c r="AJ8" s="43"/>
    </row>
    <row r="9" spans="1:59" ht="15.75" customHeight="1" x14ac:dyDescent="0.2">
      <c r="B9" s="45"/>
      <c r="C9" s="50"/>
      <c r="D9" s="51"/>
      <c r="E9" s="51"/>
      <c r="U9" s="31" t="s">
        <v>1</v>
      </c>
      <c r="V9" s="147" t="str">
        <f>C7</f>
        <v>BH-LPE5-A-LP-S3-A-0+085-L (04,70-05,00)</v>
      </c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9"/>
      <c r="AH9" s="43"/>
      <c r="AI9" s="43"/>
    </row>
    <row r="10" spans="1:59" ht="15.75" customHeight="1" x14ac:dyDescent="0.2">
      <c r="B10" s="49"/>
      <c r="C10" s="52"/>
      <c r="D10" s="53"/>
      <c r="E10" s="53"/>
      <c r="F10" s="54"/>
      <c r="G10" s="54"/>
      <c r="H10" s="54"/>
      <c r="I10" s="43"/>
      <c r="J10" s="43"/>
      <c r="K10" s="54"/>
      <c r="L10" s="54"/>
      <c r="M10" s="54"/>
      <c r="N10" s="54"/>
      <c r="O10" s="54"/>
      <c r="P10" s="54"/>
      <c r="Q10" s="54"/>
      <c r="R10" s="54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55"/>
      <c r="AI10" s="55"/>
      <c r="AJ10" s="43"/>
      <c r="BE10" s="43"/>
      <c r="BF10" s="43"/>
      <c r="BG10" s="43"/>
    </row>
    <row r="11" spans="1:59" ht="15.75" customHeight="1" x14ac:dyDescent="0.2">
      <c r="D11" s="54"/>
      <c r="E11" s="54"/>
      <c r="F11" s="54"/>
      <c r="G11" s="54"/>
      <c r="H11" s="54"/>
      <c r="I11" s="43"/>
      <c r="J11" s="43"/>
      <c r="K11" s="54"/>
      <c r="L11" s="54"/>
      <c r="M11" s="54"/>
      <c r="N11" s="54"/>
      <c r="O11" s="54"/>
      <c r="P11" s="54"/>
      <c r="Q11" s="54"/>
      <c r="R11" s="54"/>
      <c r="U11" s="97" t="s">
        <v>73</v>
      </c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43"/>
      <c r="AI11" s="43"/>
      <c r="AJ11" s="43"/>
      <c r="BE11" s="43"/>
      <c r="BF11" s="43"/>
      <c r="BG11" s="43"/>
    </row>
    <row r="12" spans="1:59" ht="15.75" customHeight="1" x14ac:dyDescent="0.2">
      <c r="B12" s="54"/>
      <c r="C12" s="54"/>
      <c r="D12" s="54"/>
      <c r="E12" s="54"/>
      <c r="F12" s="54"/>
      <c r="G12" s="54"/>
      <c r="H12" s="54"/>
      <c r="I12" s="43"/>
      <c r="J12" s="43"/>
      <c r="K12" s="54"/>
      <c r="L12" s="54"/>
      <c r="M12" s="54"/>
      <c r="N12" s="54"/>
      <c r="O12" s="54"/>
      <c r="P12" s="54"/>
      <c r="Q12" s="54"/>
      <c r="R12" s="54"/>
      <c r="U12" s="138" t="s">
        <v>87</v>
      </c>
      <c r="V12" s="30" t="s">
        <v>71</v>
      </c>
      <c r="W12" s="29" t="s">
        <v>69</v>
      </c>
      <c r="X12" s="29" t="s">
        <v>68</v>
      </c>
      <c r="Y12" s="29"/>
      <c r="Z12" s="29"/>
      <c r="AA12" s="29" t="s">
        <v>66</v>
      </c>
      <c r="AB12" s="29" t="s">
        <v>67</v>
      </c>
      <c r="AC12" s="28" t="s">
        <v>66</v>
      </c>
      <c r="AD12" s="138" t="s">
        <v>7</v>
      </c>
      <c r="AE12" s="138" t="s">
        <v>64</v>
      </c>
      <c r="AF12" s="138" t="s">
        <v>83</v>
      </c>
      <c r="AG12" s="33" t="s">
        <v>1</v>
      </c>
      <c r="AJ12" s="43"/>
      <c r="BE12" s="43"/>
      <c r="BF12" s="43"/>
      <c r="BG12" s="43"/>
    </row>
    <row r="13" spans="1:59" ht="15.75" customHeight="1" x14ac:dyDescent="0.2">
      <c r="B13" s="56"/>
      <c r="C13" s="56"/>
      <c r="D13" s="56"/>
      <c r="E13" s="56"/>
      <c r="F13" s="56"/>
      <c r="G13" s="56"/>
      <c r="H13" s="56"/>
      <c r="I13" s="57"/>
      <c r="J13" s="57"/>
      <c r="K13" s="56"/>
      <c r="L13" s="56"/>
      <c r="M13" s="56"/>
      <c r="N13" s="54"/>
      <c r="O13" s="54"/>
      <c r="P13" s="54"/>
      <c r="Q13" s="54"/>
      <c r="R13" s="54"/>
      <c r="U13" s="139"/>
      <c r="V13" s="27" t="s">
        <v>62</v>
      </c>
      <c r="W13" s="26" t="s">
        <v>32</v>
      </c>
      <c r="X13" s="26" t="s">
        <v>57</v>
      </c>
      <c r="Y13" s="26" t="s">
        <v>56</v>
      </c>
      <c r="Z13" s="26" t="s">
        <v>55</v>
      </c>
      <c r="AA13" s="26" t="s">
        <v>54</v>
      </c>
      <c r="AB13" s="26" t="s">
        <v>53</v>
      </c>
      <c r="AC13" s="25" t="s">
        <v>52</v>
      </c>
      <c r="AD13" s="139"/>
      <c r="AE13" s="139"/>
      <c r="AF13" s="139"/>
      <c r="AG13" s="34" t="s">
        <v>51</v>
      </c>
      <c r="AH13" s="54"/>
      <c r="AI13" s="54"/>
      <c r="AJ13" s="43"/>
      <c r="BE13" s="43"/>
      <c r="BF13" s="43"/>
      <c r="BG13" s="43"/>
    </row>
    <row r="14" spans="1:59" ht="15.75" customHeight="1" x14ac:dyDescent="0.2">
      <c r="A14" s="113" t="s">
        <v>72</v>
      </c>
      <c r="B14" s="58" t="s">
        <v>71</v>
      </c>
      <c r="C14" s="58" t="s">
        <v>69</v>
      </c>
      <c r="D14" s="58" t="s">
        <v>69</v>
      </c>
      <c r="E14" s="58" t="s">
        <v>70</v>
      </c>
      <c r="F14" s="58" t="s">
        <v>69</v>
      </c>
      <c r="G14" s="58" t="s">
        <v>68</v>
      </c>
      <c r="H14" s="58" t="s">
        <v>68</v>
      </c>
      <c r="I14" s="59"/>
      <c r="J14" s="59"/>
      <c r="K14" s="58" t="s">
        <v>66</v>
      </c>
      <c r="L14" s="58" t="s">
        <v>67</v>
      </c>
      <c r="M14" s="60" t="s">
        <v>66</v>
      </c>
      <c r="N14" s="116" t="s">
        <v>65</v>
      </c>
      <c r="O14" s="116" t="s">
        <v>7</v>
      </c>
      <c r="P14" s="116" t="s">
        <v>64</v>
      </c>
      <c r="Q14" s="116" t="s">
        <v>83</v>
      </c>
      <c r="R14" s="116" t="s">
        <v>63</v>
      </c>
      <c r="U14" s="140"/>
      <c r="V14" s="24" t="s">
        <v>48</v>
      </c>
      <c r="W14" s="101" t="s">
        <v>48</v>
      </c>
      <c r="X14" s="101" t="s">
        <v>82</v>
      </c>
      <c r="Y14" s="101" t="s">
        <v>49</v>
      </c>
      <c r="Z14" s="101" t="s">
        <v>48</v>
      </c>
      <c r="AA14" s="101" t="s">
        <v>81</v>
      </c>
      <c r="AB14" s="101"/>
      <c r="AC14" s="101" t="s">
        <v>81</v>
      </c>
      <c r="AD14" s="140"/>
      <c r="AE14" s="140"/>
      <c r="AF14" s="140"/>
      <c r="AG14" s="102"/>
      <c r="AH14" s="54"/>
      <c r="AI14" s="54"/>
      <c r="AJ14" s="43"/>
      <c r="BE14" s="43"/>
      <c r="BF14" s="43"/>
      <c r="BG14" s="43"/>
    </row>
    <row r="15" spans="1:59" ht="34.5" customHeight="1" x14ac:dyDescent="0.2">
      <c r="A15" s="114"/>
      <c r="B15" s="58" t="s">
        <v>62</v>
      </c>
      <c r="C15" s="58" t="s">
        <v>61</v>
      </c>
      <c r="D15" s="58" t="s">
        <v>60</v>
      </c>
      <c r="E15" s="58" t="s">
        <v>59</v>
      </c>
      <c r="F15" s="58" t="s">
        <v>58</v>
      </c>
      <c r="G15" s="58" t="s">
        <v>57</v>
      </c>
      <c r="H15" s="58" t="s">
        <v>57</v>
      </c>
      <c r="I15" s="58" t="s">
        <v>56</v>
      </c>
      <c r="J15" s="58" t="s">
        <v>55</v>
      </c>
      <c r="K15" s="58" t="s">
        <v>54</v>
      </c>
      <c r="L15" s="58" t="s">
        <v>53</v>
      </c>
      <c r="M15" s="60" t="s">
        <v>52</v>
      </c>
      <c r="N15" s="117"/>
      <c r="O15" s="117"/>
      <c r="P15" s="117"/>
      <c r="Q15" s="117"/>
      <c r="R15" s="117" t="s">
        <v>51</v>
      </c>
      <c r="U15" s="22" t="str">
        <f t="shared" ref="U15:U24" si="0">A17</f>
        <v>A</v>
      </c>
      <c r="V15" s="22">
        <f t="shared" ref="V15:V24" si="1">IF(B17="","",B17)</f>
        <v>44.53</v>
      </c>
      <c r="W15" s="22">
        <f t="shared" ref="W15:W24" si="2">IF(F17="","",F17)</f>
        <v>47.23</v>
      </c>
      <c r="X15" s="22">
        <f t="shared" ref="X15:X24" si="3">IFERROR(H17,"")</f>
        <v>21.220700000000004</v>
      </c>
      <c r="Y15" s="22">
        <f t="shared" ref="Y15:Y24" si="4">IF(I17="","",I17)</f>
        <v>2677.8161676648924</v>
      </c>
      <c r="Z15" s="22">
        <f t="shared" ref="Z15:Z24" si="5">IF(J17="","",J17)</f>
        <v>51.747619922706519</v>
      </c>
      <c r="AA15" s="22">
        <f t="shared" ref="AA15:AA24" si="6">IF(K17="","",K17)</f>
        <v>7.9246291273627145</v>
      </c>
      <c r="AB15" s="22">
        <f t="shared" ref="AB15:AB24" si="7">IF(L17="","",L17)</f>
        <v>1.0155800684099994</v>
      </c>
      <c r="AC15" s="22">
        <f t="shared" ref="AC15:AC24" si="8">IF(M17="","",M17)</f>
        <v>8.0480953912908983</v>
      </c>
      <c r="AD15" s="35" t="str">
        <f t="shared" ref="AD15:AD24" si="9">IF(O17="","",O17)</f>
        <v>Andesita afanítica</v>
      </c>
      <c r="AE15" s="35" t="str">
        <f t="shared" ref="AE15:AE24" si="10">IF(P17="","",P17)</f>
        <v>Zeolitas</v>
      </c>
      <c r="AF15" s="35" t="str">
        <f t="shared" ref="AF15:AF24" si="11">IF(Q17="","",Q17)</f>
        <v>Cloritización y zeolitización</v>
      </c>
      <c r="AG15" s="35" t="str">
        <f t="shared" ref="AG15:AG24" si="12">IF(R17="","",R17)</f>
        <v>Mixta (Válida)</v>
      </c>
      <c r="AH15" s="54"/>
      <c r="AI15" s="54"/>
      <c r="AJ15" s="43"/>
      <c r="BE15" s="43"/>
      <c r="BF15" s="43"/>
      <c r="BG15" s="43"/>
    </row>
    <row r="16" spans="1:59" s="64" customFormat="1" ht="35.1" customHeight="1" x14ac:dyDescent="0.2">
      <c r="A16" s="115"/>
      <c r="B16" s="61" t="s">
        <v>48</v>
      </c>
      <c r="C16" s="61" t="s">
        <v>48</v>
      </c>
      <c r="D16" s="61" t="s">
        <v>48</v>
      </c>
      <c r="E16" s="61" t="s">
        <v>88</v>
      </c>
      <c r="F16" s="61" t="s">
        <v>48</v>
      </c>
      <c r="G16" s="61" t="s">
        <v>8</v>
      </c>
      <c r="H16" s="61" t="s">
        <v>50</v>
      </c>
      <c r="I16" s="61" t="s">
        <v>49</v>
      </c>
      <c r="J16" s="61" t="s">
        <v>48</v>
      </c>
      <c r="K16" s="61" t="s">
        <v>81</v>
      </c>
      <c r="L16" s="62"/>
      <c r="M16" s="63" t="s">
        <v>81</v>
      </c>
      <c r="N16" s="118"/>
      <c r="O16" s="118"/>
      <c r="P16" s="118"/>
      <c r="Q16" s="118"/>
      <c r="R16" s="118"/>
      <c r="U16" s="22" t="str">
        <f t="shared" si="0"/>
        <v>B</v>
      </c>
      <c r="V16" s="22">
        <f t="shared" si="1"/>
        <v>37.17</v>
      </c>
      <c r="W16" s="22">
        <f t="shared" si="2"/>
        <v>44.224999999999994</v>
      </c>
      <c r="X16" s="22">
        <f t="shared" si="3"/>
        <v>8.4581</v>
      </c>
      <c r="Y16" s="22">
        <f t="shared" si="4"/>
        <v>2093.00623124597</v>
      </c>
      <c r="Z16" s="22">
        <f t="shared" si="5"/>
        <v>45.749385036806451</v>
      </c>
      <c r="AA16" s="22">
        <f t="shared" si="6"/>
        <v>4.0411250925731261</v>
      </c>
      <c r="AB16" s="22">
        <f t="shared" si="7"/>
        <v>0.96080856383057467</v>
      </c>
      <c r="AC16" s="22">
        <f t="shared" si="8"/>
        <v>3.8827475964548834</v>
      </c>
      <c r="AD16" s="35" t="str">
        <f t="shared" si="9"/>
        <v>Andesita afanítica</v>
      </c>
      <c r="AE16" s="35" t="str">
        <f t="shared" si="10"/>
        <v>Zeolitas</v>
      </c>
      <c r="AF16" s="35" t="str">
        <f t="shared" si="11"/>
        <v>Cloritización y zeolitización</v>
      </c>
      <c r="AG16" s="35" t="str">
        <f t="shared" si="12"/>
        <v>Mixta (Válida)</v>
      </c>
      <c r="AH16" s="65"/>
      <c r="AI16" s="65"/>
      <c r="AJ16" s="43"/>
      <c r="BE16" s="66"/>
      <c r="BF16" s="66"/>
      <c r="BG16" s="66"/>
    </row>
    <row r="17" spans="1:59" s="64" customFormat="1" ht="35.1" customHeight="1" x14ac:dyDescent="0.2">
      <c r="A17" s="23" t="s">
        <v>47</v>
      </c>
      <c r="B17" s="17">
        <v>44.53</v>
      </c>
      <c r="C17" s="17">
        <v>47.23</v>
      </c>
      <c r="D17" s="17">
        <v>47.23</v>
      </c>
      <c r="E17" s="17">
        <v>873</v>
      </c>
      <c r="F17" s="18">
        <f t="shared" ref="F17:F26" si="13">IFERROR(AVERAGE(C17:D17),"")</f>
        <v>47.23</v>
      </c>
      <c r="G17" s="18">
        <f>(E17*0.0239+0.356)*1000</f>
        <v>21220.700000000004</v>
      </c>
      <c r="H17" s="18">
        <f t="shared" ref="H17:H26" si="14">IFERROR(G17/1000,"")</f>
        <v>21.220700000000004</v>
      </c>
      <c r="I17" s="18">
        <f t="shared" ref="I17:I26" si="15">IFERROR(((B17*F17)*4)/PI(),"")</f>
        <v>2677.8161676648924</v>
      </c>
      <c r="J17" s="18">
        <f t="shared" ref="J17:J26" si="16">IFERROR(SQRT(I17),"")</f>
        <v>51.747619922706519</v>
      </c>
      <c r="K17" s="18">
        <f t="shared" ref="K17:K26" si="17">IFERROR(G17/I17,"")</f>
        <v>7.9246291273627145</v>
      </c>
      <c r="L17" s="18">
        <f t="shared" ref="L17:L26" si="18">IFERROR((J17/50)^0.45,"")</f>
        <v>1.0155800684099994</v>
      </c>
      <c r="M17" s="18">
        <f t="shared" ref="M17:M26" si="19">IFERROR(K17*L17,"")</f>
        <v>8.0480953912908983</v>
      </c>
      <c r="N17" s="18">
        <f t="shared" ref="N17:N26" si="20">IFERROR(B17/F17,"")</f>
        <v>0.94283294516197336</v>
      </c>
      <c r="O17" s="17" t="s">
        <v>96</v>
      </c>
      <c r="P17" s="17" t="s">
        <v>91</v>
      </c>
      <c r="Q17" s="17" t="s">
        <v>97</v>
      </c>
      <c r="R17" s="17" t="s">
        <v>92</v>
      </c>
      <c r="U17" s="22" t="str">
        <f t="shared" si="0"/>
        <v>C</v>
      </c>
      <c r="V17" s="22" t="s">
        <v>94</v>
      </c>
      <c r="W17" s="22" t="s">
        <v>94</v>
      </c>
      <c r="X17" s="22" t="s">
        <v>94</v>
      </c>
      <c r="Y17" s="22" t="s">
        <v>94</v>
      </c>
      <c r="Z17" s="22" t="s">
        <v>94</v>
      </c>
      <c r="AA17" s="22" t="s">
        <v>94</v>
      </c>
      <c r="AB17" s="22" t="s">
        <v>94</v>
      </c>
      <c r="AC17" s="22" t="s">
        <v>94</v>
      </c>
      <c r="AD17" s="22" t="s">
        <v>94</v>
      </c>
      <c r="AE17" s="22" t="s">
        <v>94</v>
      </c>
      <c r="AF17" s="22" t="s">
        <v>94</v>
      </c>
      <c r="AG17" s="22" t="s">
        <v>94</v>
      </c>
      <c r="AH17" s="65"/>
      <c r="AI17" s="65"/>
      <c r="AJ17" s="43"/>
      <c r="BE17" s="66"/>
      <c r="BF17" s="66"/>
      <c r="BG17" s="66"/>
    </row>
    <row r="18" spans="1:59" s="64" customFormat="1" ht="35.1" customHeight="1" x14ac:dyDescent="0.2">
      <c r="A18" s="23" t="s">
        <v>46</v>
      </c>
      <c r="B18" s="17">
        <v>37.17</v>
      </c>
      <c r="C18" s="17">
        <v>46.3</v>
      </c>
      <c r="D18" s="17">
        <v>42.15</v>
      </c>
      <c r="E18" s="17">
        <v>339</v>
      </c>
      <c r="F18" s="18">
        <f t="shared" si="13"/>
        <v>44.224999999999994</v>
      </c>
      <c r="G18" s="18">
        <f t="shared" ref="G18:G26" si="21">(E18*0.0239+0.356)*1000</f>
        <v>8458.1</v>
      </c>
      <c r="H18" s="18">
        <f t="shared" si="14"/>
        <v>8.4581</v>
      </c>
      <c r="I18" s="18">
        <f t="shared" si="15"/>
        <v>2093.00623124597</v>
      </c>
      <c r="J18" s="18">
        <f t="shared" si="16"/>
        <v>45.749385036806451</v>
      </c>
      <c r="K18" s="18">
        <f t="shared" si="17"/>
        <v>4.0411250925731261</v>
      </c>
      <c r="L18" s="18">
        <f t="shared" si="18"/>
        <v>0.96080856383057467</v>
      </c>
      <c r="M18" s="18">
        <f t="shared" si="19"/>
        <v>3.8827475964548834</v>
      </c>
      <c r="N18" s="18">
        <f t="shared" si="20"/>
        <v>0.84047484454494081</v>
      </c>
      <c r="O18" s="17" t="s">
        <v>96</v>
      </c>
      <c r="P18" s="17" t="s">
        <v>91</v>
      </c>
      <c r="Q18" s="17" t="s">
        <v>97</v>
      </c>
      <c r="R18" s="17" t="s">
        <v>92</v>
      </c>
      <c r="U18" s="22" t="str">
        <f t="shared" si="0"/>
        <v>D</v>
      </c>
      <c r="V18" s="22" t="s">
        <v>94</v>
      </c>
      <c r="W18" s="22" t="s">
        <v>94</v>
      </c>
      <c r="X18" s="22" t="s">
        <v>94</v>
      </c>
      <c r="Y18" s="22" t="s">
        <v>94</v>
      </c>
      <c r="Z18" s="22" t="s">
        <v>94</v>
      </c>
      <c r="AA18" s="22" t="s">
        <v>94</v>
      </c>
      <c r="AB18" s="22" t="s">
        <v>94</v>
      </c>
      <c r="AC18" s="22" t="s">
        <v>94</v>
      </c>
      <c r="AD18" s="22" t="s">
        <v>94</v>
      </c>
      <c r="AE18" s="22" t="s">
        <v>94</v>
      </c>
      <c r="AF18" s="22" t="s">
        <v>94</v>
      </c>
      <c r="AG18" s="22" t="s">
        <v>94</v>
      </c>
      <c r="AH18" s="65"/>
      <c r="AI18" s="65"/>
      <c r="AJ18" s="43"/>
      <c r="BE18" s="66"/>
      <c r="BF18" s="66"/>
      <c r="BG18" s="66"/>
    </row>
    <row r="19" spans="1:59" s="64" customFormat="1" ht="35.1" customHeight="1" x14ac:dyDescent="0.2">
      <c r="A19" s="23" t="s">
        <v>45</v>
      </c>
      <c r="B19" s="17"/>
      <c r="C19" s="17"/>
      <c r="D19" s="17"/>
      <c r="E19" s="17"/>
      <c r="F19" s="18" t="str">
        <f t="shared" si="13"/>
        <v/>
      </c>
      <c r="G19" s="18">
        <f t="shared" si="21"/>
        <v>356</v>
      </c>
      <c r="H19" s="18">
        <f t="shared" si="14"/>
        <v>0.35599999999999998</v>
      </c>
      <c r="I19" s="18" t="str">
        <f t="shared" si="15"/>
        <v/>
      </c>
      <c r="J19" s="18" t="str">
        <f t="shared" si="16"/>
        <v/>
      </c>
      <c r="K19" s="18" t="str">
        <f t="shared" si="17"/>
        <v/>
      </c>
      <c r="L19" s="18" t="str">
        <f t="shared" si="18"/>
        <v/>
      </c>
      <c r="M19" s="18" t="str">
        <f t="shared" si="19"/>
        <v/>
      </c>
      <c r="N19" s="18" t="str">
        <f t="shared" si="20"/>
        <v/>
      </c>
      <c r="O19" s="17"/>
      <c r="P19" s="17"/>
      <c r="Q19" s="17"/>
      <c r="R19" s="17"/>
      <c r="U19" s="22" t="str">
        <f t="shared" si="0"/>
        <v>E</v>
      </c>
      <c r="V19" s="22" t="s">
        <v>94</v>
      </c>
      <c r="W19" s="22" t="s">
        <v>94</v>
      </c>
      <c r="X19" s="22" t="s">
        <v>94</v>
      </c>
      <c r="Y19" s="22" t="s">
        <v>94</v>
      </c>
      <c r="Z19" s="22" t="s">
        <v>94</v>
      </c>
      <c r="AA19" s="22" t="s">
        <v>94</v>
      </c>
      <c r="AB19" s="22" t="s">
        <v>94</v>
      </c>
      <c r="AC19" s="22" t="s">
        <v>94</v>
      </c>
      <c r="AD19" s="22" t="s">
        <v>94</v>
      </c>
      <c r="AE19" s="22" t="s">
        <v>94</v>
      </c>
      <c r="AF19" s="22" t="s">
        <v>94</v>
      </c>
      <c r="AG19" s="22" t="s">
        <v>94</v>
      </c>
      <c r="AH19" s="65"/>
      <c r="AI19" s="65"/>
      <c r="AJ19" s="43"/>
      <c r="AL19" s="67"/>
      <c r="AM19" s="67"/>
      <c r="AN19" s="67"/>
      <c r="AO19" s="67"/>
      <c r="AP19" s="67"/>
      <c r="AQ19" s="67"/>
      <c r="BE19" s="66"/>
      <c r="BF19" s="66"/>
      <c r="BG19" s="66"/>
    </row>
    <row r="20" spans="1:59" s="64" customFormat="1" ht="35.1" customHeight="1" x14ac:dyDescent="0.2">
      <c r="A20" s="23" t="s">
        <v>44</v>
      </c>
      <c r="B20" s="17"/>
      <c r="C20" s="17"/>
      <c r="D20" s="17"/>
      <c r="E20" s="17"/>
      <c r="F20" s="18" t="str">
        <f t="shared" si="13"/>
        <v/>
      </c>
      <c r="G20" s="18">
        <f t="shared" si="21"/>
        <v>356</v>
      </c>
      <c r="H20" s="18">
        <f t="shared" si="14"/>
        <v>0.35599999999999998</v>
      </c>
      <c r="I20" s="18" t="str">
        <f t="shared" si="15"/>
        <v/>
      </c>
      <c r="J20" s="18" t="str">
        <f t="shared" si="16"/>
        <v/>
      </c>
      <c r="K20" s="18" t="str">
        <f t="shared" si="17"/>
        <v/>
      </c>
      <c r="L20" s="18" t="str">
        <f t="shared" si="18"/>
        <v/>
      </c>
      <c r="M20" s="18" t="str">
        <f t="shared" si="19"/>
        <v/>
      </c>
      <c r="N20" s="18" t="str">
        <f t="shared" si="20"/>
        <v/>
      </c>
      <c r="O20" s="17"/>
      <c r="P20" s="17"/>
      <c r="Q20" s="17"/>
      <c r="R20" s="17"/>
      <c r="U20" s="22" t="str">
        <f t="shared" si="0"/>
        <v>F</v>
      </c>
      <c r="V20" s="22" t="s">
        <v>94</v>
      </c>
      <c r="W20" s="22" t="s">
        <v>94</v>
      </c>
      <c r="X20" s="22" t="s">
        <v>94</v>
      </c>
      <c r="Y20" s="22" t="s">
        <v>94</v>
      </c>
      <c r="Z20" s="22" t="s">
        <v>94</v>
      </c>
      <c r="AA20" s="22" t="s">
        <v>94</v>
      </c>
      <c r="AB20" s="22" t="s">
        <v>94</v>
      </c>
      <c r="AC20" s="22" t="s">
        <v>94</v>
      </c>
      <c r="AD20" s="22" t="s">
        <v>94</v>
      </c>
      <c r="AE20" s="22" t="s">
        <v>94</v>
      </c>
      <c r="AF20" s="22" t="s">
        <v>94</v>
      </c>
      <c r="AG20" s="22" t="s">
        <v>94</v>
      </c>
      <c r="AH20" s="65"/>
      <c r="AI20" s="65"/>
      <c r="AJ20" s="43"/>
      <c r="AL20" s="68"/>
      <c r="AM20" s="69"/>
      <c r="AN20" s="109" t="s">
        <v>85</v>
      </c>
      <c r="AO20" s="109"/>
      <c r="AP20" s="69"/>
      <c r="AQ20" s="69"/>
      <c r="BE20" s="66"/>
      <c r="BF20" s="66"/>
      <c r="BG20" s="66"/>
    </row>
    <row r="21" spans="1:59" s="64" customFormat="1" ht="35.1" customHeight="1" x14ac:dyDescent="0.2">
      <c r="A21" s="23" t="s">
        <v>43</v>
      </c>
      <c r="B21" s="17"/>
      <c r="C21" s="17"/>
      <c r="D21" s="17"/>
      <c r="E21" s="17"/>
      <c r="F21" s="18" t="str">
        <f t="shared" si="13"/>
        <v/>
      </c>
      <c r="G21" s="18">
        <f t="shared" si="21"/>
        <v>356</v>
      </c>
      <c r="H21" s="18">
        <f t="shared" si="14"/>
        <v>0.35599999999999998</v>
      </c>
      <c r="I21" s="18" t="str">
        <f t="shared" si="15"/>
        <v/>
      </c>
      <c r="J21" s="18" t="str">
        <f t="shared" si="16"/>
        <v/>
      </c>
      <c r="K21" s="18" t="str">
        <f t="shared" si="17"/>
        <v/>
      </c>
      <c r="L21" s="18" t="str">
        <f t="shared" si="18"/>
        <v/>
      </c>
      <c r="M21" s="18" t="str">
        <f t="shared" si="19"/>
        <v/>
      </c>
      <c r="N21" s="18" t="str">
        <f t="shared" si="20"/>
        <v/>
      </c>
      <c r="O21" s="17"/>
      <c r="P21" s="17"/>
      <c r="Q21" s="17"/>
      <c r="R21" s="17"/>
      <c r="U21" s="22" t="str">
        <f t="shared" si="0"/>
        <v>G</v>
      </c>
      <c r="V21" s="22" t="s">
        <v>94</v>
      </c>
      <c r="W21" s="22" t="s">
        <v>94</v>
      </c>
      <c r="X21" s="22" t="s">
        <v>94</v>
      </c>
      <c r="Y21" s="22" t="s">
        <v>94</v>
      </c>
      <c r="Z21" s="22" t="s">
        <v>94</v>
      </c>
      <c r="AA21" s="22" t="s">
        <v>94</v>
      </c>
      <c r="AB21" s="22" t="s">
        <v>94</v>
      </c>
      <c r="AC21" s="22" t="s">
        <v>94</v>
      </c>
      <c r="AD21" s="22" t="s">
        <v>94</v>
      </c>
      <c r="AE21" s="22" t="s">
        <v>94</v>
      </c>
      <c r="AF21" s="22" t="s">
        <v>94</v>
      </c>
      <c r="AG21" s="22" t="s">
        <v>94</v>
      </c>
      <c r="AH21" s="65"/>
      <c r="AI21" s="65"/>
      <c r="AJ21" s="43"/>
      <c r="BE21" s="66"/>
      <c r="BF21" s="66"/>
      <c r="BG21" s="66"/>
    </row>
    <row r="22" spans="1:59" s="64" customFormat="1" ht="35.1" customHeight="1" x14ac:dyDescent="0.2">
      <c r="A22" s="23" t="s">
        <v>42</v>
      </c>
      <c r="B22" s="17"/>
      <c r="C22" s="17"/>
      <c r="D22" s="17"/>
      <c r="E22" s="17"/>
      <c r="F22" s="18" t="str">
        <f t="shared" si="13"/>
        <v/>
      </c>
      <c r="G22" s="18">
        <f t="shared" si="21"/>
        <v>356</v>
      </c>
      <c r="H22" s="18">
        <f t="shared" si="14"/>
        <v>0.35599999999999998</v>
      </c>
      <c r="I22" s="18" t="str">
        <f t="shared" si="15"/>
        <v/>
      </c>
      <c r="J22" s="18" t="str">
        <f t="shared" si="16"/>
        <v/>
      </c>
      <c r="K22" s="18" t="str">
        <f t="shared" si="17"/>
        <v/>
      </c>
      <c r="L22" s="18" t="str">
        <f t="shared" si="18"/>
        <v/>
      </c>
      <c r="M22" s="18" t="str">
        <f t="shared" si="19"/>
        <v/>
      </c>
      <c r="N22" s="18" t="str">
        <f t="shared" si="20"/>
        <v/>
      </c>
      <c r="O22" s="17"/>
      <c r="P22" s="17"/>
      <c r="Q22" s="17"/>
      <c r="R22" s="17"/>
      <c r="U22" s="22" t="str">
        <f t="shared" si="0"/>
        <v>H</v>
      </c>
      <c r="V22" s="22" t="s">
        <v>94</v>
      </c>
      <c r="W22" s="22" t="s">
        <v>94</v>
      </c>
      <c r="X22" s="22" t="s">
        <v>94</v>
      </c>
      <c r="Y22" s="22" t="s">
        <v>94</v>
      </c>
      <c r="Z22" s="22" t="s">
        <v>94</v>
      </c>
      <c r="AA22" s="22" t="s">
        <v>94</v>
      </c>
      <c r="AB22" s="22" t="s">
        <v>94</v>
      </c>
      <c r="AC22" s="22" t="s">
        <v>94</v>
      </c>
      <c r="AD22" s="22" t="s">
        <v>94</v>
      </c>
      <c r="AE22" s="22" t="s">
        <v>94</v>
      </c>
      <c r="AF22" s="22" t="s">
        <v>94</v>
      </c>
      <c r="AG22" s="22" t="s">
        <v>94</v>
      </c>
      <c r="AH22" s="65"/>
      <c r="AI22" s="65"/>
      <c r="AJ22" s="43"/>
      <c r="AM22" s="70"/>
      <c r="AO22" s="70"/>
      <c r="AP22" s="69"/>
      <c r="BE22" s="66"/>
      <c r="BF22" s="66"/>
      <c r="BG22" s="66"/>
    </row>
    <row r="23" spans="1:59" s="64" customFormat="1" ht="35.1" customHeight="1" x14ac:dyDescent="0.2">
      <c r="A23" s="23" t="s">
        <v>41</v>
      </c>
      <c r="B23" s="17"/>
      <c r="C23" s="17"/>
      <c r="D23" s="17"/>
      <c r="E23" s="17"/>
      <c r="F23" s="18" t="str">
        <f t="shared" si="13"/>
        <v/>
      </c>
      <c r="G23" s="18">
        <f t="shared" si="21"/>
        <v>356</v>
      </c>
      <c r="H23" s="18">
        <f t="shared" si="14"/>
        <v>0.35599999999999998</v>
      </c>
      <c r="I23" s="18" t="str">
        <f t="shared" si="15"/>
        <v/>
      </c>
      <c r="J23" s="18" t="str">
        <f t="shared" si="16"/>
        <v/>
      </c>
      <c r="K23" s="18" t="str">
        <f t="shared" si="17"/>
        <v/>
      </c>
      <c r="L23" s="18" t="str">
        <f t="shared" si="18"/>
        <v/>
      </c>
      <c r="M23" s="18" t="str">
        <f t="shared" si="19"/>
        <v/>
      </c>
      <c r="N23" s="18" t="str">
        <f t="shared" si="20"/>
        <v/>
      </c>
      <c r="O23" s="17"/>
      <c r="P23" s="17"/>
      <c r="Q23" s="17"/>
      <c r="R23" s="17"/>
      <c r="U23" s="22" t="str">
        <f t="shared" si="0"/>
        <v>I</v>
      </c>
      <c r="V23" s="22" t="s">
        <v>94</v>
      </c>
      <c r="W23" s="22" t="s">
        <v>94</v>
      </c>
      <c r="X23" s="22" t="s">
        <v>94</v>
      </c>
      <c r="Y23" s="22" t="s">
        <v>94</v>
      </c>
      <c r="Z23" s="22" t="s">
        <v>94</v>
      </c>
      <c r="AA23" s="22" t="s">
        <v>94</v>
      </c>
      <c r="AB23" s="22" t="s">
        <v>94</v>
      </c>
      <c r="AC23" s="22" t="s">
        <v>94</v>
      </c>
      <c r="AD23" s="22" t="s">
        <v>94</v>
      </c>
      <c r="AE23" s="22" t="s">
        <v>94</v>
      </c>
      <c r="AF23" s="22" t="s">
        <v>94</v>
      </c>
      <c r="AG23" s="22" t="s">
        <v>94</v>
      </c>
      <c r="AH23" s="65"/>
      <c r="AI23" s="65"/>
      <c r="AJ23" s="43"/>
      <c r="AM23" s="69"/>
      <c r="AN23" s="69"/>
      <c r="AO23" s="69"/>
      <c r="AP23" s="69"/>
      <c r="BE23" s="71"/>
      <c r="BF23" s="66"/>
      <c r="BG23" s="66"/>
    </row>
    <row r="24" spans="1:59" s="64" customFormat="1" ht="35.1" customHeight="1" x14ac:dyDescent="0.2">
      <c r="A24" s="23" t="s">
        <v>40</v>
      </c>
      <c r="B24" s="17"/>
      <c r="C24" s="17"/>
      <c r="D24" s="17"/>
      <c r="E24" s="17"/>
      <c r="F24" s="18" t="str">
        <f t="shared" si="13"/>
        <v/>
      </c>
      <c r="G24" s="18">
        <f t="shared" si="21"/>
        <v>356</v>
      </c>
      <c r="H24" s="18">
        <f t="shared" si="14"/>
        <v>0.35599999999999998</v>
      </c>
      <c r="I24" s="18" t="str">
        <f t="shared" si="15"/>
        <v/>
      </c>
      <c r="J24" s="18" t="str">
        <f t="shared" si="16"/>
        <v/>
      </c>
      <c r="K24" s="18" t="str">
        <f t="shared" si="17"/>
        <v/>
      </c>
      <c r="L24" s="18" t="str">
        <f t="shared" si="18"/>
        <v/>
      </c>
      <c r="M24" s="18" t="str">
        <f t="shared" si="19"/>
        <v/>
      </c>
      <c r="N24" s="18" t="str">
        <f t="shared" si="20"/>
        <v/>
      </c>
      <c r="O24" s="17"/>
      <c r="P24" s="17"/>
      <c r="Q24" s="17"/>
      <c r="R24" s="17"/>
      <c r="U24" s="22" t="str">
        <f t="shared" si="0"/>
        <v>J</v>
      </c>
      <c r="V24" s="22" t="s">
        <v>94</v>
      </c>
      <c r="W24" s="22" t="s">
        <v>94</v>
      </c>
      <c r="X24" s="22" t="s">
        <v>94</v>
      </c>
      <c r="Y24" s="22" t="s">
        <v>94</v>
      </c>
      <c r="Z24" s="22" t="s">
        <v>94</v>
      </c>
      <c r="AA24" s="22" t="s">
        <v>94</v>
      </c>
      <c r="AB24" s="22" t="s">
        <v>94</v>
      </c>
      <c r="AC24" s="22" t="s">
        <v>94</v>
      </c>
      <c r="AD24" s="22" t="s">
        <v>94</v>
      </c>
      <c r="AE24" s="22" t="s">
        <v>94</v>
      </c>
      <c r="AF24" s="22" t="s">
        <v>94</v>
      </c>
      <c r="AG24" s="22" t="s">
        <v>94</v>
      </c>
      <c r="AH24" s="65"/>
      <c r="AI24" s="65"/>
      <c r="AJ24" s="43"/>
      <c r="AS24" s="21"/>
      <c r="AT24" s="20"/>
      <c r="AU24" s="20"/>
      <c r="AV24" s="20"/>
      <c r="AW24" s="20"/>
      <c r="AX24" s="20"/>
      <c r="AY24" s="66"/>
      <c r="AZ24" s="72"/>
      <c r="BA24" s="66"/>
      <c r="BB24" s="66"/>
      <c r="BC24" s="73"/>
      <c r="BD24" s="74"/>
      <c r="BE24" s="71"/>
      <c r="BF24" s="66"/>
      <c r="BG24" s="66"/>
    </row>
    <row r="25" spans="1:59" s="64" customFormat="1" ht="35.1" customHeight="1" x14ac:dyDescent="0.2">
      <c r="A25" s="23" t="s">
        <v>39</v>
      </c>
      <c r="B25" s="17"/>
      <c r="C25" s="17"/>
      <c r="D25" s="17"/>
      <c r="E25" s="17"/>
      <c r="F25" s="18" t="str">
        <f t="shared" si="13"/>
        <v/>
      </c>
      <c r="G25" s="18">
        <f t="shared" si="21"/>
        <v>356</v>
      </c>
      <c r="H25" s="18">
        <f t="shared" si="14"/>
        <v>0.35599999999999998</v>
      </c>
      <c r="I25" s="18" t="str">
        <f t="shared" si="15"/>
        <v/>
      </c>
      <c r="J25" s="18" t="str">
        <f t="shared" si="16"/>
        <v/>
      </c>
      <c r="K25" s="18" t="str">
        <f t="shared" si="17"/>
        <v/>
      </c>
      <c r="L25" s="18" t="str">
        <f t="shared" si="18"/>
        <v/>
      </c>
      <c r="M25" s="18" t="str">
        <f t="shared" si="19"/>
        <v/>
      </c>
      <c r="N25" s="18" t="str">
        <f t="shared" si="20"/>
        <v/>
      </c>
      <c r="O25" s="17"/>
      <c r="P25" s="17"/>
      <c r="Q25" s="17"/>
      <c r="R25" s="17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65"/>
      <c r="AI25" s="65"/>
      <c r="AJ25" s="43"/>
      <c r="AS25" s="21"/>
      <c r="AT25" s="20"/>
      <c r="AU25" s="20"/>
      <c r="AV25" s="20"/>
      <c r="AW25" s="20"/>
      <c r="AX25" s="20"/>
      <c r="AY25" s="66"/>
      <c r="AZ25" s="72"/>
      <c r="BA25" s="66"/>
      <c r="BB25" s="66"/>
      <c r="BC25" s="73"/>
      <c r="BD25" s="74"/>
      <c r="BE25" s="71"/>
      <c r="BF25" s="66"/>
      <c r="BG25" s="66"/>
    </row>
    <row r="26" spans="1:59" s="64" customFormat="1" ht="35.1" customHeight="1" x14ac:dyDescent="0.2">
      <c r="A26" s="23" t="s">
        <v>38</v>
      </c>
      <c r="B26" s="17"/>
      <c r="C26" s="17"/>
      <c r="D26" s="17"/>
      <c r="E26" s="17"/>
      <c r="F26" s="18" t="str">
        <f t="shared" si="13"/>
        <v/>
      </c>
      <c r="G26" s="18">
        <f t="shared" si="21"/>
        <v>356</v>
      </c>
      <c r="H26" s="18">
        <f t="shared" si="14"/>
        <v>0.35599999999999998</v>
      </c>
      <c r="I26" s="18" t="str">
        <f t="shared" si="15"/>
        <v/>
      </c>
      <c r="J26" s="18" t="str">
        <f t="shared" si="16"/>
        <v/>
      </c>
      <c r="K26" s="18" t="str">
        <f t="shared" si="17"/>
        <v/>
      </c>
      <c r="L26" s="18" t="str">
        <f t="shared" si="18"/>
        <v/>
      </c>
      <c r="M26" s="18" t="str">
        <f t="shared" si="19"/>
        <v/>
      </c>
      <c r="N26" s="18" t="str">
        <f t="shared" si="20"/>
        <v/>
      </c>
      <c r="O26" s="17"/>
      <c r="P26" s="17"/>
      <c r="Q26" s="17"/>
      <c r="R26" s="17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65"/>
      <c r="AJ26" s="43"/>
      <c r="AS26" s="21"/>
      <c r="AT26" s="20"/>
      <c r="AU26" s="20"/>
      <c r="AV26" s="20"/>
      <c r="AW26" s="20"/>
      <c r="AX26" s="20"/>
      <c r="AY26" s="66"/>
      <c r="AZ26" s="72"/>
      <c r="BA26" s="66"/>
      <c r="BB26" s="66"/>
      <c r="BC26" s="73"/>
      <c r="BD26" s="74"/>
      <c r="BE26" s="71"/>
      <c r="BF26" s="66"/>
      <c r="BG26" s="66"/>
    </row>
    <row r="27" spans="1:59" ht="35.1" hidden="1" customHeight="1" x14ac:dyDescent="0.2">
      <c r="A27" s="75"/>
      <c r="B27" s="17"/>
      <c r="C27" s="17"/>
      <c r="D27" s="17"/>
      <c r="E27" s="17"/>
      <c r="F27" s="23"/>
      <c r="G27" s="23"/>
      <c r="H27" s="23"/>
      <c r="I27" s="23"/>
      <c r="J27" s="23"/>
      <c r="K27" s="23"/>
      <c r="L27" s="23"/>
      <c r="M27" s="23"/>
      <c r="N27" s="23"/>
      <c r="O27" s="17"/>
      <c r="P27" s="17"/>
      <c r="Q27" s="17"/>
      <c r="R27" s="17"/>
      <c r="Y27" s="36"/>
      <c r="Z27" s="36"/>
      <c r="AJ27" s="43"/>
      <c r="AS27" s="13"/>
      <c r="AT27" s="12"/>
      <c r="AU27" s="12"/>
      <c r="AV27" s="12"/>
      <c r="AW27" s="12"/>
      <c r="AX27" s="12"/>
      <c r="AY27" s="43"/>
      <c r="AZ27" s="76"/>
      <c r="BA27" s="43"/>
      <c r="BB27" s="43"/>
      <c r="BC27" s="77"/>
      <c r="BD27" s="78"/>
      <c r="BE27" s="79"/>
      <c r="BF27" s="43"/>
      <c r="BG27" s="43"/>
    </row>
    <row r="28" spans="1:59" ht="35.1" hidden="1" customHeight="1" x14ac:dyDescent="0.2">
      <c r="A28" s="75"/>
      <c r="B28" s="19"/>
      <c r="C28" s="17"/>
      <c r="D28" s="17"/>
      <c r="E28" s="17"/>
      <c r="F28" s="23"/>
      <c r="G28" s="23"/>
      <c r="H28" s="23"/>
      <c r="I28" s="23"/>
      <c r="J28" s="23"/>
      <c r="K28" s="23"/>
      <c r="L28" s="23"/>
      <c r="M28" s="23"/>
      <c r="N28" s="23"/>
      <c r="O28" s="17"/>
      <c r="P28" s="17"/>
      <c r="Q28" s="17"/>
      <c r="R28" s="17"/>
      <c r="Y28" s="36"/>
      <c r="Z28" s="36"/>
      <c r="AJ28" s="43"/>
      <c r="AS28" s="13"/>
      <c r="AT28" s="12"/>
      <c r="AU28" s="12"/>
      <c r="AV28" s="12"/>
      <c r="AW28" s="12"/>
      <c r="AX28" s="12"/>
      <c r="AY28" s="43"/>
      <c r="AZ28" s="76"/>
      <c r="BA28" s="43"/>
      <c r="BB28" s="43"/>
      <c r="BC28" s="77"/>
      <c r="BD28" s="78"/>
      <c r="BE28" s="79"/>
      <c r="BF28" s="43"/>
      <c r="BG28" s="43"/>
    </row>
    <row r="29" spans="1:59" ht="35.1" hidden="1" customHeight="1" x14ac:dyDescent="0.2">
      <c r="A29" s="75"/>
      <c r="B29" s="17"/>
      <c r="C29" s="17"/>
      <c r="D29" s="17"/>
      <c r="E29" s="17"/>
      <c r="F29" s="23"/>
      <c r="G29" s="23"/>
      <c r="H29" s="23"/>
      <c r="I29" s="23"/>
      <c r="J29" s="23"/>
      <c r="K29" s="23"/>
      <c r="L29" s="23"/>
      <c r="M29" s="23"/>
      <c r="N29" s="23"/>
      <c r="O29" s="17"/>
      <c r="P29" s="17"/>
      <c r="Q29" s="17"/>
      <c r="R29" s="17"/>
      <c r="Y29" s="36"/>
      <c r="Z29" s="36"/>
      <c r="AJ29" s="43"/>
      <c r="AS29" s="13"/>
      <c r="AT29" s="12"/>
      <c r="AU29" s="12"/>
      <c r="AV29" s="12"/>
      <c r="AW29" s="12"/>
      <c r="AX29" s="12"/>
      <c r="AY29" s="12"/>
      <c r="AZ29" s="12"/>
      <c r="BA29" s="80"/>
      <c r="BB29" s="81"/>
      <c r="BC29" s="77"/>
      <c r="BD29" s="78"/>
      <c r="BE29" s="79"/>
      <c r="BF29" s="43"/>
      <c r="BG29" s="43"/>
    </row>
    <row r="30" spans="1:59" ht="35.1" hidden="1" customHeight="1" x14ac:dyDescent="0.2">
      <c r="A30" s="75"/>
      <c r="B30" s="19"/>
      <c r="C30" s="17"/>
      <c r="D30" s="17"/>
      <c r="E30" s="17"/>
      <c r="F30" s="23"/>
      <c r="G30" s="23"/>
      <c r="H30" s="23"/>
      <c r="I30" s="23"/>
      <c r="J30" s="23"/>
      <c r="K30" s="23"/>
      <c r="L30" s="23"/>
      <c r="M30" s="23"/>
      <c r="N30" s="23"/>
      <c r="O30" s="17"/>
      <c r="P30" s="17"/>
      <c r="Q30" s="17"/>
      <c r="R30" s="17"/>
      <c r="Y30" s="36"/>
      <c r="Z30" s="36"/>
      <c r="AJ30" s="43"/>
      <c r="AS30" s="13"/>
      <c r="AT30" s="12"/>
      <c r="AU30" s="12"/>
      <c r="AV30" s="12"/>
      <c r="AW30" s="12"/>
      <c r="AX30" s="12"/>
      <c r="AY30" s="82"/>
      <c r="AZ30" s="12"/>
      <c r="BA30" s="80"/>
      <c r="BB30" s="83"/>
      <c r="BC30" s="77"/>
      <c r="BD30" s="78"/>
      <c r="BE30" s="79"/>
      <c r="BF30" s="43"/>
      <c r="BG30" s="43"/>
    </row>
    <row r="31" spans="1:59" ht="35.1" hidden="1" customHeight="1" x14ac:dyDescent="0.2">
      <c r="A31" s="75"/>
      <c r="B31" s="17"/>
      <c r="C31" s="17"/>
      <c r="D31" s="17"/>
      <c r="E31" s="17"/>
      <c r="F31" s="23"/>
      <c r="G31" s="23"/>
      <c r="H31" s="23"/>
      <c r="I31" s="23"/>
      <c r="J31" s="23"/>
      <c r="K31" s="23"/>
      <c r="L31" s="23"/>
      <c r="M31" s="23"/>
      <c r="N31" s="23"/>
      <c r="O31" s="17"/>
      <c r="P31" s="17"/>
      <c r="Q31" s="17"/>
      <c r="R31" s="17"/>
      <c r="Y31" s="36"/>
      <c r="Z31" s="36"/>
      <c r="AJ31" s="43"/>
      <c r="AN31" s="37" t="s">
        <v>37</v>
      </c>
      <c r="AS31" s="13"/>
      <c r="AT31" s="12"/>
      <c r="AU31" s="12"/>
      <c r="AV31" s="12"/>
      <c r="AW31" s="12"/>
      <c r="AX31" s="12"/>
      <c r="AY31" s="82"/>
      <c r="AZ31" s="12"/>
      <c r="BA31" s="80"/>
      <c r="BB31" s="83"/>
      <c r="BC31" s="77"/>
      <c r="BD31" s="78"/>
      <c r="BE31" s="79"/>
      <c r="BF31" s="43"/>
      <c r="BG31" s="43"/>
    </row>
    <row r="32" spans="1:59" ht="35.1" hidden="1" customHeight="1" x14ac:dyDescent="0.2">
      <c r="A32" s="75"/>
      <c r="B32" s="19"/>
      <c r="C32" s="17"/>
      <c r="D32" s="17"/>
      <c r="E32" s="17"/>
      <c r="F32" s="23"/>
      <c r="G32" s="23"/>
      <c r="H32" s="23"/>
      <c r="I32" s="23"/>
      <c r="J32" s="23"/>
      <c r="K32" s="23"/>
      <c r="L32" s="23"/>
      <c r="M32" s="23"/>
      <c r="N32" s="23"/>
      <c r="O32" s="17"/>
      <c r="P32" s="17"/>
      <c r="Q32" s="17"/>
      <c r="R32" s="17"/>
      <c r="Y32" s="36"/>
      <c r="Z32" s="36"/>
      <c r="AJ32" s="43"/>
      <c r="AS32" s="13"/>
      <c r="AT32" s="12"/>
      <c r="AU32" s="12"/>
      <c r="AV32" s="12"/>
      <c r="AW32" s="12"/>
      <c r="AX32" s="12"/>
      <c r="AY32" s="82"/>
      <c r="AZ32" s="12"/>
      <c r="BA32" s="80"/>
      <c r="BB32" s="83"/>
      <c r="BC32" s="77"/>
      <c r="BD32" s="78"/>
      <c r="BE32" s="79"/>
      <c r="BF32" s="43"/>
      <c r="BG32" s="43"/>
    </row>
    <row r="33" spans="1:59" ht="35.1" hidden="1" customHeight="1" x14ac:dyDescent="0.2">
      <c r="A33" s="75"/>
      <c r="B33" s="19"/>
      <c r="C33" s="17"/>
      <c r="D33" s="17"/>
      <c r="E33" s="17"/>
      <c r="F33" s="23"/>
      <c r="G33" s="23"/>
      <c r="H33" s="23"/>
      <c r="I33" s="23"/>
      <c r="J33" s="23"/>
      <c r="K33" s="23"/>
      <c r="L33" s="23"/>
      <c r="M33" s="23"/>
      <c r="N33" s="23"/>
      <c r="O33" s="17"/>
      <c r="P33" s="17"/>
      <c r="Q33" s="17"/>
      <c r="R33" s="17"/>
      <c r="Y33" s="36"/>
      <c r="Z33" s="36"/>
      <c r="AJ33" s="43"/>
      <c r="AS33" s="13"/>
      <c r="AT33" s="12"/>
      <c r="AU33" s="12"/>
      <c r="AV33" s="12"/>
      <c r="AW33" s="12"/>
      <c r="AX33" s="12"/>
      <c r="AY33" s="82"/>
      <c r="AZ33" s="12"/>
      <c r="BA33" s="80"/>
      <c r="BB33" s="83"/>
      <c r="BC33" s="77"/>
      <c r="BD33" s="78"/>
      <c r="BE33" s="79"/>
      <c r="BF33" s="43"/>
      <c r="BG33" s="43"/>
    </row>
    <row r="34" spans="1:59" ht="35.1" hidden="1" customHeight="1" x14ac:dyDescent="0.2">
      <c r="A34" s="75"/>
      <c r="B34" s="19"/>
      <c r="C34" s="17"/>
      <c r="D34" s="17"/>
      <c r="E34" s="17"/>
      <c r="F34" s="23"/>
      <c r="G34" s="23"/>
      <c r="H34" s="23"/>
      <c r="I34" s="23"/>
      <c r="J34" s="23"/>
      <c r="K34" s="23"/>
      <c r="L34" s="23"/>
      <c r="M34" s="23"/>
      <c r="N34" s="23"/>
      <c r="O34" s="17"/>
      <c r="P34" s="17"/>
      <c r="Q34" s="17"/>
      <c r="R34" s="17"/>
      <c r="Y34" s="36"/>
      <c r="Z34" s="36"/>
      <c r="AJ34" s="43"/>
      <c r="AS34" s="13"/>
      <c r="AT34" s="12"/>
      <c r="AU34" s="12"/>
      <c r="AV34" s="12"/>
      <c r="AW34" s="12"/>
      <c r="AX34" s="12"/>
      <c r="AY34" s="82"/>
      <c r="AZ34" s="12"/>
      <c r="BA34" s="80"/>
      <c r="BB34" s="83"/>
      <c r="BC34" s="77"/>
      <c r="BD34" s="78"/>
      <c r="BE34" s="79"/>
      <c r="BF34" s="43"/>
      <c r="BG34" s="43"/>
    </row>
    <row r="35" spans="1:59" ht="35.1" hidden="1" customHeight="1" x14ac:dyDescent="0.2">
      <c r="A35" s="75"/>
      <c r="B35" s="19"/>
      <c r="C35" s="17"/>
      <c r="D35" s="17"/>
      <c r="E35" s="17"/>
      <c r="F35" s="23"/>
      <c r="G35" s="23"/>
      <c r="H35" s="23"/>
      <c r="I35" s="23"/>
      <c r="J35" s="23"/>
      <c r="K35" s="23"/>
      <c r="L35" s="23"/>
      <c r="M35" s="23"/>
      <c r="N35" s="23"/>
      <c r="O35" s="17"/>
      <c r="P35" s="17"/>
      <c r="Q35" s="17"/>
      <c r="R35" s="17"/>
      <c r="Y35" s="36"/>
      <c r="Z35" s="36"/>
      <c r="AJ35" s="43"/>
      <c r="AL35" s="84"/>
      <c r="AM35" s="84"/>
      <c r="AN35" s="84"/>
      <c r="AO35" s="84"/>
      <c r="AP35" s="84"/>
      <c r="AQ35" s="84"/>
      <c r="AS35" s="13"/>
      <c r="AT35" s="12"/>
      <c r="AU35" s="12"/>
      <c r="AV35" s="12"/>
      <c r="AW35" s="12"/>
      <c r="AX35" s="12"/>
      <c r="AY35" s="12"/>
      <c r="AZ35" s="12"/>
      <c r="BA35" s="80"/>
      <c r="BB35" s="81"/>
      <c r="BC35" s="77"/>
      <c r="BD35" s="78"/>
      <c r="BE35" s="80"/>
      <c r="BF35" s="43"/>
      <c r="BG35" s="43"/>
    </row>
    <row r="36" spans="1:59" ht="35.1" hidden="1" customHeight="1" x14ac:dyDescent="0.2">
      <c r="A36" s="75"/>
      <c r="B36" s="19"/>
      <c r="C36" s="17"/>
      <c r="D36" s="17"/>
      <c r="E36" s="17"/>
      <c r="F36" s="23"/>
      <c r="G36" s="23"/>
      <c r="H36" s="23"/>
      <c r="I36" s="23"/>
      <c r="J36" s="23"/>
      <c r="K36" s="23"/>
      <c r="L36" s="23"/>
      <c r="M36" s="23"/>
      <c r="N36" s="23"/>
      <c r="O36" s="17"/>
      <c r="P36" s="17"/>
      <c r="Q36" s="17"/>
      <c r="R36" s="17"/>
      <c r="Y36" s="36"/>
      <c r="Z36" s="36"/>
      <c r="AJ36" s="43"/>
      <c r="AL36" s="43"/>
      <c r="AM36" s="43"/>
      <c r="AN36" s="43"/>
      <c r="AO36" s="43"/>
      <c r="AP36" s="43"/>
      <c r="AQ36" s="43"/>
      <c r="AS36" s="13"/>
      <c r="AT36" s="12"/>
      <c r="AU36" s="12"/>
      <c r="AV36" s="12"/>
      <c r="AW36" s="12"/>
      <c r="AX36" s="12"/>
      <c r="AY36" s="12"/>
      <c r="AZ36" s="12"/>
      <c r="BA36" s="80"/>
      <c r="BB36" s="81"/>
      <c r="BC36" s="77"/>
      <c r="BD36" s="78"/>
      <c r="BE36" s="80"/>
      <c r="BF36" s="43"/>
      <c r="BG36" s="43"/>
    </row>
    <row r="37" spans="1:59" ht="15.75" hidden="1" customHeight="1" x14ac:dyDescent="0.2">
      <c r="G37" s="23"/>
      <c r="Y37" s="36"/>
      <c r="Z37" s="36"/>
      <c r="AJ37" s="43"/>
      <c r="AL37" s="43"/>
      <c r="AM37" s="43"/>
      <c r="AN37" s="43"/>
      <c r="AO37" s="43"/>
      <c r="AP37" s="43"/>
      <c r="AQ37" s="43"/>
      <c r="AS37" s="13"/>
      <c r="AT37" s="12"/>
      <c r="AU37" s="12"/>
      <c r="AV37" s="12"/>
      <c r="AW37" s="12"/>
      <c r="AX37" s="12"/>
      <c r="AY37" s="12"/>
      <c r="AZ37" s="12"/>
      <c r="BA37" s="80"/>
      <c r="BB37" s="81"/>
      <c r="BC37" s="77"/>
      <c r="BD37" s="78"/>
      <c r="BE37" s="80"/>
      <c r="BF37" s="43"/>
      <c r="BG37" s="43"/>
    </row>
    <row r="38" spans="1:59" ht="35.25" hidden="1" customHeight="1" x14ac:dyDescent="0.2">
      <c r="G38" s="23"/>
      <c r="Y38" s="36"/>
      <c r="Z38" s="36"/>
      <c r="AJ38" s="43"/>
      <c r="AL38" s="84"/>
      <c r="AM38" s="84"/>
      <c r="AN38" s="84"/>
      <c r="AO38" s="84"/>
      <c r="AP38" s="84"/>
      <c r="AQ38" s="84"/>
      <c r="AS38" s="13"/>
      <c r="AT38" s="12"/>
      <c r="AU38" s="12"/>
      <c r="AV38" s="12"/>
      <c r="AW38" s="12"/>
      <c r="AX38" s="12"/>
      <c r="AY38" s="12"/>
      <c r="AZ38" s="12"/>
      <c r="BA38" s="80"/>
      <c r="BB38" s="81"/>
      <c r="BC38" s="77"/>
      <c r="BD38" s="78"/>
      <c r="BE38" s="80"/>
      <c r="BF38" s="43"/>
      <c r="BG38" s="43"/>
    </row>
    <row r="39" spans="1:59" ht="15.75" hidden="1" customHeight="1" x14ac:dyDescent="0.2">
      <c r="G39" s="23"/>
      <c r="Y39" s="36"/>
      <c r="Z39" s="36"/>
      <c r="AJ39" s="43"/>
      <c r="AS39" s="13"/>
      <c r="AT39" s="12"/>
      <c r="AU39" s="12"/>
      <c r="AV39" s="12"/>
      <c r="AW39" s="12"/>
      <c r="AX39" s="12"/>
      <c r="AY39" s="12"/>
      <c r="AZ39" s="12"/>
      <c r="BA39" s="80"/>
      <c r="BB39" s="81"/>
      <c r="BC39" s="77"/>
      <c r="BD39" s="78"/>
      <c r="BE39" s="80"/>
      <c r="BF39" s="43"/>
      <c r="BG39" s="43"/>
    </row>
    <row r="40" spans="1:59" ht="15.75" hidden="1" customHeight="1" x14ac:dyDescent="0.2">
      <c r="G40" s="23"/>
      <c r="L40" s="36" t="s">
        <v>36</v>
      </c>
      <c r="M40" s="85">
        <v>3.8E-3</v>
      </c>
      <c r="N40" s="36" t="s">
        <v>35</v>
      </c>
      <c r="R40" s="85">
        <v>15.03</v>
      </c>
      <c r="Y40" s="36"/>
      <c r="Z40" s="36"/>
      <c r="AJ40" s="43"/>
      <c r="AS40" s="13"/>
      <c r="AT40" s="12"/>
      <c r="AU40" s="12"/>
      <c r="AV40" s="12"/>
      <c r="AW40" s="12"/>
      <c r="AX40" s="12"/>
      <c r="AY40" s="12"/>
      <c r="AZ40" s="12"/>
      <c r="BA40" s="80"/>
      <c r="BB40" s="81"/>
      <c r="BC40" s="77"/>
      <c r="BD40" s="78"/>
      <c r="BE40" s="80"/>
      <c r="BF40" s="43"/>
      <c r="BG40" s="43"/>
    </row>
    <row r="41" spans="1:59" ht="15.75" hidden="1" customHeight="1" x14ac:dyDescent="0.2">
      <c r="G41" s="23"/>
      <c r="Y41" s="36"/>
      <c r="Z41" s="36"/>
      <c r="AJ41" s="43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43"/>
      <c r="BF41" s="43"/>
      <c r="BG41" s="43"/>
    </row>
    <row r="42" spans="1:59" ht="15.75" hidden="1" customHeight="1" x14ac:dyDescent="0.2">
      <c r="G42" s="23"/>
      <c r="Y42" s="36"/>
      <c r="Z42" s="36"/>
      <c r="AJ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</row>
    <row r="43" spans="1:59" ht="15.75" hidden="1" customHeight="1" x14ac:dyDescent="0.2">
      <c r="G43" s="23"/>
      <c r="Y43" s="36"/>
      <c r="Z43" s="36"/>
      <c r="AI43" s="86"/>
      <c r="AJ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</row>
    <row r="44" spans="1:59" ht="15.75" hidden="1" customHeight="1" x14ac:dyDescent="0.2">
      <c r="G44" s="23"/>
      <c r="L44" s="36" t="s">
        <v>34</v>
      </c>
      <c r="M44" s="36">
        <f>M40*2500+R40</f>
        <v>24.53</v>
      </c>
      <c r="Y44" s="36"/>
      <c r="Z44" s="36"/>
      <c r="AJ44" s="43"/>
      <c r="AK44" s="86"/>
    </row>
    <row r="45" spans="1:59" ht="15.75" hidden="1" customHeight="1" x14ac:dyDescent="0.2">
      <c r="G45" s="23"/>
      <c r="L45" s="36" t="s">
        <v>33</v>
      </c>
      <c r="M45" s="36">
        <f>M44*1000/2500</f>
        <v>9.8119999999999994</v>
      </c>
      <c r="Y45" s="36"/>
      <c r="Z45" s="36"/>
      <c r="AJ45" s="43"/>
    </row>
    <row r="46" spans="1:59" ht="15.75" hidden="1" customHeight="1" x14ac:dyDescent="0.2">
      <c r="G46" s="23"/>
      <c r="L46" s="36" t="s">
        <v>32</v>
      </c>
      <c r="M46" s="87">
        <f>+AVERAGE(AC15:AC24)</f>
        <v>5.9654214938728911</v>
      </c>
      <c r="Y46" s="36"/>
      <c r="Z46" s="36"/>
      <c r="AJ46" s="43"/>
      <c r="BE46" s="86"/>
    </row>
    <row r="47" spans="1:59" ht="12.75" hidden="1" customHeight="1" x14ac:dyDescent="0.2">
      <c r="G47" s="23"/>
      <c r="Y47" s="36"/>
      <c r="Z47" s="36"/>
      <c r="AJ47" s="43"/>
    </row>
    <row r="48" spans="1:59" ht="12.75" hidden="1" customHeight="1" x14ac:dyDescent="0.2">
      <c r="G48" s="23"/>
      <c r="Y48" s="36"/>
      <c r="Z48" s="36"/>
      <c r="AJ48" s="43"/>
    </row>
    <row r="49" spans="13:57" ht="25.5" customHeight="1" x14ac:dyDescent="0.2">
      <c r="M49" s="36">
        <f>2^2</f>
        <v>4</v>
      </c>
      <c r="U49" s="37" t="s">
        <v>31</v>
      </c>
      <c r="Y49" s="36"/>
      <c r="Z49" s="36"/>
      <c r="AJ49" s="43"/>
    </row>
    <row r="50" spans="13:57" ht="23.25" customHeight="1" x14ac:dyDescent="0.2">
      <c r="U50" s="103" t="s">
        <v>30</v>
      </c>
      <c r="V50" s="104"/>
      <c r="W50" s="105"/>
      <c r="X50" s="106" t="str">
        <f>C8</f>
        <v>0,2</v>
      </c>
      <c r="Y50" s="36"/>
      <c r="Z50" s="36"/>
      <c r="AJ50" s="43"/>
    </row>
    <row r="51" spans="13:57" ht="21.75" customHeight="1" x14ac:dyDescent="0.2">
      <c r="U51" s="16" t="s">
        <v>29</v>
      </c>
      <c r="V51" s="15"/>
      <c r="W51" s="15"/>
      <c r="X51" s="106">
        <f>+M46</f>
        <v>5.9654214938728911</v>
      </c>
      <c r="Y51" s="36"/>
      <c r="Z51" s="36"/>
      <c r="AJ51" s="43"/>
      <c r="AK51" s="86"/>
      <c r="AR51" s="86"/>
      <c r="AS51" s="86"/>
    </row>
    <row r="52" spans="13:57" ht="25.5" customHeight="1" x14ac:dyDescent="0.2">
      <c r="U52" s="110" t="s">
        <v>28</v>
      </c>
      <c r="V52" s="111"/>
      <c r="W52" s="112"/>
      <c r="X52" s="14" t="str">
        <f>IF(X51&lt;0.03,"Extrem. Baja",IF(X51&lt;0.1,"Muy Baja",IF(X51&lt;0.3,"Baja",IF(X51&lt;1,"Media",IF(X51&lt;3,"Alta",IF(X51&lt;10,"Muy Alta",IF(X51&gt;10,"Extrem. Alta")))))))</f>
        <v>Muy Alta</v>
      </c>
      <c r="Y52" s="36"/>
      <c r="Z52" s="36"/>
      <c r="AJ52" s="43"/>
      <c r="AK52" s="86"/>
      <c r="AL52" s="54"/>
      <c r="AM52" s="54"/>
      <c r="AN52" s="54"/>
      <c r="AO52" s="54"/>
      <c r="AP52" s="54"/>
      <c r="AQ52" s="54"/>
      <c r="AR52" s="86"/>
      <c r="AS52" s="86"/>
    </row>
    <row r="53" spans="13:57" ht="30" customHeight="1" x14ac:dyDescent="0.2">
      <c r="Y53" s="36"/>
      <c r="Z53" s="36"/>
      <c r="AJ53" s="43"/>
      <c r="AK53" s="86"/>
      <c r="AL53" s="54"/>
      <c r="AM53" s="54"/>
      <c r="AN53" s="54"/>
      <c r="AO53" s="54"/>
      <c r="AP53" s="54"/>
      <c r="AQ53" s="54"/>
      <c r="AR53" s="86"/>
      <c r="AS53" s="86"/>
    </row>
    <row r="54" spans="13:57" ht="15.75" customHeight="1" x14ac:dyDescent="0.2">
      <c r="Y54" s="36"/>
      <c r="Z54" s="36"/>
      <c r="AJ54" s="43"/>
      <c r="AL54" s="54"/>
      <c r="AM54" s="54"/>
      <c r="AN54" s="54"/>
      <c r="AO54" s="54"/>
      <c r="AP54" s="54"/>
      <c r="AQ54" s="54"/>
    </row>
    <row r="55" spans="13:57" ht="15.75" customHeight="1" x14ac:dyDescent="0.2">
      <c r="Y55" s="36"/>
      <c r="Z55" s="36"/>
      <c r="AC55" s="86"/>
      <c r="AD55" s="86"/>
      <c r="AE55" s="86"/>
      <c r="AF55" s="86"/>
      <c r="AG55" s="86"/>
      <c r="AJ55" s="43"/>
      <c r="AL55" s="12"/>
      <c r="AM55" s="12"/>
      <c r="AN55" s="109" t="s">
        <v>86</v>
      </c>
      <c r="AO55" s="109"/>
      <c r="AP55" s="12"/>
      <c r="AQ55" s="88"/>
    </row>
    <row r="56" spans="13:57" hidden="1" x14ac:dyDescent="0.2">
      <c r="Y56" s="36"/>
      <c r="Z56" s="36"/>
      <c r="AH56" s="86"/>
      <c r="AI56" s="86"/>
      <c r="AJ56" s="43"/>
      <c r="AL56" s="12"/>
      <c r="AM56" s="12"/>
      <c r="AN56" s="12"/>
      <c r="AO56" s="12"/>
      <c r="AP56" s="12"/>
      <c r="AQ56" s="88"/>
    </row>
    <row r="57" spans="13:57" hidden="1" x14ac:dyDescent="0.2">
      <c r="Y57" s="36"/>
      <c r="Z57" s="36"/>
      <c r="AJ57" s="43"/>
      <c r="AL57" s="12"/>
      <c r="AM57" s="12"/>
      <c r="AN57" s="12"/>
      <c r="AO57" s="12"/>
      <c r="AP57" s="12"/>
      <c r="AQ57" s="88"/>
    </row>
    <row r="58" spans="13:57" hidden="1" x14ac:dyDescent="0.2">
      <c r="Y58" s="36"/>
      <c r="Z58" s="36"/>
      <c r="AJ58" s="43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122"/>
      <c r="BE58" s="122"/>
    </row>
    <row r="59" spans="13:57" x14ac:dyDescent="0.2">
      <c r="U59" s="123" t="s">
        <v>27</v>
      </c>
      <c r="V59" s="124"/>
      <c r="W59" s="124"/>
      <c r="X59" s="125"/>
      <c r="Y59" s="36"/>
      <c r="Z59" s="36"/>
      <c r="AJ59" s="43"/>
      <c r="AS59" s="54"/>
      <c r="AT59" s="54"/>
      <c r="AU59" s="54"/>
      <c r="AV59" s="54"/>
      <c r="AW59" s="54"/>
      <c r="AX59" s="54"/>
      <c r="AY59" s="54"/>
      <c r="AZ59" s="54"/>
      <c r="BA59" s="89"/>
      <c r="BB59" s="54"/>
      <c r="BC59" s="54"/>
      <c r="BD59" s="90"/>
      <c r="BE59" s="90"/>
    </row>
    <row r="60" spans="13:57" x14ac:dyDescent="0.2">
      <c r="U60" s="126" t="s">
        <v>26</v>
      </c>
      <c r="V60" s="127"/>
      <c r="W60" s="127"/>
      <c r="X60" s="128"/>
      <c r="Y60" s="36"/>
      <c r="Z60" s="36"/>
      <c r="AJ60" s="43"/>
      <c r="AS60" s="54"/>
      <c r="AT60" s="54"/>
      <c r="AU60" s="54"/>
      <c r="AV60" s="54"/>
      <c r="AW60" s="54"/>
      <c r="AX60" s="54"/>
      <c r="AY60" s="54"/>
      <c r="AZ60" s="54"/>
      <c r="BA60" s="54"/>
      <c r="BB60" s="43"/>
      <c r="BC60" s="54"/>
      <c r="BD60" s="90"/>
      <c r="BE60" s="90"/>
    </row>
    <row r="61" spans="13:57" ht="36" customHeight="1" x14ac:dyDescent="0.2">
      <c r="U61" s="129" t="s">
        <v>25</v>
      </c>
      <c r="V61" s="130"/>
      <c r="W61" s="130"/>
      <c r="X61" s="131"/>
      <c r="Y61" s="36"/>
      <c r="Z61" s="36"/>
      <c r="AJ61" s="43"/>
      <c r="AS61" s="13"/>
      <c r="AT61" s="12"/>
      <c r="AU61" s="12"/>
      <c r="AV61" s="12"/>
      <c r="AW61" s="12"/>
      <c r="AX61" s="12"/>
      <c r="AY61" s="88"/>
      <c r="AZ61" s="88"/>
      <c r="BA61" s="91"/>
      <c r="BB61" s="92"/>
      <c r="BC61" s="93"/>
      <c r="BD61" s="90"/>
      <c r="BE61" s="79"/>
    </row>
    <row r="62" spans="13:57" x14ac:dyDescent="0.2">
      <c r="U62" s="119" t="s">
        <v>24</v>
      </c>
      <c r="V62" s="120"/>
      <c r="W62" s="120"/>
      <c r="X62" s="121"/>
      <c r="Y62" s="36"/>
      <c r="Z62" s="36"/>
      <c r="AJ62" s="43"/>
      <c r="AS62" s="13"/>
      <c r="AT62" s="12"/>
      <c r="AU62" s="12"/>
      <c r="AV62" s="12"/>
      <c r="AW62" s="12"/>
      <c r="AX62" s="12"/>
      <c r="AY62" s="88"/>
      <c r="AZ62" s="88"/>
      <c r="BA62" s="91"/>
      <c r="BB62" s="92"/>
      <c r="BC62" s="93"/>
      <c r="BD62" s="90"/>
      <c r="BE62" s="79"/>
    </row>
    <row r="63" spans="13:57" x14ac:dyDescent="0.2">
      <c r="U63" s="119" t="s">
        <v>23</v>
      </c>
      <c r="V63" s="120"/>
      <c r="W63" s="120"/>
      <c r="X63" s="121"/>
      <c r="Y63" s="36"/>
      <c r="Z63" s="36"/>
      <c r="AJ63" s="43"/>
      <c r="AS63" s="13"/>
      <c r="AT63" s="12"/>
      <c r="AU63" s="12"/>
      <c r="AV63" s="12"/>
      <c r="AW63" s="12"/>
      <c r="AX63" s="12"/>
      <c r="AY63" s="88"/>
      <c r="AZ63" s="88"/>
      <c r="BA63" s="91"/>
      <c r="BB63" s="92"/>
      <c r="BC63" s="93"/>
      <c r="BD63" s="90"/>
      <c r="BE63" s="79"/>
    </row>
    <row r="64" spans="13:57" x14ac:dyDescent="0.2">
      <c r="U64" s="119" t="s">
        <v>22</v>
      </c>
      <c r="V64" s="120"/>
      <c r="W64" s="120"/>
      <c r="X64" s="121"/>
      <c r="Y64" s="36"/>
      <c r="Z64" s="36"/>
      <c r="AJ64" s="43"/>
    </row>
    <row r="65" spans="21:36" x14ac:dyDescent="0.2">
      <c r="U65" s="119" t="s">
        <v>21</v>
      </c>
      <c r="V65" s="120"/>
      <c r="W65" s="120"/>
      <c r="X65" s="121"/>
      <c r="Y65" s="36"/>
      <c r="Z65" s="36"/>
      <c r="AJ65" s="43"/>
    </row>
    <row r="66" spans="21:36" x14ac:dyDescent="0.2">
      <c r="U66" s="119" t="s">
        <v>20</v>
      </c>
      <c r="V66" s="120"/>
      <c r="W66" s="120"/>
      <c r="X66" s="121"/>
      <c r="Y66" s="36"/>
      <c r="Z66" s="36"/>
      <c r="AJ66" s="43"/>
    </row>
    <row r="67" spans="21:36" ht="14.1" customHeight="1" x14ac:dyDescent="0.2">
      <c r="U67" s="119" t="s">
        <v>19</v>
      </c>
      <c r="V67" s="120"/>
      <c r="W67" s="120"/>
      <c r="X67" s="121"/>
      <c r="Y67" s="43"/>
      <c r="Z67" s="43"/>
      <c r="AA67" s="43"/>
      <c r="AB67" s="43"/>
      <c r="AC67" s="43"/>
      <c r="AD67" s="43"/>
      <c r="AE67" s="43"/>
      <c r="AF67" s="43"/>
      <c r="AG67" s="43"/>
      <c r="AJ67" s="43"/>
    </row>
    <row r="68" spans="21:36" ht="14.1" customHeight="1" x14ac:dyDescent="0.2">
      <c r="U68" s="119" t="s">
        <v>18</v>
      </c>
      <c r="V68" s="120"/>
      <c r="W68" s="120"/>
      <c r="X68" s="121"/>
      <c r="AA68" s="87"/>
      <c r="AB68" s="87"/>
      <c r="AC68" s="87"/>
      <c r="AD68" s="87"/>
      <c r="AE68" s="87"/>
      <c r="AF68" s="87"/>
      <c r="AG68" s="87"/>
      <c r="AH68" s="43"/>
      <c r="AI68" s="43"/>
      <c r="AJ68" s="43"/>
    </row>
    <row r="69" spans="21:36" x14ac:dyDescent="0.2">
      <c r="Y69" s="36"/>
      <c r="AA69" s="87"/>
      <c r="AB69" s="87"/>
      <c r="AC69" s="87"/>
      <c r="AD69" s="87"/>
      <c r="AE69" s="87"/>
      <c r="AF69" s="87"/>
      <c r="AG69" s="87"/>
      <c r="AH69" s="87"/>
      <c r="AI69" s="87"/>
      <c r="AJ69" s="43"/>
    </row>
    <row r="70" spans="21:36" x14ac:dyDescent="0.2">
      <c r="U70" s="95" t="s">
        <v>5</v>
      </c>
      <c r="AA70" s="87"/>
      <c r="AB70" s="87"/>
      <c r="AC70" s="87"/>
      <c r="AD70" s="87"/>
      <c r="AE70" s="87"/>
      <c r="AF70" s="87"/>
      <c r="AG70" s="87"/>
      <c r="AH70" s="87"/>
      <c r="AI70" s="87"/>
      <c r="AJ70" s="43"/>
    </row>
    <row r="71" spans="21:36" x14ac:dyDescent="0.2">
      <c r="U71" s="36" t="s">
        <v>80</v>
      </c>
      <c r="AA71" s="87"/>
      <c r="AB71" s="87"/>
      <c r="AC71" s="87"/>
      <c r="AD71" s="87"/>
      <c r="AE71" s="87"/>
      <c r="AF71" s="87"/>
      <c r="AG71" s="87"/>
      <c r="AH71" s="87"/>
      <c r="AI71" s="87"/>
      <c r="AJ71" s="43"/>
    </row>
    <row r="72" spans="21:36" x14ac:dyDescent="0.2">
      <c r="U72" s="36" t="s">
        <v>17</v>
      </c>
      <c r="AH72" s="87"/>
      <c r="AI72" s="87"/>
      <c r="AJ72" s="43"/>
    </row>
    <row r="73" spans="21:36" x14ac:dyDescent="0.2">
      <c r="AJ73" s="43"/>
    </row>
    <row r="74" spans="21:36" x14ac:dyDescent="0.2">
      <c r="U74" s="95" t="s">
        <v>6</v>
      </c>
      <c r="AJ74" s="43"/>
    </row>
    <row r="75" spans="21:36" x14ac:dyDescent="0.2">
      <c r="U75" s="36" t="s">
        <v>16</v>
      </c>
      <c r="AJ75" s="43"/>
    </row>
    <row r="76" spans="21:36" x14ac:dyDescent="0.2">
      <c r="U76" s="36" t="s">
        <v>15</v>
      </c>
    </row>
    <row r="77" spans="21:36" x14ac:dyDescent="0.2">
      <c r="U77" s="36" t="s">
        <v>14</v>
      </c>
      <c r="V77" s="43"/>
      <c r="W77" s="43"/>
      <c r="X77" s="43"/>
    </row>
    <row r="102" s="36" customFormat="1" x14ac:dyDescent="0.2"/>
    <row r="103" s="36" customFormat="1" x14ac:dyDescent="0.2"/>
    <row r="104" s="36" customFormat="1" x14ac:dyDescent="0.2"/>
    <row r="105" s="36" customFormat="1" x14ac:dyDescent="0.2"/>
  </sheetData>
  <sheetProtection formatCells="0" formatColumns="0" formatRows="0"/>
  <mergeCells count="37">
    <mergeCell ref="AN20:AO20"/>
    <mergeCell ref="AN55:AO55"/>
    <mergeCell ref="C4:E4"/>
    <mergeCell ref="C5:E5"/>
    <mergeCell ref="C6:E6"/>
    <mergeCell ref="C7:E7"/>
    <mergeCell ref="C8:E8"/>
    <mergeCell ref="V8:W8"/>
    <mergeCell ref="V9:AG9"/>
    <mergeCell ref="AD12:AD14"/>
    <mergeCell ref="R14:R16"/>
    <mergeCell ref="U12:U14"/>
    <mergeCell ref="AE12:AE14"/>
    <mergeCell ref="AF12:AF14"/>
    <mergeCell ref="V7:W7"/>
    <mergeCell ref="U68:X68"/>
    <mergeCell ref="U52:W52"/>
    <mergeCell ref="BD58:BE58"/>
    <mergeCell ref="U59:X59"/>
    <mergeCell ref="U60:X60"/>
    <mergeCell ref="U61:X61"/>
    <mergeCell ref="U62:X62"/>
    <mergeCell ref="U63:X63"/>
    <mergeCell ref="U64:X64"/>
    <mergeCell ref="U65:X65"/>
    <mergeCell ref="U66:X66"/>
    <mergeCell ref="U67:X67"/>
    <mergeCell ref="A14:A16"/>
    <mergeCell ref="N14:N16"/>
    <mergeCell ref="O14:O16"/>
    <mergeCell ref="P14:P16"/>
    <mergeCell ref="Q14:Q16"/>
    <mergeCell ref="AL2:AQ2"/>
    <mergeCell ref="V4:AG4"/>
    <mergeCell ref="AL4:AQ4"/>
    <mergeCell ref="V5:AG5"/>
    <mergeCell ref="V6:AG6"/>
  </mergeCells>
  <conditionalFormatting sqref="C4:C8">
    <cfRule type="expression" dxfId="8" priority="10">
      <formula>C4=""</formula>
    </cfRule>
  </conditionalFormatting>
  <conditionalFormatting sqref="B17:E25 B27:E36">
    <cfRule type="expression" dxfId="7" priority="9">
      <formula>B17=""</formula>
    </cfRule>
  </conditionalFormatting>
  <conditionalFormatting sqref="O17:Q25">
    <cfRule type="expression" dxfId="6" priority="8">
      <formula>O17=""</formula>
    </cfRule>
  </conditionalFormatting>
  <conditionalFormatting sqref="R17:R25">
    <cfRule type="expression" dxfId="5" priority="7">
      <formula>R17=""</formula>
    </cfRule>
  </conditionalFormatting>
  <conditionalFormatting sqref="X50">
    <cfRule type="expression" dxfId="4" priority="6">
      <formula>$X$50=0</formula>
    </cfRule>
  </conditionalFormatting>
  <conditionalFormatting sqref="B26:E26">
    <cfRule type="expression" dxfId="3" priority="4">
      <formula>B26=""</formula>
    </cfRule>
  </conditionalFormatting>
  <conditionalFormatting sqref="O26:Q36">
    <cfRule type="expression" dxfId="2" priority="3">
      <formula>O26=""</formula>
    </cfRule>
  </conditionalFormatting>
  <conditionalFormatting sqref="R26:R36">
    <cfRule type="expression" dxfId="1" priority="2">
      <formula>R26=""</formula>
    </cfRule>
  </conditionalFormatting>
  <conditionalFormatting sqref="C4:C5">
    <cfRule type="expression" dxfId="0" priority="1">
      <formula>C4=""</formula>
    </cfRule>
  </conditionalFormatting>
  <pageMargins left="0.78740157480314965" right="0.74803149606299213" top="1.3779527559055118" bottom="0.98425196850393704" header="0" footer="0"/>
  <pageSetup paperSize="9" scale="42" orientation="landscape" horizontalDpi="300" verticalDpi="300" r:id="rId1"/>
  <headerFooter alignWithMargins="0">
    <oddFooter>&amp;LSLG-SOFT-034 V.8</oddFooter>
  </headerFooter>
  <rowBreaks count="1" manualBreakCount="1">
    <brk id="59" min="20" max="41" man="1"/>
  </rowBreaks>
  <colBreaks count="1" manualBreakCount="1">
    <brk id="37" max="58" man="1"/>
  </colBreaks>
  <ignoredErrors>
    <ignoredError sqref="U15:U24 AL2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6</vt:lpstr>
      <vt:lpstr>'6'!Área_de_impresión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2024-06-28T21:13:47Z</dcterms:modified>
</cp:coreProperties>
</file>