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Unidades compartidas\slg-secc_laboratorio\2023\03. PROYECTOS\STRABAG SPA\CAMPAÑA DE SONDAJES\ENSAYOS DE ROCA L12-L10 3+760 (2920)\04. ENSAYOS\C1BH-L12-L10-3+760-L\"/>
    </mc:Choice>
  </mc:AlternateContent>
  <bookViews>
    <workbookView xWindow="0" yWindow="0" windowWidth="20490" windowHeight="7650" tabRatio="858" activeTab="3"/>
  </bookViews>
  <sheets>
    <sheet name="Ingreso Datos" sheetId="206" r:id="rId1"/>
    <sheet name="6" sheetId="208" r:id="rId2"/>
    <sheet name="8 (No cumple por esbeltez)" sheetId="209" r:id="rId3"/>
    <sheet name="9" sheetId="210" r:id="rId4"/>
  </sheets>
  <calcPr calcId="162913"/>
</workbook>
</file>

<file path=xl/calcChain.xml><?xml version="1.0" encoding="utf-8"?>
<calcChain xmlns="http://schemas.openxmlformats.org/spreadsheetml/2006/main">
  <c r="O17" i="210" l="1"/>
  <c r="O16" i="210"/>
  <c r="O17" i="208"/>
  <c r="O16" i="208"/>
  <c r="K66" i="210" l="1"/>
  <c r="M58" i="210"/>
  <c r="L58" i="210"/>
  <c r="K58" i="210"/>
  <c r="M57" i="210"/>
  <c r="L57" i="210"/>
  <c r="K57" i="210"/>
  <c r="M56" i="210"/>
  <c r="L56" i="210"/>
  <c r="K56" i="210"/>
  <c r="M55" i="210"/>
  <c r="L55" i="210"/>
  <c r="K55" i="210"/>
  <c r="M54" i="210"/>
  <c r="L54" i="210"/>
  <c r="K54" i="210"/>
  <c r="M53" i="210"/>
  <c r="L53" i="210"/>
  <c r="K53" i="210"/>
  <c r="M52" i="210"/>
  <c r="L52" i="210"/>
  <c r="K52" i="210"/>
  <c r="M51" i="210"/>
  <c r="L51" i="210"/>
  <c r="K51" i="210"/>
  <c r="M50" i="210"/>
  <c r="L50" i="210"/>
  <c r="K50" i="210"/>
  <c r="M49" i="210"/>
  <c r="L49" i="210"/>
  <c r="K49" i="210"/>
  <c r="M48" i="210"/>
  <c r="L48" i="210"/>
  <c r="K48" i="210"/>
  <c r="M47" i="210"/>
  <c r="L47" i="210"/>
  <c r="K47" i="210"/>
  <c r="M46" i="210"/>
  <c r="L46" i="210"/>
  <c r="K46" i="210"/>
  <c r="M45" i="210"/>
  <c r="L45" i="210"/>
  <c r="K45" i="210"/>
  <c r="M44" i="210"/>
  <c r="L44" i="210"/>
  <c r="K44" i="210"/>
  <c r="M43" i="210"/>
  <c r="L43" i="210"/>
  <c r="K43" i="210"/>
  <c r="M42" i="210"/>
  <c r="L42" i="210"/>
  <c r="K42" i="210"/>
  <c r="M41" i="210"/>
  <c r="L41" i="210"/>
  <c r="K41" i="210"/>
  <c r="M40" i="210"/>
  <c r="L40" i="210"/>
  <c r="K40" i="210"/>
  <c r="M39" i="210"/>
  <c r="L39" i="210"/>
  <c r="K39" i="210"/>
  <c r="M38" i="210"/>
  <c r="L38" i="210"/>
  <c r="K38" i="210"/>
  <c r="M37" i="210"/>
  <c r="L37" i="210"/>
  <c r="K37" i="210"/>
  <c r="M36" i="210"/>
  <c r="L36" i="210"/>
  <c r="K36" i="210"/>
  <c r="M35" i="210"/>
  <c r="L35" i="210"/>
  <c r="K35" i="210"/>
  <c r="M34" i="210"/>
  <c r="L34" i="210"/>
  <c r="K34" i="210"/>
  <c r="M33" i="210"/>
  <c r="L33" i="210"/>
  <c r="K33" i="210"/>
  <c r="M32" i="210"/>
  <c r="L32" i="210"/>
  <c r="K32" i="210"/>
  <c r="M31" i="210"/>
  <c r="L31" i="210"/>
  <c r="K31" i="210"/>
  <c r="M30" i="210"/>
  <c r="L30" i="210"/>
  <c r="K30" i="210"/>
  <c r="M29" i="210"/>
  <c r="L29" i="210"/>
  <c r="K29" i="210"/>
  <c r="M28" i="210"/>
  <c r="L28" i="210"/>
  <c r="K28" i="210"/>
  <c r="M27" i="210"/>
  <c r="L27" i="210"/>
  <c r="K27" i="210"/>
  <c r="M26" i="210"/>
  <c r="L26" i="210"/>
  <c r="K26" i="210"/>
  <c r="C21" i="210"/>
  <c r="L20" i="210"/>
  <c r="H19" i="210"/>
  <c r="G21" i="210" s="1"/>
  <c r="O18" i="210"/>
  <c r="L17" i="210"/>
  <c r="L16" i="210"/>
  <c r="G13" i="210"/>
  <c r="L12" i="210"/>
  <c r="G12" i="210"/>
  <c r="L11" i="210"/>
  <c r="G11" i="210"/>
  <c r="L15" i="210" s="1"/>
  <c r="L10" i="210"/>
  <c r="G10" i="210"/>
  <c r="L9" i="210"/>
  <c r="AJ4" i="210" s="1"/>
  <c r="AN4" i="210" s="1"/>
  <c r="F9" i="210"/>
  <c r="G9" i="210" s="1"/>
  <c r="N25" i="210" s="1"/>
  <c r="L7" i="210"/>
  <c r="AH6" i="210"/>
  <c r="L6" i="210"/>
  <c r="AN5" i="210"/>
  <c r="L5" i="210"/>
  <c r="L4" i="210"/>
  <c r="L3" i="210"/>
  <c r="AJ3" i="210" s="1"/>
  <c r="AN3" i="210" s="1"/>
  <c r="K66" i="209"/>
  <c r="M58" i="209"/>
  <c r="L58" i="209"/>
  <c r="K58" i="209"/>
  <c r="M57" i="209"/>
  <c r="L57" i="209"/>
  <c r="K57" i="209"/>
  <c r="M56" i="209"/>
  <c r="L56" i="209"/>
  <c r="K56" i="209"/>
  <c r="M55" i="209"/>
  <c r="L55" i="209"/>
  <c r="K55" i="209"/>
  <c r="M54" i="209"/>
  <c r="L54" i="209"/>
  <c r="K54" i="209"/>
  <c r="M53" i="209"/>
  <c r="L53" i="209"/>
  <c r="K53" i="209"/>
  <c r="M52" i="209"/>
  <c r="L52" i="209"/>
  <c r="K52" i="209"/>
  <c r="M51" i="209"/>
  <c r="L51" i="209"/>
  <c r="K51" i="209"/>
  <c r="M50" i="209"/>
  <c r="L50" i="209"/>
  <c r="K50" i="209"/>
  <c r="M49" i="209"/>
  <c r="L49" i="209"/>
  <c r="K49" i="209"/>
  <c r="M48" i="209"/>
  <c r="L48" i="209"/>
  <c r="K48" i="209"/>
  <c r="M47" i="209"/>
  <c r="L47" i="209"/>
  <c r="K47" i="209"/>
  <c r="M46" i="209"/>
  <c r="L46" i="209"/>
  <c r="K46" i="209"/>
  <c r="M45" i="209"/>
  <c r="L45" i="209"/>
  <c r="K45" i="209"/>
  <c r="M44" i="209"/>
  <c r="L44" i="209"/>
  <c r="K44" i="209"/>
  <c r="M43" i="209"/>
  <c r="L43" i="209"/>
  <c r="K43" i="209"/>
  <c r="M42" i="209"/>
  <c r="L42" i="209"/>
  <c r="K42" i="209"/>
  <c r="M41" i="209"/>
  <c r="L41" i="209"/>
  <c r="K41" i="209"/>
  <c r="M40" i="209"/>
  <c r="L40" i="209"/>
  <c r="K40" i="209"/>
  <c r="M39" i="209"/>
  <c r="L39" i="209"/>
  <c r="K39" i="209"/>
  <c r="M38" i="209"/>
  <c r="L38" i="209"/>
  <c r="K38" i="209"/>
  <c r="M37" i="209"/>
  <c r="L37" i="209"/>
  <c r="K37" i="209"/>
  <c r="M36" i="209"/>
  <c r="L36" i="209"/>
  <c r="K36" i="209"/>
  <c r="M35" i="209"/>
  <c r="L35" i="209"/>
  <c r="K35" i="209"/>
  <c r="M34" i="209"/>
  <c r="L34" i="209"/>
  <c r="K34" i="209"/>
  <c r="M33" i="209"/>
  <c r="L33" i="209"/>
  <c r="K33" i="209"/>
  <c r="M32" i="209"/>
  <c r="L32" i="209"/>
  <c r="K32" i="209"/>
  <c r="M31" i="209"/>
  <c r="L31" i="209"/>
  <c r="K31" i="209"/>
  <c r="M30" i="209"/>
  <c r="L30" i="209"/>
  <c r="K30" i="209"/>
  <c r="M29" i="209"/>
  <c r="L29" i="209"/>
  <c r="K29" i="209"/>
  <c r="M28" i="209"/>
  <c r="L28" i="209"/>
  <c r="K28" i="209"/>
  <c r="M27" i="209"/>
  <c r="L27" i="209"/>
  <c r="K27" i="209"/>
  <c r="M26" i="209"/>
  <c r="L26" i="209"/>
  <c r="K26" i="209"/>
  <c r="G21" i="209"/>
  <c r="C21" i="209"/>
  <c r="E43" i="209" s="1"/>
  <c r="L20" i="209"/>
  <c r="H19" i="209"/>
  <c r="O18" i="209"/>
  <c r="L17" i="209"/>
  <c r="L16" i="209"/>
  <c r="G13" i="209"/>
  <c r="L12" i="209"/>
  <c r="G12" i="209"/>
  <c r="L11" i="209"/>
  <c r="G11" i="209"/>
  <c r="G22" i="209" s="1"/>
  <c r="L10" i="209"/>
  <c r="G10" i="209"/>
  <c r="L9" i="209"/>
  <c r="AH6" i="209" s="1"/>
  <c r="F9" i="209"/>
  <c r="G9" i="209" s="1"/>
  <c r="N25" i="209" s="1"/>
  <c r="L7" i="209"/>
  <c r="L6" i="209"/>
  <c r="AN5" i="209"/>
  <c r="L5" i="209"/>
  <c r="L4" i="209"/>
  <c r="L3" i="209"/>
  <c r="AH5" i="209" s="1"/>
  <c r="K66" i="208"/>
  <c r="M58" i="208"/>
  <c r="L58" i="208"/>
  <c r="K58" i="208"/>
  <c r="M57" i="208"/>
  <c r="L57" i="208"/>
  <c r="K57" i="208"/>
  <c r="M56" i="208"/>
  <c r="L56" i="208"/>
  <c r="K56" i="208"/>
  <c r="M55" i="208"/>
  <c r="L55" i="208"/>
  <c r="K55" i="208"/>
  <c r="M54" i="208"/>
  <c r="L54" i="208"/>
  <c r="K54" i="208"/>
  <c r="M53" i="208"/>
  <c r="L53" i="208"/>
  <c r="K53" i="208"/>
  <c r="M52" i="208"/>
  <c r="L52" i="208"/>
  <c r="K52" i="208"/>
  <c r="M51" i="208"/>
  <c r="L51" i="208"/>
  <c r="K51" i="208"/>
  <c r="M50" i="208"/>
  <c r="L50" i="208"/>
  <c r="K50" i="208"/>
  <c r="M49" i="208"/>
  <c r="L49" i="208"/>
  <c r="K49" i="208"/>
  <c r="M48" i="208"/>
  <c r="L48" i="208"/>
  <c r="K48" i="208"/>
  <c r="M47" i="208"/>
  <c r="L47" i="208"/>
  <c r="K47" i="208"/>
  <c r="M46" i="208"/>
  <c r="L46" i="208"/>
  <c r="K46" i="208"/>
  <c r="M45" i="208"/>
  <c r="L45" i="208"/>
  <c r="K45" i="208"/>
  <c r="M44" i="208"/>
  <c r="L44" i="208"/>
  <c r="K44" i="208"/>
  <c r="M43" i="208"/>
  <c r="L43" i="208"/>
  <c r="K43" i="208"/>
  <c r="M42" i="208"/>
  <c r="L42" i="208"/>
  <c r="K42" i="208"/>
  <c r="M41" i="208"/>
  <c r="L41" i="208"/>
  <c r="K41" i="208"/>
  <c r="M40" i="208"/>
  <c r="L40" i="208"/>
  <c r="K40" i="208"/>
  <c r="M39" i="208"/>
  <c r="L39" i="208"/>
  <c r="K39" i="208"/>
  <c r="M38" i="208"/>
  <c r="L38" i="208"/>
  <c r="K38" i="208"/>
  <c r="M37" i="208"/>
  <c r="L37" i="208"/>
  <c r="K37" i="208"/>
  <c r="M36" i="208"/>
  <c r="L36" i="208"/>
  <c r="K36" i="208"/>
  <c r="M35" i="208"/>
  <c r="L35" i="208"/>
  <c r="K35" i="208"/>
  <c r="M34" i="208"/>
  <c r="L34" i="208"/>
  <c r="K34" i="208"/>
  <c r="M33" i="208"/>
  <c r="L33" i="208"/>
  <c r="K33" i="208"/>
  <c r="M32" i="208"/>
  <c r="L32" i="208"/>
  <c r="K32" i="208"/>
  <c r="M31" i="208"/>
  <c r="L31" i="208"/>
  <c r="K31" i="208"/>
  <c r="M30" i="208"/>
  <c r="L30" i="208"/>
  <c r="K30" i="208"/>
  <c r="M29" i="208"/>
  <c r="L29" i="208"/>
  <c r="K29" i="208"/>
  <c r="M28" i="208"/>
  <c r="L28" i="208"/>
  <c r="K28" i="208"/>
  <c r="M27" i="208"/>
  <c r="L27" i="208"/>
  <c r="K27" i="208"/>
  <c r="M26" i="208"/>
  <c r="L26" i="208"/>
  <c r="K26" i="208"/>
  <c r="C21" i="208"/>
  <c r="L20" i="208"/>
  <c r="H19" i="208"/>
  <c r="O18" i="208"/>
  <c r="L17" i="208"/>
  <c r="L16" i="208"/>
  <c r="G13" i="208"/>
  <c r="L12" i="208"/>
  <c r="G12" i="208"/>
  <c r="L11" i="208"/>
  <c r="G11" i="208"/>
  <c r="L10" i="208"/>
  <c r="G10" i="208"/>
  <c r="L9" i="208"/>
  <c r="AH6" i="208" s="1"/>
  <c r="F9" i="208"/>
  <c r="G9" i="208" s="1"/>
  <c r="N25" i="208" s="1"/>
  <c r="L7" i="208"/>
  <c r="L6" i="208"/>
  <c r="AN5" i="208"/>
  <c r="L5" i="208"/>
  <c r="L4" i="208"/>
  <c r="L3" i="208"/>
  <c r="AH5" i="208" s="1"/>
  <c r="G14" i="210" l="1"/>
  <c r="D58" i="210" s="1"/>
  <c r="G15" i="208"/>
  <c r="G16" i="208" s="1"/>
  <c r="L18" i="208" s="1"/>
  <c r="G17" i="208"/>
  <c r="L19" i="208" s="1"/>
  <c r="AJ4" i="209"/>
  <c r="AN4" i="209" s="1"/>
  <c r="AJ4" i="208"/>
  <c r="AN4" i="208" s="1"/>
  <c r="AJ3" i="208"/>
  <c r="AN3" i="208" s="1"/>
  <c r="AH5" i="210"/>
  <c r="G15" i="210"/>
  <c r="G16" i="210" s="1"/>
  <c r="G22" i="210"/>
  <c r="D36" i="210"/>
  <c r="D39" i="210"/>
  <c r="D43" i="210"/>
  <c r="D49" i="210"/>
  <c r="D52" i="210"/>
  <c r="D53" i="210"/>
  <c r="N43" i="209"/>
  <c r="F43" i="209"/>
  <c r="O43" i="209" s="1"/>
  <c r="E27" i="209"/>
  <c r="E29" i="209"/>
  <c r="E31" i="209"/>
  <c r="E33" i="209"/>
  <c r="E35" i="209"/>
  <c r="E37" i="209"/>
  <c r="E39" i="209"/>
  <c r="E41" i="209"/>
  <c r="AJ3" i="209"/>
  <c r="AN3" i="209" s="1"/>
  <c r="G14" i="209"/>
  <c r="G15" i="209"/>
  <c r="G16" i="209" s="1"/>
  <c r="E58" i="209"/>
  <c r="E57" i="209"/>
  <c r="E56" i="209"/>
  <c r="E55" i="209"/>
  <c r="E54" i="209"/>
  <c r="E53" i="209"/>
  <c r="E52" i="209"/>
  <c r="E51" i="209"/>
  <c r="E50" i="209"/>
  <c r="E49" i="209"/>
  <c r="E48" i="209"/>
  <c r="E47" i="209"/>
  <c r="E46" i="209"/>
  <c r="E45" i="209"/>
  <c r="E28" i="209"/>
  <c r="E30" i="209"/>
  <c r="E32" i="209"/>
  <c r="E34" i="209"/>
  <c r="E36" i="209"/>
  <c r="E38" i="209"/>
  <c r="E40" i="209"/>
  <c r="E42" i="209"/>
  <c r="E44" i="209"/>
  <c r="L15" i="209"/>
  <c r="E26" i="209"/>
  <c r="O17" i="209"/>
  <c r="G22" i="208"/>
  <c r="G14" i="208"/>
  <c r="L15" i="208"/>
  <c r="G21" i="208"/>
  <c r="D44" i="210" l="1"/>
  <c r="D32" i="210"/>
  <c r="D31" i="210"/>
  <c r="E31" i="210" s="1"/>
  <c r="D57" i="210"/>
  <c r="E57" i="210" s="1"/>
  <c r="D47" i="210"/>
  <c r="D37" i="210"/>
  <c r="D28" i="210"/>
  <c r="E28" i="210" s="1"/>
  <c r="D55" i="210"/>
  <c r="E55" i="210" s="1"/>
  <c r="D48" i="210"/>
  <c r="D41" i="210"/>
  <c r="D33" i="210"/>
  <c r="E33" i="210" s="1"/>
  <c r="D27" i="210"/>
  <c r="E27" i="210" s="1"/>
  <c r="D56" i="210"/>
  <c r="D51" i="210"/>
  <c r="D45" i="210"/>
  <c r="D40" i="210"/>
  <c r="E40" i="210" s="1"/>
  <c r="D35" i="210"/>
  <c r="D29" i="210"/>
  <c r="D54" i="210"/>
  <c r="D50" i="210"/>
  <c r="E50" i="210" s="1"/>
  <c r="D46" i="210"/>
  <c r="D42" i="210"/>
  <c r="D38" i="210"/>
  <c r="E38" i="210" s="1"/>
  <c r="D34" i="210"/>
  <c r="E34" i="210" s="1"/>
  <c r="D30" i="210"/>
  <c r="D26" i="210"/>
  <c r="G17" i="210"/>
  <c r="L19" i="210" s="1"/>
  <c r="L18" i="210"/>
  <c r="E56" i="210"/>
  <c r="E54" i="210"/>
  <c r="E52" i="210"/>
  <c r="E47" i="210"/>
  <c r="E46" i="210"/>
  <c r="E43" i="210"/>
  <c r="E42" i="210"/>
  <c r="E39" i="210"/>
  <c r="E36" i="210"/>
  <c r="E30" i="210"/>
  <c r="E53" i="210"/>
  <c r="E51" i="210"/>
  <c r="E48" i="210"/>
  <c r="E45" i="210"/>
  <c r="E44" i="210"/>
  <c r="E41" i="210"/>
  <c r="E35" i="210"/>
  <c r="E32" i="210"/>
  <c r="E58" i="210"/>
  <c r="E49" i="210"/>
  <c r="E37" i="210"/>
  <c r="E29" i="210"/>
  <c r="E26" i="210"/>
  <c r="N44" i="209"/>
  <c r="F44" i="209"/>
  <c r="O44" i="209" s="1"/>
  <c r="N28" i="209"/>
  <c r="F28" i="209"/>
  <c r="O28" i="209" s="1"/>
  <c r="N48" i="209"/>
  <c r="F48" i="209"/>
  <c r="O48" i="209" s="1"/>
  <c r="N52" i="209"/>
  <c r="F52" i="209"/>
  <c r="O52" i="209" s="1"/>
  <c r="N56" i="209"/>
  <c r="F56" i="209"/>
  <c r="O56" i="209" s="1"/>
  <c r="N37" i="209"/>
  <c r="F37" i="209"/>
  <c r="O37" i="209" s="1"/>
  <c r="N42" i="209"/>
  <c r="F42" i="209"/>
  <c r="O42" i="209" s="1"/>
  <c r="N34" i="209"/>
  <c r="F34" i="209"/>
  <c r="O34" i="209" s="1"/>
  <c r="N45" i="209"/>
  <c r="F45" i="209"/>
  <c r="O45" i="209" s="1"/>
  <c r="N49" i="209"/>
  <c r="F49" i="209"/>
  <c r="O49" i="209" s="1"/>
  <c r="N53" i="209"/>
  <c r="F53" i="209"/>
  <c r="O53" i="209" s="1"/>
  <c r="N57" i="209"/>
  <c r="F57" i="209"/>
  <c r="O57" i="209" s="1"/>
  <c r="N35" i="209"/>
  <c r="F35" i="209"/>
  <c r="O35" i="209" s="1"/>
  <c r="N27" i="209"/>
  <c r="F27" i="209"/>
  <c r="O27" i="209" s="1"/>
  <c r="N26" i="209"/>
  <c r="F26" i="209"/>
  <c r="O26" i="209" s="1"/>
  <c r="O15" i="209" s="1"/>
  <c r="N40" i="209"/>
  <c r="F40" i="209"/>
  <c r="O40" i="209" s="1"/>
  <c r="N32" i="209"/>
  <c r="F32" i="209"/>
  <c r="O32" i="209" s="1"/>
  <c r="N46" i="209"/>
  <c r="F46" i="209"/>
  <c r="O46" i="209" s="1"/>
  <c r="N50" i="209"/>
  <c r="F50" i="209"/>
  <c r="O50" i="209" s="1"/>
  <c r="N54" i="209"/>
  <c r="F54" i="209"/>
  <c r="O54" i="209" s="1"/>
  <c r="N58" i="209"/>
  <c r="F58" i="209"/>
  <c r="O58" i="209" s="1"/>
  <c r="N41" i="209"/>
  <c r="F41" i="209"/>
  <c r="O41" i="209" s="1"/>
  <c r="N33" i="209"/>
  <c r="F33" i="209"/>
  <c r="O33" i="209" s="1"/>
  <c r="O16" i="209" s="1"/>
  <c r="N36" i="209"/>
  <c r="F36" i="209"/>
  <c r="O36" i="209" s="1"/>
  <c r="D58" i="209"/>
  <c r="D57" i="209"/>
  <c r="D56" i="209"/>
  <c r="D55" i="209"/>
  <c r="D54" i="209"/>
  <c r="D53" i="209"/>
  <c r="D52" i="209"/>
  <c r="D51" i="209"/>
  <c r="D50" i="209"/>
  <c r="D49" i="209"/>
  <c r="D48" i="209"/>
  <c r="D47" i="209"/>
  <c r="D46" i="209"/>
  <c r="D45" i="209"/>
  <c r="D44" i="209"/>
  <c r="D43" i="209"/>
  <c r="D42" i="209"/>
  <c r="D41" i="209"/>
  <c r="D40" i="209"/>
  <c r="D39" i="209"/>
  <c r="D38" i="209"/>
  <c r="D37" i="209"/>
  <c r="D36" i="209"/>
  <c r="D35" i="209"/>
  <c r="D34" i="209"/>
  <c r="D33" i="209"/>
  <c r="D32" i="209"/>
  <c r="D31" i="209"/>
  <c r="D30" i="209"/>
  <c r="D29" i="209"/>
  <c r="D27" i="209"/>
  <c r="D28" i="209"/>
  <c r="D26" i="209"/>
  <c r="N29" i="209"/>
  <c r="F29" i="209"/>
  <c r="O29" i="209" s="1"/>
  <c r="N38" i="209"/>
  <c r="F38" i="209"/>
  <c r="O38" i="209" s="1"/>
  <c r="N30" i="209"/>
  <c r="F30" i="209"/>
  <c r="O30" i="209" s="1"/>
  <c r="N47" i="209"/>
  <c r="F47" i="209"/>
  <c r="O47" i="209" s="1"/>
  <c r="N51" i="209"/>
  <c r="F51" i="209"/>
  <c r="O51" i="209" s="1"/>
  <c r="N55" i="209"/>
  <c r="F55" i="209"/>
  <c r="O55" i="209" s="1"/>
  <c r="L18" i="209"/>
  <c r="G17" i="209"/>
  <c r="L19" i="209" s="1"/>
  <c r="N39" i="209"/>
  <c r="F39" i="209"/>
  <c r="O39" i="209" s="1"/>
  <c r="N31" i="209"/>
  <c r="F31" i="209"/>
  <c r="O31" i="209" s="1"/>
  <c r="D58" i="208"/>
  <c r="E58" i="208" s="1"/>
  <c r="D57" i="208"/>
  <c r="E57" i="208" s="1"/>
  <c r="N57" i="208" s="1"/>
  <c r="D56" i="208"/>
  <c r="E56" i="208" s="1"/>
  <c r="N56" i="208" s="1"/>
  <c r="D55" i="208"/>
  <c r="E55" i="208" s="1"/>
  <c r="N55" i="208" s="1"/>
  <c r="D54" i="208"/>
  <c r="E54" i="208" s="1"/>
  <c r="D53" i="208"/>
  <c r="E53" i="208" s="1"/>
  <c r="D52" i="208"/>
  <c r="E52" i="208" s="1"/>
  <c r="F52" i="208" s="1"/>
  <c r="O52" i="208" s="1"/>
  <c r="D51" i="208"/>
  <c r="E51" i="208" s="1"/>
  <c r="D50" i="208"/>
  <c r="E50" i="208" s="1"/>
  <c r="D49" i="208"/>
  <c r="E49" i="208" s="1"/>
  <c r="N49" i="208" s="1"/>
  <c r="D48" i="208"/>
  <c r="E48" i="208" s="1"/>
  <c r="N48" i="208" s="1"/>
  <c r="D47" i="208"/>
  <c r="E47" i="208" s="1"/>
  <c r="D46" i="208"/>
  <c r="E46" i="208" s="1"/>
  <c r="D45" i="208"/>
  <c r="E45" i="208" s="1"/>
  <c r="N45" i="208" s="1"/>
  <c r="D41" i="208"/>
  <c r="E41" i="208" s="1"/>
  <c r="N41" i="208" s="1"/>
  <c r="D37" i="208"/>
  <c r="E37" i="208" s="1"/>
  <c r="N37" i="208" s="1"/>
  <c r="D33" i="208"/>
  <c r="E33" i="208" s="1"/>
  <c r="N33" i="208" s="1"/>
  <c r="D29" i="208"/>
  <c r="E29" i="208" s="1"/>
  <c r="N29" i="208" s="1"/>
  <c r="D27" i="208"/>
  <c r="E27" i="208" s="1"/>
  <c r="N27" i="208" s="1"/>
  <c r="D44" i="208"/>
  <c r="E44" i="208" s="1"/>
  <c r="F44" i="208" s="1"/>
  <c r="O44" i="208" s="1"/>
  <c r="D40" i="208"/>
  <c r="E40" i="208" s="1"/>
  <c r="D36" i="208"/>
  <c r="E36" i="208" s="1"/>
  <c r="N36" i="208" s="1"/>
  <c r="D32" i="208"/>
  <c r="E32" i="208" s="1"/>
  <c r="F32" i="208" s="1"/>
  <c r="O32" i="208" s="1"/>
  <c r="D28" i="208"/>
  <c r="E28" i="208" s="1"/>
  <c r="D43" i="208"/>
  <c r="E43" i="208" s="1"/>
  <c r="N43" i="208" s="1"/>
  <c r="D39" i="208"/>
  <c r="E39" i="208" s="1"/>
  <c r="F39" i="208" s="1"/>
  <c r="O39" i="208" s="1"/>
  <c r="D35" i="208"/>
  <c r="E35" i="208" s="1"/>
  <c r="F35" i="208" s="1"/>
  <c r="O35" i="208" s="1"/>
  <c r="D42" i="208"/>
  <c r="E42" i="208" s="1"/>
  <c r="N42" i="208" s="1"/>
  <c r="D38" i="208"/>
  <c r="E38" i="208" s="1"/>
  <c r="N38" i="208" s="1"/>
  <c r="D34" i="208"/>
  <c r="E34" i="208" s="1"/>
  <c r="N34" i="208" s="1"/>
  <c r="D30" i="208"/>
  <c r="E30" i="208" s="1"/>
  <c r="F30" i="208" s="1"/>
  <c r="O30" i="208" s="1"/>
  <c r="D26" i="208"/>
  <c r="E26" i="208" s="1"/>
  <c r="N26" i="208" s="1"/>
  <c r="D31" i="208"/>
  <c r="E31" i="208" s="1"/>
  <c r="N31" i="208" s="1"/>
  <c r="N28" i="208" l="1"/>
  <c r="F28" i="208"/>
  <c r="O28" i="208" s="1"/>
  <c r="F47" i="208"/>
  <c r="O47" i="208" s="1"/>
  <c r="N47" i="208"/>
  <c r="F40" i="208"/>
  <c r="O40" i="208" s="1"/>
  <c r="N40" i="208"/>
  <c r="N58" i="208"/>
  <c r="F58" i="208"/>
  <c r="O58" i="208" s="1"/>
  <c r="N51" i="208"/>
  <c r="F51" i="208"/>
  <c r="O51" i="208" s="1"/>
  <c r="N53" i="208"/>
  <c r="F53" i="208"/>
  <c r="O53" i="208" s="1"/>
  <c r="F33" i="208"/>
  <c r="O33" i="208" s="1"/>
  <c r="N39" i="208"/>
  <c r="F36" i="208"/>
  <c r="O36" i="208" s="1"/>
  <c r="N35" i="208"/>
  <c r="N30" i="208"/>
  <c r="F49" i="208"/>
  <c r="O49" i="208" s="1"/>
  <c r="N52" i="208"/>
  <c r="F55" i="208"/>
  <c r="O55" i="208" s="1"/>
  <c r="F48" i="208"/>
  <c r="O48" i="208" s="1"/>
  <c r="F31" i="208"/>
  <c r="O31" i="208" s="1"/>
  <c r="F38" i="208"/>
  <c r="O38" i="208" s="1"/>
  <c r="N44" i="208"/>
  <c r="N32" i="208"/>
  <c r="F26" i="208"/>
  <c r="O26" i="208" s="1"/>
  <c r="F45" i="208"/>
  <c r="O45" i="208" s="1"/>
  <c r="F56" i="208"/>
  <c r="O56" i="208" s="1"/>
  <c r="F57" i="208"/>
  <c r="O57" i="208" s="1"/>
  <c r="F42" i="208"/>
  <c r="O42" i="208" s="1"/>
  <c r="F41" i="208"/>
  <c r="O41" i="208" s="1"/>
  <c r="F29" i="208"/>
  <c r="O29" i="208" s="1"/>
  <c r="F43" i="208"/>
  <c r="O43" i="208" s="1"/>
  <c r="F27" i="208"/>
  <c r="O27" i="208" s="1"/>
  <c r="F37" i="208"/>
  <c r="O37" i="208" s="1"/>
  <c r="F34" i="208"/>
  <c r="O34" i="208" s="1"/>
  <c r="N37" i="210"/>
  <c r="F37" i="210"/>
  <c r="O37" i="210" s="1"/>
  <c r="N28" i="210"/>
  <c r="F28" i="210"/>
  <c r="O28" i="210" s="1"/>
  <c r="N38" i="210"/>
  <c r="F38" i="210"/>
  <c r="O38" i="210" s="1"/>
  <c r="N48" i="210"/>
  <c r="F48" i="210"/>
  <c r="O48" i="210" s="1"/>
  <c r="N30" i="210"/>
  <c r="F30" i="210"/>
  <c r="O30" i="210" s="1"/>
  <c r="N42" i="210"/>
  <c r="F42" i="210"/>
  <c r="O42" i="210" s="1"/>
  <c r="N50" i="210"/>
  <c r="F50" i="210"/>
  <c r="O50" i="210" s="1"/>
  <c r="N56" i="210"/>
  <c r="F56" i="210"/>
  <c r="O56" i="210" s="1"/>
  <c r="N26" i="210"/>
  <c r="F26" i="210"/>
  <c r="O26" i="210" s="1"/>
  <c r="N40" i="210"/>
  <c r="F40" i="210"/>
  <c r="O40" i="210" s="1"/>
  <c r="N31" i="210"/>
  <c r="F31" i="210"/>
  <c r="O31" i="210" s="1"/>
  <c r="N41" i="210"/>
  <c r="F41" i="210"/>
  <c r="O41" i="210" s="1"/>
  <c r="N51" i="210"/>
  <c r="F51" i="210"/>
  <c r="O51" i="210" s="1"/>
  <c r="N33" i="210"/>
  <c r="F33" i="210"/>
  <c r="O33" i="210" s="1"/>
  <c r="N43" i="210"/>
  <c r="F43" i="210"/>
  <c r="O43" i="210" s="1"/>
  <c r="N52" i="210"/>
  <c r="F52" i="210"/>
  <c r="O52" i="210" s="1"/>
  <c r="N57" i="210"/>
  <c r="F57" i="210"/>
  <c r="O57" i="210" s="1"/>
  <c r="N29" i="210"/>
  <c r="F29" i="210"/>
  <c r="O29" i="210" s="1"/>
  <c r="N49" i="210"/>
  <c r="F49" i="210"/>
  <c r="O49" i="210" s="1"/>
  <c r="N32" i="210"/>
  <c r="F32" i="210"/>
  <c r="O32" i="210" s="1"/>
  <c r="N44" i="210"/>
  <c r="F44" i="210"/>
  <c r="O44" i="210" s="1"/>
  <c r="N53" i="210"/>
  <c r="F53" i="210"/>
  <c r="O53" i="210" s="1"/>
  <c r="N36" i="210"/>
  <c r="F36" i="210"/>
  <c r="O36" i="210" s="1"/>
  <c r="N46" i="210"/>
  <c r="F46" i="210"/>
  <c r="O46" i="210" s="1"/>
  <c r="N54" i="210"/>
  <c r="F54" i="210"/>
  <c r="O54" i="210" s="1"/>
  <c r="N34" i="210"/>
  <c r="F34" i="210"/>
  <c r="O34" i="210" s="1"/>
  <c r="N58" i="210"/>
  <c r="F58" i="210"/>
  <c r="O58" i="210" s="1"/>
  <c r="N35" i="210"/>
  <c r="F35" i="210"/>
  <c r="O35" i="210" s="1"/>
  <c r="N45" i="210"/>
  <c r="F45" i="210"/>
  <c r="O45" i="210" s="1"/>
  <c r="N27" i="210"/>
  <c r="F27" i="210"/>
  <c r="O27" i="210" s="1"/>
  <c r="N39" i="210"/>
  <c r="F39" i="210"/>
  <c r="O39" i="210" s="1"/>
  <c r="N47" i="210"/>
  <c r="F47" i="210"/>
  <c r="O47" i="210" s="1"/>
  <c r="N55" i="210"/>
  <c r="F55" i="210"/>
  <c r="O55" i="210" s="1"/>
  <c r="N50" i="208"/>
  <c r="F50" i="208"/>
  <c r="O50" i="208" s="1"/>
  <c r="N46" i="208"/>
  <c r="F46" i="208"/>
  <c r="O46" i="208" s="1"/>
  <c r="N54" i="208"/>
  <c r="F54" i="208"/>
  <c r="O54" i="208" s="1"/>
  <c r="O15" i="210" l="1"/>
  <c r="O15" i="208"/>
</calcChain>
</file>

<file path=xl/sharedStrings.xml><?xml version="1.0" encoding="utf-8"?>
<sst xmlns="http://schemas.openxmlformats.org/spreadsheetml/2006/main" count="425" uniqueCount="119">
  <si>
    <t>Proyecto</t>
  </si>
  <si>
    <t>Muestra</t>
  </si>
  <si>
    <t>Peso Natural</t>
  </si>
  <si>
    <t>Volumen</t>
  </si>
  <si>
    <t>Densidad Seca</t>
  </si>
  <si>
    <t>Deformación</t>
  </si>
  <si>
    <t>Densidad Húmeda</t>
  </si>
  <si>
    <t>Orden de Trabajo</t>
  </si>
  <si>
    <t>[Mpa]</t>
  </si>
  <si>
    <t>Humedad</t>
  </si>
  <si>
    <t>Tipo de Roca</t>
  </si>
  <si>
    <t>Fracturas / Vetillas</t>
  </si>
  <si>
    <t>Alteraciones</t>
  </si>
  <si>
    <t>Diámetro Superior 1</t>
  </si>
  <si>
    <t>Diámetro Superior 2</t>
  </si>
  <si>
    <t>Diámetro Superior 3</t>
  </si>
  <si>
    <t>Área Promedio</t>
  </si>
  <si>
    <t>Diámetro Medio    1</t>
  </si>
  <si>
    <t>Diámetro Medio    2</t>
  </si>
  <si>
    <t>Diámetro Medio    3</t>
  </si>
  <si>
    <t>Diámetro Inferior 1</t>
  </si>
  <si>
    <t>Diámetro Inferior 2</t>
  </si>
  <si>
    <t>Diámetro Inferior 3</t>
  </si>
  <si>
    <t>Tensión</t>
  </si>
  <si>
    <t>Tensión Axial</t>
  </si>
  <si>
    <t>cm</t>
  </si>
  <si>
    <t>g</t>
  </si>
  <si>
    <t>%</t>
  </si>
  <si>
    <t>mm</t>
  </si>
  <si>
    <t>cm³</t>
  </si>
  <si>
    <t>g/cm³</t>
  </si>
  <si>
    <t>[KN]</t>
  </si>
  <si>
    <t>CAMBIAR SOLO LOS VALORES EN ROJO Y AGREGAR</t>
  </si>
  <si>
    <t>ELASTICIDAD Y RAZON DE POISSON</t>
  </si>
  <si>
    <t xml:space="preserve">FOTOGRAFIAS (50% VGA). CALCULAR MODULO DE </t>
  </si>
  <si>
    <t>Relacion Esbeltez</t>
  </si>
  <si>
    <t>D50</t>
  </si>
  <si>
    <t>Diametro</t>
  </si>
  <si>
    <t>Velocidad de ensayo</t>
  </si>
  <si>
    <t>3. Determinación de Humedad según SLG-PP-07 basado en ASTM D2216-10</t>
  </si>
  <si>
    <t>Nº INFORME</t>
  </si>
  <si>
    <t>CANTIDAD DE HOJAS (01 HASTA 30)</t>
  </si>
  <si>
    <t>Hoja Nº</t>
  </si>
  <si>
    <t>Nombre Hoja</t>
  </si>
  <si>
    <t>PROYECTO</t>
  </si>
  <si>
    <t>MUESTRA</t>
  </si>
  <si>
    <t>Observaciones:</t>
  </si>
  <si>
    <t>2. ASTM D 4543-08e1</t>
  </si>
  <si>
    <t>Referencia:</t>
  </si>
  <si>
    <r>
      <t>[</t>
    </r>
    <r>
      <rPr>
        <sz val="9"/>
        <rFont val="Arial"/>
        <family val="2"/>
      </rPr>
      <t>με</t>
    </r>
    <r>
      <rPr>
        <sz val="9"/>
        <rFont val="Arial"/>
        <family val="2"/>
      </rPr>
      <t>]</t>
    </r>
  </si>
  <si>
    <t>Axial                                  [%]</t>
  </si>
  <si>
    <t>Lateral                    [%]</t>
  </si>
  <si>
    <t>Prensa</t>
  </si>
  <si>
    <t>Corregida</t>
  </si>
  <si>
    <t>Axial</t>
  </si>
  <si>
    <t>Lateral</t>
  </si>
  <si>
    <t>de Carga</t>
  </si>
  <si>
    <t xml:space="preserve">Carga </t>
  </si>
  <si>
    <t>Lectura</t>
  </si>
  <si>
    <t>Datos del ensayo</t>
  </si>
  <si>
    <t>Diametro promedio</t>
  </si>
  <si>
    <t>cm2</t>
  </si>
  <si>
    <t xml:space="preserve">Area </t>
  </si>
  <si>
    <t>Altura promedio</t>
  </si>
  <si>
    <t>Humedad                                  [%]</t>
  </si>
  <si>
    <t>Altura 3</t>
  </si>
  <si>
    <r>
      <t>Densidad Seca                   [g/cm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 xml:space="preserve">] </t>
    </r>
  </si>
  <si>
    <t xml:space="preserve">Muestra falla por </t>
  </si>
  <si>
    <t>Altura 2</t>
  </si>
  <si>
    <r>
      <t>Densidad Húmeda            [g/cm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 xml:space="preserve">] </t>
    </r>
  </si>
  <si>
    <t>Altura 1</t>
  </si>
  <si>
    <r>
      <t xml:space="preserve">Razón de Poisson  </t>
    </r>
    <r>
      <rPr>
        <sz val="9"/>
        <rFont val="Arial"/>
        <family val="2"/>
      </rPr>
      <t>ν</t>
    </r>
  </si>
  <si>
    <t xml:space="preserve">Peso                                            [g] </t>
  </si>
  <si>
    <t>Altura                                         [cm]</t>
  </si>
  <si>
    <t>Diámetro                                   [cm]</t>
  </si>
  <si>
    <t>Resultados</t>
  </si>
  <si>
    <t>Datos Probeta</t>
  </si>
  <si>
    <t>mm2</t>
  </si>
  <si>
    <t>Diámetro Inferior promedio</t>
  </si>
  <si>
    <t>Diámetro Medio    promedio</t>
  </si>
  <si>
    <t>Obs: Numeración de fotos columna izquierda 1 a 3. Columna derecha 4 a 6 (siempre descendente).</t>
  </si>
  <si>
    <t>Diámetro Superior promedio</t>
  </si>
  <si>
    <t>Fotos Compresion Simple con Modulo</t>
  </si>
  <si>
    <t xml:space="preserve">Muestra    </t>
  </si>
  <si>
    <t>NOMBRE DE CARPETA DE FOTOS:</t>
  </si>
  <si>
    <t>Fecha Término</t>
  </si>
  <si>
    <t>NÚMERO MUESTRA</t>
  </si>
  <si>
    <t>Fecha Inicio</t>
  </si>
  <si>
    <t>Fract / Vetillas</t>
  </si>
  <si>
    <t xml:space="preserve"> COMPRESION UNIAXIAL CON MODULO</t>
  </si>
  <si>
    <t>ENSAYO</t>
  </si>
  <si>
    <t>D</t>
  </si>
  <si>
    <t>LETRA PROYECTO</t>
  </si>
  <si>
    <t>Tipo de roca</t>
  </si>
  <si>
    <t>N° Informe</t>
  </si>
  <si>
    <t>=</t>
  </si>
  <si>
    <t>:</t>
  </si>
  <si>
    <t>INFORME DE ENSAYO DE COMPRESIÓN SIMPLE CON MEDICIÓN DE DEFORMACIÓN</t>
  </si>
  <si>
    <r>
      <t>1. ASTM D 7012-14</t>
    </r>
    <r>
      <rPr>
        <vertAlign val="superscript"/>
        <sz val="9"/>
        <rFont val="Arial"/>
        <family val="2"/>
      </rPr>
      <t>e1</t>
    </r>
  </si>
  <si>
    <r>
      <t>Lectura tiempo de arribo señal longitudinal (</t>
    </r>
    <r>
      <rPr>
        <sz val="9"/>
        <rFont val="Calibri"/>
        <family val="2"/>
      </rPr>
      <t>µ</t>
    </r>
    <r>
      <rPr>
        <sz val="9"/>
        <rFont val="Arial"/>
        <family val="2"/>
      </rPr>
      <t>s)</t>
    </r>
  </si>
  <si>
    <r>
      <t>lectura tiempo de arribo señal transversal (</t>
    </r>
    <r>
      <rPr>
        <sz val="9"/>
        <rFont val="Calibri"/>
        <family val="2"/>
      </rPr>
      <t>µ</t>
    </r>
    <r>
      <rPr>
        <sz val="9"/>
        <rFont val="Arial"/>
        <family val="2"/>
      </rPr>
      <t>s)</t>
    </r>
  </si>
  <si>
    <t>Resistencia Máx. D50 [MPa]</t>
  </si>
  <si>
    <r>
      <t>Módulo de Deformación E</t>
    </r>
    <r>
      <rPr>
        <vertAlign val="subscript"/>
        <sz val="9"/>
        <rFont val="Arial"/>
        <family val="2"/>
      </rPr>
      <t>t</t>
    </r>
    <r>
      <rPr>
        <sz val="9"/>
        <rFont val="Arial"/>
        <family val="2"/>
      </rPr>
      <t xml:space="preserve"> [MPa]</t>
    </r>
  </si>
  <si>
    <t>[kN]</t>
  </si>
  <si>
    <t>[MPa]</t>
  </si>
  <si>
    <t xml:space="preserve">  MPa/s</t>
  </si>
  <si>
    <t>-</t>
  </si>
  <si>
    <r>
      <t>b. Módulo de Deformación (E</t>
    </r>
    <r>
      <rPr>
        <vertAlign val="subscript"/>
        <sz val="9"/>
        <rFont val="Arial"/>
        <family val="2"/>
      </rPr>
      <t>t</t>
    </r>
    <r>
      <rPr>
        <sz val="9"/>
        <rFont val="Arial"/>
        <family val="2"/>
      </rPr>
      <t xml:space="preserve">) y Razón de Poisson (v) estimados en el 25% de carga máxima. </t>
    </r>
  </si>
  <si>
    <t>C1BH-L12-L10-3+760-L (1,26-1,40)</t>
  </si>
  <si>
    <t>C1BH-L12-L10-3+760-L (3,45-3,59)</t>
  </si>
  <si>
    <t>C1BH-L12-L10-3+760-L (7,20-7,40)</t>
  </si>
  <si>
    <t>Matriz (Tipo A)</t>
  </si>
  <si>
    <t>No presenta</t>
  </si>
  <si>
    <t>Oxidación y zeolitización</t>
  </si>
  <si>
    <t>Toba de lapilli lítica</t>
  </si>
  <si>
    <r>
      <t>b. Módulo de Deformación (E</t>
    </r>
    <r>
      <rPr>
        <vertAlign val="subscript"/>
        <sz val="9"/>
        <rFont val="Arial"/>
        <family val="2"/>
      </rPr>
      <t>t</t>
    </r>
    <r>
      <rPr>
        <sz val="9"/>
        <rFont val="Arial"/>
        <family val="2"/>
      </rPr>
      <t xml:space="preserve">) y Razón de Poisson (v) estimados en el 50% de carga máxima. </t>
    </r>
  </si>
  <si>
    <r>
      <t>b. Módulo de Deformación (E</t>
    </r>
    <r>
      <rPr>
        <vertAlign val="subscript"/>
        <sz val="9"/>
        <rFont val="Arial"/>
        <family val="2"/>
      </rPr>
      <t>t</t>
    </r>
    <r>
      <rPr>
        <sz val="9"/>
        <rFont val="Arial"/>
        <family val="2"/>
      </rPr>
      <t xml:space="preserve">) y Razón de Poisson (v) estimados en el 40% de carga máxima. </t>
    </r>
  </si>
  <si>
    <t>C1BH-L12-L10-3+760-L</t>
  </si>
  <si>
    <t>1.913.481-A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</si>
</sst>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_)"/>
    <numFmt numFmtId="165" formatCode="0.000"/>
    <numFmt numFmtId="166" formatCode="0.0"/>
  </numFmts>
  <fonts count="22" x14ac:knownFonts="1">
    <font>
      <sz val="10"/>
      <name val="Courier"/>
    </font>
    <font>
      <b/>
      <sz val="9"/>
      <name val="Arial"/>
      <family val="2"/>
    </font>
    <font>
      <sz val="9"/>
      <name val="Arial"/>
      <family val="2"/>
    </font>
    <font>
      <b/>
      <u/>
      <sz val="9"/>
      <name val="Arial"/>
      <family val="2"/>
    </font>
    <font>
      <vertAlign val="superscript"/>
      <sz val="9"/>
      <name val="Arial"/>
      <family val="2"/>
    </font>
    <font>
      <sz val="9"/>
      <color indexed="9"/>
      <name val="Arial"/>
      <family val="2"/>
    </font>
    <font>
      <b/>
      <sz val="9"/>
      <color indexed="10"/>
      <name val="Arial"/>
      <family val="2"/>
    </font>
    <font>
      <sz val="8.5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color theme="0"/>
      <name val="Arial"/>
      <family val="2"/>
    </font>
    <font>
      <vertAlign val="subscript"/>
      <sz val="9"/>
      <name val="Arial"/>
      <family val="2"/>
    </font>
    <font>
      <sz val="9"/>
      <color rgb="FFFF0000"/>
      <name val="Arial"/>
      <family val="2"/>
    </font>
    <font>
      <sz val="9"/>
      <color indexed="8"/>
      <name val="Arial"/>
      <family val="2"/>
    </font>
    <font>
      <b/>
      <sz val="8"/>
      <name val="Arial"/>
      <family val="2"/>
    </font>
    <font>
      <b/>
      <sz val="9"/>
      <color rgb="FFFF000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sz val="9"/>
      <color theme="0"/>
      <name val="Calibri"/>
      <family val="2"/>
    </font>
    <font>
      <sz val="9"/>
      <color rgb="FF000000"/>
      <name val="Calibri"/>
      <family val="2"/>
    </font>
    <font>
      <b/>
      <sz val="9"/>
      <color rgb="FF000000"/>
      <name val="Arial"/>
      <family val="2"/>
    </font>
    <font>
      <sz val="9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0" fontId="8" fillId="0" borderId="0"/>
  </cellStyleXfs>
  <cellXfs count="137">
    <xf numFmtId="0" fontId="0" fillId="0" borderId="0" xfId="0"/>
    <xf numFmtId="0" fontId="2" fillId="0" borderId="13" xfId="0" applyFont="1" applyFill="1" applyBorder="1" applyAlignment="1" applyProtection="1">
      <alignment horizontal="left" vertical="center"/>
    </xf>
    <xf numFmtId="0" fontId="7" fillId="2" borderId="4" xfId="0" applyNumberFormat="1" applyFont="1" applyFill="1" applyBorder="1" applyAlignment="1" applyProtection="1">
      <alignment vertical="center"/>
    </xf>
    <xf numFmtId="0" fontId="7" fillId="2" borderId="2" xfId="0" applyNumberFormat="1" applyFont="1" applyFill="1" applyBorder="1" applyAlignment="1" applyProtection="1">
      <alignment vertical="center"/>
    </xf>
    <xf numFmtId="0" fontId="7" fillId="2" borderId="3" xfId="0" applyNumberFormat="1" applyFont="1" applyFill="1" applyBorder="1" applyAlignment="1" applyProtection="1">
      <alignment vertical="center"/>
    </xf>
    <xf numFmtId="0" fontId="8" fillId="0" borderId="0" xfId="0" applyFont="1" applyAlignment="1">
      <alignment vertical="center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9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2" fillId="4" borderId="0" xfId="1" applyFont="1" applyFill="1"/>
    <xf numFmtId="0" fontId="10" fillId="4" borderId="0" xfId="1" applyFont="1" applyFill="1"/>
    <xf numFmtId="0" fontId="2" fillId="4" borderId="0" xfId="1" applyFont="1" applyFill="1" applyBorder="1"/>
    <xf numFmtId="0" fontId="2" fillId="4" borderId="0" xfId="1" applyFont="1" applyFill="1" applyAlignment="1">
      <alignment horizontal="left"/>
    </xf>
    <xf numFmtId="165" fontId="2" fillId="4" borderId="0" xfId="1" applyNumberFormat="1" applyFont="1" applyFill="1" applyBorder="1" applyAlignment="1">
      <alignment horizontal="center"/>
    </xf>
    <xf numFmtId="2" fontId="2" fillId="4" borderId="0" xfId="1" applyNumberFormat="1" applyFont="1" applyFill="1" applyBorder="1" applyAlignment="1">
      <alignment horizontal="center"/>
    </xf>
    <xf numFmtId="0" fontId="2" fillId="4" borderId="0" xfId="1" applyFont="1" applyFill="1" applyAlignment="1">
      <alignment horizontal="left" indent="1"/>
    </xf>
    <xf numFmtId="2" fontId="2" fillId="4" borderId="0" xfId="1" applyNumberFormat="1" applyFont="1" applyFill="1" applyAlignment="1">
      <alignment horizontal="center"/>
    </xf>
    <xf numFmtId="2" fontId="2" fillId="4" borderId="0" xfId="1" applyNumberFormat="1" applyFont="1" applyFill="1" applyBorder="1" applyAlignment="1" applyProtection="1">
      <alignment horizontal="center"/>
    </xf>
    <xf numFmtId="0" fontId="12" fillId="4" borderId="0" xfId="1" applyFont="1" applyFill="1" applyAlignment="1">
      <alignment horizontal="center"/>
    </xf>
    <xf numFmtId="0" fontId="3" fillId="4" borderId="0" xfId="1" applyFont="1" applyFill="1"/>
    <xf numFmtId="0" fontId="2" fillId="4" borderId="0" xfId="1" applyFont="1" applyFill="1" applyBorder="1" applyAlignment="1">
      <alignment horizontal="left" vertical="center" indent="1"/>
    </xf>
    <xf numFmtId="2" fontId="2" fillId="4" borderId="6" xfId="1" applyNumberFormat="1" applyFont="1" applyFill="1" applyBorder="1" applyAlignment="1">
      <alignment horizontal="center" vertical="center"/>
    </xf>
    <xf numFmtId="165" fontId="2" fillId="4" borderId="6" xfId="1" applyNumberFormat="1" applyFont="1" applyFill="1" applyBorder="1" applyAlignment="1">
      <alignment horizontal="center" vertical="center"/>
    </xf>
    <xf numFmtId="2" fontId="2" fillId="4" borderId="6" xfId="1" applyNumberFormat="1" applyFont="1" applyFill="1" applyBorder="1" applyAlignment="1">
      <alignment horizontal="center"/>
    </xf>
    <xf numFmtId="2" fontId="2" fillId="4" borderId="6" xfId="1" applyNumberFormat="1" applyFont="1" applyFill="1" applyBorder="1" applyAlignment="1" applyProtection="1">
      <alignment horizontal="center"/>
    </xf>
    <xf numFmtId="0" fontId="12" fillId="3" borderId="6" xfId="1" applyFont="1" applyFill="1" applyBorder="1" applyAlignment="1">
      <alignment horizontal="center"/>
    </xf>
    <xf numFmtId="2" fontId="2" fillId="4" borderId="0" xfId="1" applyNumberFormat="1" applyFont="1" applyFill="1"/>
    <xf numFmtId="0" fontId="2" fillId="4" borderId="12" xfId="1" applyFont="1" applyFill="1" applyBorder="1" applyAlignment="1">
      <alignment horizontal="center" vertical="center"/>
    </xf>
    <xf numFmtId="164" fontId="2" fillId="4" borderId="12" xfId="1" applyNumberFormat="1" applyFont="1" applyFill="1" applyBorder="1" applyAlignment="1">
      <alignment horizontal="center" vertical="center"/>
    </xf>
    <xf numFmtId="0" fontId="2" fillId="4" borderId="12" xfId="1" applyFont="1" applyFill="1" applyBorder="1" applyAlignment="1" applyProtection="1">
      <alignment horizontal="center"/>
    </xf>
    <xf numFmtId="0" fontId="2" fillId="4" borderId="15" xfId="1" applyFont="1" applyFill="1" applyBorder="1" applyAlignment="1">
      <alignment horizontal="center" vertical="center"/>
    </xf>
    <xf numFmtId="0" fontId="2" fillId="4" borderId="15" xfId="1" applyFont="1" applyFill="1" applyBorder="1" applyAlignment="1">
      <alignment horizontal="center"/>
    </xf>
    <xf numFmtId="0" fontId="2" fillId="4" borderId="15" xfId="1" applyFont="1" applyFill="1" applyBorder="1" applyAlignment="1" applyProtection="1">
      <alignment horizontal="center"/>
    </xf>
    <xf numFmtId="0" fontId="2" fillId="4" borderId="15" xfId="1" quotePrefix="1" applyFont="1" applyFill="1" applyBorder="1" applyAlignment="1" applyProtection="1">
      <alignment horizontal="center"/>
    </xf>
    <xf numFmtId="0" fontId="2" fillId="4" borderId="9" xfId="1" applyFont="1" applyFill="1" applyBorder="1" applyAlignment="1">
      <alignment horizontal="center" vertical="center"/>
    </xf>
    <xf numFmtId="0" fontId="2" fillId="4" borderId="9" xfId="1" applyFont="1" applyFill="1" applyBorder="1" applyAlignment="1">
      <alignment horizontal="center"/>
    </xf>
    <xf numFmtId="0" fontId="2" fillId="4" borderId="9" xfId="1" applyFont="1" applyFill="1" applyBorder="1" applyAlignment="1" applyProtection="1">
      <alignment horizontal="center"/>
    </xf>
    <xf numFmtId="0" fontId="2" fillId="4" borderId="9" xfId="1" quotePrefix="1" applyFont="1" applyFill="1" applyBorder="1" applyAlignment="1" applyProtection="1">
      <alignment horizontal="center"/>
    </xf>
    <xf numFmtId="0" fontId="1" fillId="4" borderId="0" xfId="1" applyFont="1" applyFill="1" applyBorder="1" applyAlignment="1">
      <alignment horizontal="left"/>
    </xf>
    <xf numFmtId="2" fontId="6" fillId="3" borderId="6" xfId="1" applyNumberFormat="1" applyFont="1" applyFill="1" applyBorder="1"/>
    <xf numFmtId="0" fontId="2" fillId="4" borderId="0" xfId="1" applyFont="1" applyFill="1" applyBorder="1" applyAlignment="1">
      <alignment horizontal="center" vertical="center"/>
    </xf>
    <xf numFmtId="164" fontId="2" fillId="4" borderId="0" xfId="1" applyNumberFormat="1" applyFont="1" applyFill="1" applyBorder="1" applyAlignment="1" applyProtection="1">
      <alignment horizontal="left"/>
    </xf>
    <xf numFmtId="164" fontId="2" fillId="4" borderId="6" xfId="1" applyNumberFormat="1" applyFont="1" applyFill="1" applyBorder="1"/>
    <xf numFmtId="0" fontId="2" fillId="4" borderId="3" xfId="1" applyFont="1" applyFill="1" applyBorder="1"/>
    <xf numFmtId="0" fontId="2" fillId="4" borderId="4" xfId="1" applyFont="1" applyFill="1" applyBorder="1"/>
    <xf numFmtId="164" fontId="2" fillId="4" borderId="0" xfId="1" applyNumberFormat="1" applyFont="1" applyFill="1"/>
    <xf numFmtId="2" fontId="2" fillId="4" borderId="6" xfId="1" applyNumberFormat="1" applyFont="1" applyFill="1" applyBorder="1" applyAlignment="1">
      <alignment horizontal="right" vertical="center"/>
    </xf>
    <xf numFmtId="0" fontId="2" fillId="4" borderId="6" xfId="1" applyFont="1" applyFill="1" applyBorder="1" applyAlignment="1">
      <alignment horizontal="left" vertical="center"/>
    </xf>
    <xf numFmtId="0" fontId="2" fillId="4" borderId="0" xfId="1" applyFont="1" applyFill="1" applyBorder="1" applyAlignment="1">
      <alignment horizontal="left"/>
    </xf>
    <xf numFmtId="0" fontId="2" fillId="4" borderId="4" xfId="1" applyFont="1" applyFill="1" applyBorder="1" applyAlignment="1" applyProtection="1">
      <alignment horizontal="left"/>
    </xf>
    <xf numFmtId="0" fontId="2" fillId="4" borderId="4" xfId="1" quotePrefix="1" applyFont="1" applyFill="1" applyBorder="1" applyAlignment="1" applyProtection="1">
      <alignment horizontal="left"/>
    </xf>
    <xf numFmtId="164" fontId="5" fillId="4" borderId="0" xfId="1" applyNumberFormat="1" applyFont="1" applyFill="1" applyAlignment="1">
      <alignment horizontal="left"/>
    </xf>
    <xf numFmtId="0" fontId="2" fillId="4" borderId="4" xfId="1" applyFont="1" applyFill="1" applyBorder="1" applyAlignment="1">
      <alignment horizontal="left"/>
    </xf>
    <xf numFmtId="1" fontId="2" fillId="4" borderId="0" xfId="1" applyNumberFormat="1" applyFont="1" applyFill="1" applyBorder="1" applyAlignment="1">
      <alignment horizontal="center" vertical="center"/>
    </xf>
    <xf numFmtId="164" fontId="2" fillId="4" borderId="6" xfId="1" applyNumberFormat="1" applyFont="1" applyFill="1" applyBorder="1" applyAlignment="1">
      <alignment horizontal="center" vertical="center"/>
    </xf>
    <xf numFmtId="0" fontId="2" fillId="4" borderId="6" xfId="1" applyFont="1" applyFill="1" applyBorder="1" applyAlignment="1">
      <alignment vertical="center"/>
    </xf>
    <xf numFmtId="0" fontId="1" fillId="4" borderId="0" xfId="1" applyFont="1" applyFill="1" applyBorder="1"/>
    <xf numFmtId="0" fontId="1" fillId="4" borderId="0" xfId="1" applyFont="1" applyFill="1"/>
    <xf numFmtId="164" fontId="2" fillId="4" borderId="6" xfId="1" applyNumberFormat="1" applyFont="1" applyFill="1" applyBorder="1" applyProtection="1"/>
    <xf numFmtId="0" fontId="2" fillId="4" borderId="15" xfId="2" applyFont="1" applyFill="1" applyBorder="1" applyAlignment="1">
      <alignment horizontal="left" vertical="center"/>
    </xf>
    <xf numFmtId="164" fontId="2" fillId="4" borderId="6" xfId="1" applyNumberFormat="1" applyFont="1" applyFill="1" applyBorder="1" applyAlignment="1">
      <alignment horizontal="right" vertical="center"/>
    </xf>
    <xf numFmtId="0" fontId="2" fillId="4" borderId="0" xfId="1" applyFont="1" applyFill="1" applyAlignment="1" applyProtection="1"/>
    <xf numFmtId="0" fontId="1" fillId="4" borderId="0" xfId="1" applyFont="1" applyFill="1" applyAlignment="1">
      <alignment horizontal="left"/>
    </xf>
    <xf numFmtId="0" fontId="1" fillId="4" borderId="0" xfId="1" quotePrefix="1" applyFont="1" applyFill="1" applyAlignment="1">
      <alignment horizontal="left"/>
    </xf>
    <xf numFmtId="0" fontId="2" fillId="4" borderId="3" xfId="1" applyFont="1" applyFill="1" applyBorder="1" applyAlignment="1">
      <alignment horizontal="center"/>
    </xf>
    <xf numFmtId="0" fontId="2" fillId="4" borderId="2" xfId="1" applyFont="1" applyFill="1" applyBorder="1" applyAlignment="1">
      <alignment horizontal="center"/>
    </xf>
    <xf numFmtId="0" fontId="2" fillId="4" borderId="2" xfId="1" applyFont="1" applyFill="1" applyBorder="1" applyAlignment="1">
      <alignment horizontal="left" indent="1"/>
    </xf>
    <xf numFmtId="2" fontId="2" fillId="4" borderId="4" xfId="1" applyNumberFormat="1" applyFont="1" applyFill="1" applyBorder="1" applyAlignment="1">
      <alignment horizontal="left" vertical="center" indent="1"/>
    </xf>
    <xf numFmtId="0" fontId="1" fillId="4" borderId="4" xfId="1" applyFont="1" applyFill="1" applyBorder="1" applyAlignment="1">
      <alignment vertical="center"/>
    </xf>
    <xf numFmtId="164" fontId="2" fillId="4" borderId="2" xfId="1" applyNumberFormat="1" applyFont="1" applyFill="1" applyBorder="1" applyAlignment="1">
      <alignment horizontal="left" indent="1"/>
    </xf>
    <xf numFmtId="2" fontId="2" fillId="4" borderId="6" xfId="1" applyNumberFormat="1" applyFont="1" applyFill="1" applyBorder="1" applyAlignment="1">
      <alignment horizontal="right"/>
    </xf>
    <xf numFmtId="0" fontId="2" fillId="4" borderId="0" xfId="1" applyFont="1" applyFill="1" applyBorder="1" applyAlignment="1">
      <alignment vertical="center"/>
    </xf>
    <xf numFmtId="0" fontId="2" fillId="4" borderId="3" xfId="1" applyFont="1" applyFill="1" applyBorder="1" applyAlignment="1">
      <alignment vertical="center"/>
    </xf>
    <xf numFmtId="0" fontId="2" fillId="4" borderId="2" xfId="1" applyFont="1" applyFill="1" applyBorder="1" applyAlignment="1">
      <alignment vertical="center"/>
    </xf>
    <xf numFmtId="49" fontId="2" fillId="4" borderId="4" xfId="1" applyNumberFormat="1" applyFont="1" applyFill="1" applyBorder="1" applyAlignment="1">
      <alignment horizontal="left" vertical="center" indent="1"/>
    </xf>
    <xf numFmtId="164" fontId="2" fillId="4" borderId="6" xfId="1" applyNumberFormat="1" applyFont="1" applyFill="1" applyBorder="1" applyAlignment="1" applyProtection="1">
      <alignment horizontal="right"/>
      <protection locked="0"/>
    </xf>
    <xf numFmtId="0" fontId="2" fillId="4" borderId="0" xfId="1" applyFont="1" applyFill="1" applyAlignment="1">
      <alignment horizontal="left" vertical="center" indent="1"/>
    </xf>
    <xf numFmtId="0" fontId="2" fillId="4" borderId="0" xfId="1" applyFont="1" applyFill="1" applyAlignment="1">
      <alignment vertical="center"/>
    </xf>
    <xf numFmtId="2" fontId="2" fillId="4" borderId="4" xfId="1" applyNumberFormat="1" applyFont="1" applyFill="1" applyBorder="1"/>
    <xf numFmtId="0" fontId="8" fillId="4" borderId="0" xfId="1" applyFill="1"/>
    <xf numFmtId="0" fontId="16" fillId="4" borderId="0" xfId="1" applyFont="1" applyFill="1"/>
    <xf numFmtId="0" fontId="17" fillId="4" borderId="22" xfId="1" applyFont="1" applyFill="1" applyBorder="1" applyAlignment="1">
      <alignment horizontal="center"/>
    </xf>
    <xf numFmtId="0" fontId="15" fillId="4" borderId="23" xfId="1" applyFont="1" applyFill="1" applyBorder="1" applyAlignment="1">
      <alignment horizontal="center"/>
    </xf>
    <xf numFmtId="0" fontId="18" fillId="4" borderId="0" xfId="1" applyFont="1" applyFill="1"/>
    <xf numFmtId="0" fontId="17" fillId="4" borderId="24" xfId="1" applyFont="1" applyFill="1" applyBorder="1" applyAlignment="1">
      <alignment horizontal="center"/>
    </xf>
    <xf numFmtId="0" fontId="15" fillId="4" borderId="25" xfId="1" applyFont="1" applyFill="1" applyBorder="1" applyAlignment="1">
      <alignment horizontal="center"/>
    </xf>
    <xf numFmtId="0" fontId="2" fillId="4" borderId="4" xfId="1" quotePrefix="1" applyFont="1" applyFill="1" applyBorder="1" applyAlignment="1">
      <alignment horizontal="left" vertical="center" indent="1"/>
    </xf>
    <xf numFmtId="0" fontId="1" fillId="4" borderId="4" xfId="1" applyFont="1" applyFill="1" applyBorder="1" applyAlignment="1" applyProtection="1">
      <alignment horizontal="left" vertical="center"/>
    </xf>
    <xf numFmtId="2" fontId="18" fillId="4" borderId="0" xfId="1" applyNumberFormat="1" applyFont="1" applyFill="1"/>
    <xf numFmtId="0" fontId="2" fillId="4" borderId="4" xfId="1" applyFont="1" applyFill="1" applyBorder="1" applyAlignment="1">
      <alignment horizontal="left" vertical="center" indent="1"/>
    </xf>
    <xf numFmtId="0" fontId="6" fillId="4" borderId="0" xfId="1" applyFont="1" applyFill="1" applyBorder="1" applyAlignment="1">
      <alignment horizontal="left"/>
    </xf>
    <xf numFmtId="0" fontId="6" fillId="4" borderId="10" xfId="1" applyFont="1" applyFill="1" applyBorder="1" applyAlignment="1">
      <alignment horizontal="left"/>
    </xf>
    <xf numFmtId="0" fontId="6" fillId="4" borderId="5" xfId="1" applyFont="1" applyFill="1" applyBorder="1"/>
    <xf numFmtId="0" fontId="6" fillId="4" borderId="7" xfId="1" applyFont="1" applyFill="1" applyBorder="1"/>
    <xf numFmtId="2" fontId="1" fillId="4" borderId="4" xfId="1" applyNumberFormat="1" applyFont="1" applyFill="1" applyBorder="1"/>
    <xf numFmtId="0" fontId="19" fillId="4" borderId="0" xfId="1" applyFont="1" applyFill="1"/>
    <xf numFmtId="2" fontId="16" fillId="4" borderId="0" xfId="1" applyNumberFormat="1" applyFont="1" applyFill="1"/>
    <xf numFmtId="2" fontId="2" fillId="4" borderId="13" xfId="1" applyNumberFormat="1" applyFont="1" applyFill="1" applyBorder="1" applyAlignment="1">
      <alignment horizontal="left" vertical="center" indent="1"/>
    </xf>
    <xf numFmtId="0" fontId="1" fillId="4" borderId="4" xfId="1" quotePrefix="1" applyFont="1" applyFill="1" applyBorder="1" applyAlignment="1" applyProtection="1">
      <alignment horizontal="left" vertical="center"/>
    </xf>
    <xf numFmtId="0" fontId="6" fillId="4" borderId="11" xfId="1" applyFont="1" applyFill="1" applyBorder="1" applyAlignment="1">
      <alignment horizontal="left"/>
    </xf>
    <xf numFmtId="0" fontId="6" fillId="4" borderId="0" xfId="1" applyFont="1" applyFill="1" applyBorder="1"/>
    <xf numFmtId="0" fontId="6" fillId="4" borderId="8" xfId="1" applyFont="1" applyFill="1" applyBorder="1"/>
    <xf numFmtId="0" fontId="6" fillId="4" borderId="14" xfId="1" applyFont="1" applyFill="1" applyBorder="1" applyAlignment="1">
      <alignment horizontal="left"/>
    </xf>
    <xf numFmtId="0" fontId="6" fillId="4" borderId="1" xfId="1" applyFont="1" applyFill="1" applyBorder="1"/>
    <xf numFmtId="0" fontId="6" fillId="4" borderId="13" xfId="1" applyFont="1" applyFill="1" applyBorder="1"/>
    <xf numFmtId="0" fontId="3" fillId="4" borderId="0" xfId="1" applyFont="1" applyFill="1" applyAlignment="1">
      <alignment horizontal="left"/>
    </xf>
    <xf numFmtId="14" fontId="6" fillId="3" borderId="6" xfId="1" applyNumberFormat="1" applyFont="1" applyFill="1" applyBorder="1"/>
    <xf numFmtId="1" fontId="2" fillId="4" borderId="6" xfId="1" applyNumberFormat="1" applyFont="1" applyFill="1" applyBorder="1" applyAlignment="1">
      <alignment horizontal="center" vertical="center"/>
    </xf>
    <xf numFmtId="166" fontId="6" fillId="3" borderId="6" xfId="1" applyNumberFormat="1" applyFont="1" applyFill="1" applyBorder="1"/>
    <xf numFmtId="166" fontId="13" fillId="4" borderId="6" xfId="1" applyNumberFormat="1" applyFont="1" applyFill="1" applyBorder="1" applyAlignment="1">
      <alignment horizontal="center" vertical="center"/>
    </xf>
    <xf numFmtId="166" fontId="2" fillId="4" borderId="6" xfId="1" applyNumberFormat="1" applyFont="1" applyFill="1" applyBorder="1" applyAlignment="1">
      <alignment horizontal="center" vertical="center"/>
    </xf>
    <xf numFmtId="166" fontId="2" fillId="4" borderId="12" xfId="1" applyNumberFormat="1" applyFont="1" applyFill="1" applyBorder="1" applyAlignment="1">
      <alignment horizontal="center" vertical="center"/>
    </xf>
    <xf numFmtId="0" fontId="8" fillId="2" borderId="6" xfId="0" applyNumberFormat="1" applyFont="1" applyFill="1" applyBorder="1" applyAlignment="1">
      <alignment horizontal="center" vertical="center" wrapText="1"/>
    </xf>
    <xf numFmtId="1" fontId="12" fillId="3" borderId="6" xfId="1" applyNumberFormat="1" applyFont="1" applyFill="1" applyBorder="1" applyAlignment="1">
      <alignment horizontal="center"/>
    </xf>
    <xf numFmtId="0" fontId="1" fillId="0" borderId="6" xfId="0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 applyProtection="1">
      <alignment horizontal="center" vertical="center"/>
    </xf>
    <xf numFmtId="0" fontId="2" fillId="4" borderId="0" xfId="1" applyFont="1" applyFill="1" applyBorder="1" applyAlignment="1">
      <alignment horizontal="center"/>
    </xf>
    <xf numFmtId="14" fontId="2" fillId="4" borderId="4" xfId="1" quotePrefix="1" applyNumberFormat="1" applyFont="1" applyFill="1" applyBorder="1" applyAlignment="1">
      <alignment horizontal="left" vertical="center" indent="1"/>
    </xf>
    <xf numFmtId="14" fontId="2" fillId="4" borderId="2" xfId="1" quotePrefix="1" applyNumberFormat="1" applyFont="1" applyFill="1" applyBorder="1" applyAlignment="1">
      <alignment horizontal="left" vertical="center" indent="1"/>
    </xf>
    <xf numFmtId="14" fontId="2" fillId="4" borderId="3" xfId="1" quotePrefix="1" applyNumberFormat="1" applyFont="1" applyFill="1" applyBorder="1" applyAlignment="1">
      <alignment horizontal="left" vertical="center" indent="1"/>
    </xf>
    <xf numFmtId="0" fontId="1" fillId="4" borderId="21" xfId="1" applyFont="1" applyFill="1" applyBorder="1" applyAlignment="1">
      <alignment horizontal="center"/>
    </xf>
    <xf numFmtId="0" fontId="1" fillId="4" borderId="20" xfId="1" applyFont="1" applyFill="1" applyBorder="1" applyAlignment="1">
      <alignment horizontal="center"/>
    </xf>
    <xf numFmtId="0" fontId="15" fillId="4" borderId="17" xfId="1" applyFont="1" applyFill="1" applyBorder="1" applyAlignment="1">
      <alignment horizontal="center"/>
    </xf>
    <xf numFmtId="0" fontId="15" fillId="4" borderId="16" xfId="1" applyFont="1" applyFill="1" applyBorder="1" applyAlignment="1">
      <alignment horizontal="center"/>
    </xf>
    <xf numFmtId="0" fontId="14" fillId="4" borderId="21" xfId="1" applyFont="1" applyFill="1" applyBorder="1" applyAlignment="1">
      <alignment horizontal="center" vertical="center" wrapText="1"/>
    </xf>
    <xf numFmtId="0" fontId="14" fillId="4" borderId="20" xfId="1" applyFont="1" applyFill="1" applyBorder="1" applyAlignment="1">
      <alignment horizontal="center" vertical="center" wrapText="1"/>
    </xf>
    <xf numFmtId="0" fontId="14" fillId="4" borderId="19" xfId="1" applyFont="1" applyFill="1" applyBorder="1" applyAlignment="1">
      <alignment horizontal="center" vertical="center" wrapText="1"/>
    </xf>
    <xf numFmtId="0" fontId="14" fillId="4" borderId="18" xfId="1" applyFont="1" applyFill="1" applyBorder="1" applyAlignment="1">
      <alignment horizontal="center" vertical="center" wrapText="1"/>
    </xf>
    <xf numFmtId="0" fontId="14" fillId="4" borderId="17" xfId="1" applyFont="1" applyFill="1" applyBorder="1" applyAlignment="1">
      <alignment horizontal="center" vertical="center" wrapText="1"/>
    </xf>
    <xf numFmtId="0" fontId="14" fillId="4" borderId="16" xfId="1" applyFont="1" applyFill="1" applyBorder="1" applyAlignment="1">
      <alignment horizontal="center" vertical="center" wrapText="1"/>
    </xf>
    <xf numFmtId="0" fontId="2" fillId="4" borderId="2" xfId="1" applyFont="1" applyFill="1" applyBorder="1" applyAlignment="1">
      <alignment horizontal="center" vertical="center"/>
    </xf>
    <xf numFmtId="0" fontId="2" fillId="4" borderId="3" xfId="1" applyFont="1" applyFill="1" applyBorder="1" applyAlignment="1">
      <alignment horizontal="center" vertical="center"/>
    </xf>
    <xf numFmtId="0" fontId="2" fillId="4" borderId="14" xfId="1" applyFont="1" applyFill="1" applyBorder="1" applyAlignment="1">
      <alignment horizontal="center" vertical="center" wrapText="1"/>
    </xf>
    <xf numFmtId="0" fontId="2" fillId="4" borderId="10" xfId="1" applyFont="1" applyFill="1" applyBorder="1" applyAlignment="1">
      <alignment horizontal="center" vertical="center" wrapText="1"/>
    </xf>
    <xf numFmtId="0" fontId="2" fillId="4" borderId="9" xfId="1" applyFont="1" applyFill="1" applyBorder="1" applyAlignment="1">
      <alignment horizontal="center" vertical="center" wrapText="1"/>
    </xf>
    <xf numFmtId="0" fontId="2" fillId="4" borderId="12" xfId="1" applyFont="1" applyFill="1" applyBorder="1" applyAlignment="1">
      <alignment horizontal="center" vertical="center" wrapText="1"/>
    </xf>
  </cellXfs>
  <cellStyles count="3">
    <cellStyle name="Normal" xfId="0" builtinId="0"/>
    <cellStyle name="Normal 2" xfId="1"/>
    <cellStyle name="Normal 2 2" xfId="2"/>
  </cellStyles>
  <dxfs count="19"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 sz="1050"/>
              <a:t>Gráfico: Tensión-Deformación </a:t>
            </a:r>
          </a:p>
        </c:rich>
      </c:tx>
      <c:layout>
        <c:manualLayout>
          <c:xMode val="edge"/>
          <c:yMode val="edge"/>
          <c:x val="0.34688086564337062"/>
          <c:y val="2.37256076686066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57465986847042E-2"/>
          <c:y val="0.23110926717185523"/>
          <c:w val="0.88635582058329165"/>
          <c:h val="0.53462733333274737"/>
        </c:manualLayout>
      </c:layout>
      <c:scatterChart>
        <c:scatterStyle val="smoothMarker"/>
        <c:varyColors val="0"/>
        <c:ser>
          <c:idx val="0"/>
          <c:order val="0"/>
          <c:tx>
            <c:v>DEF LATERAL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'6'!$L$26:$L$580</c:f>
              <c:numCache>
                <c:formatCode>0.000</c:formatCode>
                <c:ptCount val="555"/>
                <c:pt idx="0">
                  <c:v>0</c:v>
                </c:pt>
                <c:pt idx="1">
                  <c:v>1.6000000000000001E-4</c:v>
                </c:pt>
                <c:pt idx="2">
                  <c:v>-2.0000000000000002E-5</c:v>
                </c:pt>
                <c:pt idx="3">
                  <c:v>-3.3E-4</c:v>
                </c:pt>
                <c:pt idx="4">
                  <c:v>-6.2E-4</c:v>
                </c:pt>
                <c:pt idx="5">
                  <c:v>-1.24E-3</c:v>
                </c:pt>
                <c:pt idx="6">
                  <c:v>-1.8100000000000002E-3</c:v>
                </c:pt>
                <c:pt idx="7">
                  <c:v>-2.97E-3</c:v>
                </c:pt>
                <c:pt idx="8">
                  <c:v>-4.2500000000000003E-3</c:v>
                </c:pt>
                <c:pt idx="9">
                  <c:v>-5.3600000000000002E-3</c:v>
                </c:pt>
                <c:pt idx="10">
                  <c:v>-7.2900000000000013E-3</c:v>
                </c:pt>
                <c:pt idx="11">
                  <c:v>-8.6400000000000001E-3</c:v>
                </c:pt>
                <c:pt idx="12">
                  <c:v>-1.0679999999999999E-2</c:v>
                </c:pt>
                <c:pt idx="13">
                  <c:v>-1.3219999999999999E-2</c:v>
                </c:pt>
                <c:pt idx="14">
                  <c:v>-1.485E-2</c:v>
                </c:pt>
                <c:pt idx="15">
                  <c:v>-1.728E-2</c:v>
                </c:pt>
                <c:pt idx="16">
                  <c:v>-1.9050000000000001E-2</c:v>
                </c:pt>
                <c:pt idx="17">
                  <c:v>-2.181E-2</c:v>
                </c:pt>
                <c:pt idx="18">
                  <c:v>-2.4330000000000001E-2</c:v>
                </c:pt>
                <c:pt idx="19">
                  <c:v>-2.5109999999999997E-2</c:v>
                </c:pt>
                <c:pt idx="20">
                  <c:v>-2.6110000000000001E-2</c:v>
                </c:pt>
                <c:pt idx="21">
                  <c:v>-2.8210000000000002E-2</c:v>
                </c:pt>
                <c:pt idx="22">
                  <c:v>-3.1139999999999998E-2</c:v>
                </c:pt>
                <c:pt idx="23">
                  <c:v>-3.1969999999999998E-2</c:v>
                </c:pt>
                <c:pt idx="24">
                  <c:v>-3.2800000000000003E-2</c:v>
                </c:pt>
                <c:pt idx="25">
                  <c:v>-3.7539999999999997E-2</c:v>
                </c:pt>
                <c:pt idx="26">
                  <c:v>-3.8800000000000001E-2</c:v>
                </c:pt>
                <c:pt idx="27">
                  <c:v>-5.8689999999999999E-2</c:v>
                </c:pt>
                <c:pt idx="28">
                  <c:v>-6.2699999999999992E-2</c:v>
                </c:pt>
                <c:pt idx="29">
                  <c:v>-3.9890000000000002E-2</c:v>
                </c:pt>
                <c:pt idx="30">
                  <c:v>-3.3980000000000003E-2</c:v>
                </c:pt>
                <c:pt idx="31">
                  <c:v>-3.3649999999999999E-2</c:v>
                </c:pt>
                <c:pt idx="32">
                  <c:v>-3.2800000000000003E-2</c:v>
                </c:pt>
              </c:numCache>
            </c:numRef>
          </c:xVal>
          <c:yVal>
            <c:numRef>
              <c:f>'6'!$O$26:$O$580</c:f>
              <c:numCache>
                <c:formatCode>0.0</c:formatCode>
                <c:ptCount val="555"/>
                <c:pt idx="0">
                  <c:v>0</c:v>
                </c:pt>
                <c:pt idx="1">
                  <c:v>4.7005599673281884</c:v>
                </c:pt>
                <c:pt idx="2">
                  <c:v>4.9442220796756047</c:v>
                </c:pt>
                <c:pt idx="3">
                  <c:v>5.3167779181198407</c:v>
                </c:pt>
                <c:pt idx="4">
                  <c:v>5.5890438436558671</c:v>
                </c:pt>
                <c:pt idx="5">
                  <c:v>6.0188073084773235</c:v>
                </c:pt>
                <c:pt idx="6">
                  <c:v>6.3200301806981143</c:v>
                </c:pt>
                <c:pt idx="7">
                  <c:v>6.7928759320505625</c:v>
                </c:pt>
                <c:pt idx="8">
                  <c:v>7.3946154094998331</c:v>
                </c:pt>
                <c:pt idx="9">
                  <c:v>7.7961281946288352</c:v>
                </c:pt>
                <c:pt idx="10">
                  <c:v>8.3547853855471139</c:v>
                </c:pt>
                <c:pt idx="11">
                  <c:v>8.7704235105223418</c:v>
                </c:pt>
                <c:pt idx="12">
                  <c:v>9.4152452745026043</c:v>
                </c:pt>
                <c:pt idx="13">
                  <c:v>10.002859412105646</c:v>
                </c:pt>
                <c:pt idx="14">
                  <c:v>10.417438136592411</c:v>
                </c:pt>
                <c:pt idx="15">
                  <c:v>11.100398318157485</c:v>
                </c:pt>
                <c:pt idx="16">
                  <c:v>11.51321137516347</c:v>
                </c:pt>
                <c:pt idx="17">
                  <c:v>12.011129604742971</c:v>
                </c:pt>
                <c:pt idx="18">
                  <c:v>12.438068001595182</c:v>
                </c:pt>
                <c:pt idx="19">
                  <c:v>12.736818939342884</c:v>
                </c:pt>
                <c:pt idx="20">
                  <c:v>13.149631996348868</c:v>
                </c:pt>
                <c:pt idx="21">
                  <c:v>13.718883192151816</c:v>
                </c:pt>
                <c:pt idx="22">
                  <c:v>14.387364900374507</c:v>
                </c:pt>
                <c:pt idx="23">
                  <c:v>14.615136005394916</c:v>
                </c:pt>
                <c:pt idx="24">
                  <c:v>14.842907110415327</c:v>
                </c:pt>
                <c:pt idx="25">
                  <c:v>15.853222042916713</c:v>
                </c:pt>
                <c:pt idx="26">
                  <c:v>16.123722300971959</c:v>
                </c:pt>
                <c:pt idx="27">
                  <c:v>17.148162573319574</c:v>
                </c:pt>
                <c:pt idx="28">
                  <c:v>17.404184358032438</c:v>
                </c:pt>
                <c:pt idx="29">
                  <c:v>18.343519457806533</c:v>
                </c:pt>
                <c:pt idx="30">
                  <c:v>19.311105237273082</c:v>
                </c:pt>
                <c:pt idx="31">
                  <c:v>19.524397868951109</c:v>
                </c:pt>
                <c:pt idx="32">
                  <c:v>19.66671066790185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96-45BD-8BB3-746E197AF0DA}"/>
            </c:ext>
          </c:extLst>
        </c:ser>
        <c:ser>
          <c:idx val="0"/>
          <c:order val="1"/>
          <c:tx>
            <c:v>DEF AXIAL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'6'!$M$26:$M$580</c:f>
              <c:numCache>
                <c:formatCode>0.000</c:formatCode>
                <c:ptCount val="555"/>
                <c:pt idx="0">
                  <c:v>0</c:v>
                </c:pt>
                <c:pt idx="1">
                  <c:v>7.5999999999999993E-4</c:v>
                </c:pt>
                <c:pt idx="2">
                  <c:v>4.3200000000000001E-3</c:v>
                </c:pt>
                <c:pt idx="3">
                  <c:v>1.3619999999999998E-2</c:v>
                </c:pt>
                <c:pt idx="4">
                  <c:v>2.094E-2</c:v>
                </c:pt>
                <c:pt idx="5">
                  <c:v>3.252E-2</c:v>
                </c:pt>
                <c:pt idx="6">
                  <c:v>4.215E-2</c:v>
                </c:pt>
                <c:pt idx="7">
                  <c:v>5.9670000000000001E-2</c:v>
                </c:pt>
                <c:pt idx="8">
                  <c:v>7.662999999999999E-2</c:v>
                </c:pt>
                <c:pt idx="9">
                  <c:v>8.9260000000000006E-2</c:v>
                </c:pt>
                <c:pt idx="10">
                  <c:v>0.1101</c:v>
                </c:pt>
                <c:pt idx="11">
                  <c:v>0.12329999999999999</c:v>
                </c:pt>
                <c:pt idx="12">
                  <c:v>0.14167000000000002</c:v>
                </c:pt>
                <c:pt idx="13">
                  <c:v>0.16222999999999999</c:v>
                </c:pt>
                <c:pt idx="14">
                  <c:v>0.17464000000000002</c:v>
                </c:pt>
                <c:pt idx="15">
                  <c:v>0.19159000000000001</c:v>
                </c:pt>
                <c:pt idx="16">
                  <c:v>0.20364000000000002</c:v>
                </c:pt>
                <c:pt idx="17">
                  <c:v>0.22124000000000002</c:v>
                </c:pt>
                <c:pt idx="18">
                  <c:v>0.25608000000000003</c:v>
                </c:pt>
                <c:pt idx="19">
                  <c:v>0.26309000000000005</c:v>
                </c:pt>
                <c:pt idx="20">
                  <c:v>0.27135999999999999</c:v>
                </c:pt>
                <c:pt idx="21">
                  <c:v>0.28641</c:v>
                </c:pt>
                <c:pt idx="22">
                  <c:v>0.30416999999999994</c:v>
                </c:pt>
                <c:pt idx="23">
                  <c:v>0.30911999999999995</c:v>
                </c:pt>
                <c:pt idx="24">
                  <c:v>0.31348999999999999</c:v>
                </c:pt>
                <c:pt idx="25">
                  <c:v>0.33371000000000001</c:v>
                </c:pt>
                <c:pt idx="26">
                  <c:v>0.33764</c:v>
                </c:pt>
                <c:pt idx="27">
                  <c:v>0.36448000000000003</c:v>
                </c:pt>
                <c:pt idx="28">
                  <c:v>0.36873</c:v>
                </c:pt>
                <c:pt idx="29">
                  <c:v>0.31526999999999999</c:v>
                </c:pt>
                <c:pt idx="30">
                  <c:v>0.28033000000000002</c:v>
                </c:pt>
                <c:pt idx="31">
                  <c:v>0.28125</c:v>
                </c:pt>
                <c:pt idx="32">
                  <c:v>0.27997</c:v>
                </c:pt>
              </c:numCache>
            </c:numRef>
          </c:xVal>
          <c:yVal>
            <c:numRef>
              <c:f>'6'!$O$26:$O$580</c:f>
              <c:numCache>
                <c:formatCode>0.0</c:formatCode>
                <c:ptCount val="555"/>
                <c:pt idx="0">
                  <c:v>0</c:v>
                </c:pt>
                <c:pt idx="1">
                  <c:v>4.7005599673281884</c:v>
                </c:pt>
                <c:pt idx="2">
                  <c:v>4.9442220796756047</c:v>
                </c:pt>
                <c:pt idx="3">
                  <c:v>5.3167779181198407</c:v>
                </c:pt>
                <c:pt idx="4">
                  <c:v>5.5890438436558671</c:v>
                </c:pt>
                <c:pt idx="5">
                  <c:v>6.0188073084773235</c:v>
                </c:pt>
                <c:pt idx="6">
                  <c:v>6.3200301806981143</c:v>
                </c:pt>
                <c:pt idx="7">
                  <c:v>6.7928759320505625</c:v>
                </c:pt>
                <c:pt idx="8">
                  <c:v>7.3946154094998331</c:v>
                </c:pt>
                <c:pt idx="9">
                  <c:v>7.7961281946288352</c:v>
                </c:pt>
                <c:pt idx="10">
                  <c:v>8.3547853855471139</c:v>
                </c:pt>
                <c:pt idx="11">
                  <c:v>8.7704235105223418</c:v>
                </c:pt>
                <c:pt idx="12">
                  <c:v>9.4152452745026043</c:v>
                </c:pt>
                <c:pt idx="13">
                  <c:v>10.002859412105646</c:v>
                </c:pt>
                <c:pt idx="14">
                  <c:v>10.417438136592411</c:v>
                </c:pt>
                <c:pt idx="15">
                  <c:v>11.100398318157485</c:v>
                </c:pt>
                <c:pt idx="16">
                  <c:v>11.51321137516347</c:v>
                </c:pt>
                <c:pt idx="17">
                  <c:v>12.011129604742971</c:v>
                </c:pt>
                <c:pt idx="18">
                  <c:v>12.438068001595182</c:v>
                </c:pt>
                <c:pt idx="19">
                  <c:v>12.736818939342884</c:v>
                </c:pt>
                <c:pt idx="20">
                  <c:v>13.149631996348868</c:v>
                </c:pt>
                <c:pt idx="21">
                  <c:v>13.718883192151816</c:v>
                </c:pt>
                <c:pt idx="22">
                  <c:v>14.387364900374507</c:v>
                </c:pt>
                <c:pt idx="23">
                  <c:v>14.615136005394916</c:v>
                </c:pt>
                <c:pt idx="24">
                  <c:v>14.842907110415327</c:v>
                </c:pt>
                <c:pt idx="25">
                  <c:v>15.853222042916713</c:v>
                </c:pt>
                <c:pt idx="26">
                  <c:v>16.123722300971959</c:v>
                </c:pt>
                <c:pt idx="27">
                  <c:v>17.148162573319574</c:v>
                </c:pt>
                <c:pt idx="28">
                  <c:v>17.404184358032438</c:v>
                </c:pt>
                <c:pt idx="29">
                  <c:v>18.343519457806533</c:v>
                </c:pt>
                <c:pt idx="30">
                  <c:v>19.311105237273082</c:v>
                </c:pt>
                <c:pt idx="31">
                  <c:v>19.524397868951109</c:v>
                </c:pt>
                <c:pt idx="32">
                  <c:v>19.66671066790185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96-45BD-8BB3-746E197A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887040"/>
        <c:axId val="687887584"/>
      </c:scatterChart>
      <c:valAx>
        <c:axId val="68788704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L" sz="10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Deformación Unitaria</a:t>
                </a:r>
                <a:r>
                  <a:rPr lang="es-CL" sz="105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[%]</a:t>
                </a:r>
              </a:p>
            </c:rich>
          </c:tx>
          <c:layout>
            <c:manualLayout>
              <c:xMode val="edge"/>
              <c:yMode val="edge"/>
              <c:x val="0.37689090741148984"/>
              <c:y val="0.853163997445983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7887584"/>
        <c:crossesAt val="0"/>
        <c:crossBetween val="midCat"/>
      </c:valAx>
      <c:valAx>
        <c:axId val="687887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 sz="1050"/>
                  <a:t>Tensión Axial D50 ( MPa )</a:t>
                </a:r>
              </a:p>
            </c:rich>
          </c:tx>
          <c:layout>
            <c:manualLayout>
              <c:xMode val="edge"/>
              <c:yMode val="edge"/>
              <c:x val="1.0562030809978541E-2"/>
              <c:y val="0.23880587653816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7887040"/>
        <c:crossesAt val="0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173267335511107"/>
          <c:y val="0.9214860744508574"/>
          <c:w val="0.3843561605926667"/>
          <c:h val="6.489279749122345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ysClr val="windowText" lastClr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33" r="0.75000000000000633" t="1" header="0" footer="0"/>
    <c:pageSetup paperSize="9" orientation="landscape" horizontalDpi="300" verticalDpi="30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 sz="1050"/>
              <a:t>Gráfico: Tensión-Deformación </a:t>
            </a:r>
          </a:p>
        </c:rich>
      </c:tx>
      <c:layout>
        <c:manualLayout>
          <c:xMode val="edge"/>
          <c:yMode val="edge"/>
          <c:x val="0.34688086564337062"/>
          <c:y val="2.37256076686066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57465986847042E-2"/>
          <c:y val="0.23110926717185523"/>
          <c:w val="0.88635582058329165"/>
          <c:h val="0.53462733333274737"/>
        </c:manualLayout>
      </c:layout>
      <c:scatterChart>
        <c:scatterStyle val="smoothMarker"/>
        <c:varyColors val="0"/>
        <c:ser>
          <c:idx val="0"/>
          <c:order val="0"/>
          <c:tx>
            <c:v>DEF LATERAL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'8 (No cumple por esbeltez)'!$L$26:$L$580</c:f>
              <c:numCache>
                <c:formatCode>0.000</c:formatCode>
                <c:ptCount val="5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'8 (No cumple por esbeltez)'!$O$26:$O$580</c:f>
              <c:numCache>
                <c:formatCode>0.0</c:formatCode>
                <c:ptCount val="5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1D-4093-8323-CEE8A8058E3C}"/>
            </c:ext>
          </c:extLst>
        </c:ser>
        <c:ser>
          <c:idx val="0"/>
          <c:order val="1"/>
          <c:tx>
            <c:v>DEF AXIAL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'8 (No cumple por esbeltez)'!$M$26:$M$580</c:f>
              <c:numCache>
                <c:formatCode>0.000</c:formatCode>
                <c:ptCount val="5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'8 (No cumple por esbeltez)'!$O$26:$O$580</c:f>
              <c:numCache>
                <c:formatCode>0.0</c:formatCode>
                <c:ptCount val="5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1D-4093-8323-CEE8A8058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887040"/>
        <c:axId val="687887584"/>
      </c:scatterChart>
      <c:valAx>
        <c:axId val="68788704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L" sz="10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Deformación Unitaria</a:t>
                </a:r>
                <a:r>
                  <a:rPr lang="es-CL" sz="105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[%]</a:t>
                </a:r>
              </a:p>
            </c:rich>
          </c:tx>
          <c:layout>
            <c:manualLayout>
              <c:xMode val="edge"/>
              <c:yMode val="edge"/>
              <c:x val="0.37689090741148984"/>
              <c:y val="0.853163997445983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7887584"/>
        <c:crossesAt val="0"/>
        <c:crossBetween val="midCat"/>
      </c:valAx>
      <c:valAx>
        <c:axId val="687887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 sz="1050"/>
                  <a:t>Tensión Axial D50 ( MPa )</a:t>
                </a:r>
              </a:p>
            </c:rich>
          </c:tx>
          <c:layout>
            <c:manualLayout>
              <c:xMode val="edge"/>
              <c:yMode val="edge"/>
              <c:x val="1.0562030809978541E-2"/>
              <c:y val="0.23880587653816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7887040"/>
        <c:crossesAt val="0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173267335511107"/>
          <c:y val="0.9214860744508574"/>
          <c:w val="0.3843561605926667"/>
          <c:h val="6.489279749122345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ysClr val="windowText" lastClr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33" r="0.75000000000000633" t="1" header="0" footer="0"/>
    <c:pageSetup paperSize="9" orientation="landscape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 sz="1050"/>
              <a:t>Gráfico: Tensión-Deformación </a:t>
            </a:r>
          </a:p>
        </c:rich>
      </c:tx>
      <c:layout>
        <c:manualLayout>
          <c:xMode val="edge"/>
          <c:yMode val="edge"/>
          <c:x val="0.34688086564337062"/>
          <c:y val="2.37256076686066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57465986847042E-2"/>
          <c:y val="0.23110926717185523"/>
          <c:w val="0.88635582058329165"/>
          <c:h val="0.53462733333274737"/>
        </c:manualLayout>
      </c:layout>
      <c:scatterChart>
        <c:scatterStyle val="smoothMarker"/>
        <c:varyColors val="0"/>
        <c:ser>
          <c:idx val="0"/>
          <c:order val="0"/>
          <c:tx>
            <c:v>DEF LATERAL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'9'!$L$26:$L$580</c:f>
              <c:numCache>
                <c:formatCode>0.000</c:formatCode>
                <c:ptCount val="555"/>
                <c:pt idx="0">
                  <c:v>0</c:v>
                </c:pt>
                <c:pt idx="1">
                  <c:v>9.0000000000000006E-5</c:v>
                </c:pt>
                <c:pt idx="2">
                  <c:v>-2.4399999999999999E-3</c:v>
                </c:pt>
                <c:pt idx="3">
                  <c:v>-6.0299999999999998E-3</c:v>
                </c:pt>
                <c:pt idx="4">
                  <c:v>-7.1200000000000013E-3</c:v>
                </c:pt>
                <c:pt idx="5">
                  <c:v>-9.0900000000000009E-3</c:v>
                </c:pt>
                <c:pt idx="6">
                  <c:v>-1.091E-2</c:v>
                </c:pt>
                <c:pt idx="7">
                  <c:v>-1.5309999999999997E-2</c:v>
                </c:pt>
                <c:pt idx="8">
                  <c:v>-1.9599999999999999E-2</c:v>
                </c:pt>
                <c:pt idx="9">
                  <c:v>-2.1480000000000003E-2</c:v>
                </c:pt>
                <c:pt idx="10">
                  <c:v>-2.4640000000000002E-2</c:v>
                </c:pt>
                <c:pt idx="11">
                  <c:v>-2.6249999999999999E-2</c:v>
                </c:pt>
                <c:pt idx="12">
                  <c:v>-2.7650000000000001E-2</c:v>
                </c:pt>
                <c:pt idx="13">
                  <c:v>-3.261E-2</c:v>
                </c:pt>
                <c:pt idx="14">
                  <c:v>-3.3930000000000002E-2</c:v>
                </c:pt>
                <c:pt idx="15">
                  <c:v>-4.0149999999999998E-2</c:v>
                </c:pt>
                <c:pt idx="16">
                  <c:v>-4.4969999999999996E-2</c:v>
                </c:pt>
                <c:pt idx="17">
                  <c:v>-5.2989999999999995E-2</c:v>
                </c:pt>
                <c:pt idx="18">
                  <c:v>-6.2440000000000002E-2</c:v>
                </c:pt>
                <c:pt idx="19">
                  <c:v>-6.7639999999999992E-2</c:v>
                </c:pt>
                <c:pt idx="20">
                  <c:v>-7.0290000000000005E-2</c:v>
                </c:pt>
                <c:pt idx="21">
                  <c:v>-7.7770000000000006E-2</c:v>
                </c:pt>
                <c:pt idx="22">
                  <c:v>-7.851000000000001E-2</c:v>
                </c:pt>
                <c:pt idx="23">
                  <c:v>-8.5959999999999995E-2</c:v>
                </c:pt>
                <c:pt idx="24">
                  <c:v>-9.1859999999999997E-2</c:v>
                </c:pt>
                <c:pt idx="25">
                  <c:v>-8.9069999999999996E-2</c:v>
                </c:pt>
                <c:pt idx="26">
                  <c:v>-1.823E-2</c:v>
                </c:pt>
                <c:pt idx="27">
                  <c:v>-1.7769999999999998E-2</c:v>
                </c:pt>
                <c:pt idx="28">
                  <c:v>-8.8229999999999989E-2</c:v>
                </c:pt>
                <c:pt idx="29">
                  <c:v>-0.12404</c:v>
                </c:pt>
                <c:pt idx="30">
                  <c:v>-0.22108000000000003</c:v>
                </c:pt>
                <c:pt idx="31">
                  <c:v>-0.23041</c:v>
                </c:pt>
                <c:pt idx="32">
                  <c:v>-0.23249</c:v>
                </c:pt>
              </c:numCache>
            </c:numRef>
          </c:xVal>
          <c:yVal>
            <c:numRef>
              <c:f>'9'!$O$26:$O$580</c:f>
              <c:numCache>
                <c:formatCode>0.0</c:formatCode>
                <c:ptCount val="555"/>
                <c:pt idx="0">
                  <c:v>0</c:v>
                </c:pt>
                <c:pt idx="1">
                  <c:v>3.7924088990496818</c:v>
                </c:pt>
                <c:pt idx="2">
                  <c:v>4.8553736110009789</c:v>
                </c:pt>
                <c:pt idx="3">
                  <c:v>6.1912473449018091</c:v>
                </c:pt>
                <c:pt idx="4">
                  <c:v>6.579195837841743</c:v>
                </c:pt>
                <c:pt idx="5">
                  <c:v>7.110501210015868</c:v>
                </c:pt>
                <c:pt idx="6">
                  <c:v>7.5703051263744205</c:v>
                </c:pt>
                <c:pt idx="7">
                  <c:v>8.4750463197635373</c:v>
                </c:pt>
                <c:pt idx="8">
                  <c:v>9.739418597848795</c:v>
                </c:pt>
                <c:pt idx="9">
                  <c:v>10.227539922451138</c:v>
                </c:pt>
                <c:pt idx="10">
                  <c:v>10.799551568975712</c:v>
                </c:pt>
                <c:pt idx="11">
                  <c:v>11.198827025213163</c:v>
                </c:pt>
                <c:pt idx="12">
                  <c:v>11.798094177172386</c:v>
                </c:pt>
                <c:pt idx="13">
                  <c:v>12.71097662543159</c:v>
                </c:pt>
                <c:pt idx="14">
                  <c:v>13.452538753815862</c:v>
                </c:pt>
                <c:pt idx="15">
                  <c:v>14.522228850225058</c:v>
                </c:pt>
                <c:pt idx="16">
                  <c:v>15.164326082153016</c:v>
                </c:pt>
                <c:pt idx="17">
                  <c:v>16.690280418890293</c:v>
                </c:pt>
                <c:pt idx="18">
                  <c:v>17.146898626821418</c:v>
                </c:pt>
                <c:pt idx="19">
                  <c:v>18.416226451349342</c:v>
                </c:pt>
                <c:pt idx="20">
                  <c:v>19.015493603308563</c:v>
                </c:pt>
                <c:pt idx="21">
                  <c:v>19.856874595752199</c:v>
                </c:pt>
                <c:pt idx="22">
                  <c:v>20.156331187930288</c:v>
                </c:pt>
                <c:pt idx="23">
                  <c:v>21.254692660186318</c:v>
                </c:pt>
                <c:pt idx="24">
                  <c:v>22.395884212411087</c:v>
                </c:pt>
                <c:pt idx="25">
                  <c:v>23.166117716642198</c:v>
                </c:pt>
                <c:pt idx="26">
                  <c:v>24.307309268866966</c:v>
                </c:pt>
                <c:pt idx="27">
                  <c:v>24.949052533191878</c:v>
                </c:pt>
                <c:pt idx="28">
                  <c:v>27.259753045885205</c:v>
                </c:pt>
                <c:pt idx="29">
                  <c:v>27.730529957938227</c:v>
                </c:pt>
                <c:pt idx="30">
                  <c:v>28.800220054347424</c:v>
                </c:pt>
                <c:pt idx="31">
                  <c:v>29.841238774909783</c:v>
                </c:pt>
                <c:pt idx="32">
                  <c:v>30.141049334690916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BA-4BC2-92A9-3114ED27B892}"/>
            </c:ext>
          </c:extLst>
        </c:ser>
        <c:ser>
          <c:idx val="0"/>
          <c:order val="1"/>
          <c:tx>
            <c:v>DEF AXIAL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'9'!$M$26:$M$580</c:f>
              <c:numCache>
                <c:formatCode>0.000</c:formatCode>
                <c:ptCount val="555"/>
                <c:pt idx="0">
                  <c:v>0</c:v>
                </c:pt>
                <c:pt idx="1">
                  <c:v>2.9299999999999999E-3</c:v>
                </c:pt>
                <c:pt idx="2">
                  <c:v>1.737E-2</c:v>
                </c:pt>
                <c:pt idx="3">
                  <c:v>4.369E-2</c:v>
                </c:pt>
                <c:pt idx="4">
                  <c:v>5.6379999999999993E-2</c:v>
                </c:pt>
                <c:pt idx="5">
                  <c:v>7.4070000000000011E-2</c:v>
                </c:pt>
                <c:pt idx="6">
                  <c:v>8.2059999999999994E-2</c:v>
                </c:pt>
                <c:pt idx="7">
                  <c:v>0.11874000000000001</c:v>
                </c:pt>
                <c:pt idx="8">
                  <c:v>0.15204000000000001</c:v>
                </c:pt>
                <c:pt idx="9">
                  <c:v>0.16736999999999999</c:v>
                </c:pt>
                <c:pt idx="10">
                  <c:v>0.20257999999999998</c:v>
                </c:pt>
                <c:pt idx="11">
                  <c:v>0.20711999999999997</c:v>
                </c:pt>
                <c:pt idx="12">
                  <c:v>0.23154999999999998</c:v>
                </c:pt>
                <c:pt idx="13">
                  <c:v>0.27124000000000004</c:v>
                </c:pt>
                <c:pt idx="14">
                  <c:v>0.29815999999999998</c:v>
                </c:pt>
                <c:pt idx="15">
                  <c:v>0.32056999999999997</c:v>
                </c:pt>
                <c:pt idx="16">
                  <c:v>0.32945999999999998</c:v>
                </c:pt>
                <c:pt idx="17">
                  <c:v>0.33210000000000001</c:v>
                </c:pt>
                <c:pt idx="18">
                  <c:v>0.30046</c:v>
                </c:pt>
                <c:pt idx="19">
                  <c:v>0.32829000000000003</c:v>
                </c:pt>
                <c:pt idx="20">
                  <c:v>0.33390999999999998</c:v>
                </c:pt>
                <c:pt idx="21">
                  <c:v>0.35333000000000003</c:v>
                </c:pt>
                <c:pt idx="22">
                  <c:v>0.35905999999999999</c:v>
                </c:pt>
                <c:pt idx="23">
                  <c:v>0.35949000000000003</c:v>
                </c:pt>
                <c:pt idx="24">
                  <c:v>0.36188999999999999</c:v>
                </c:pt>
                <c:pt idx="25">
                  <c:v>0.36473</c:v>
                </c:pt>
                <c:pt idx="26">
                  <c:v>0.34208000000000005</c:v>
                </c:pt>
                <c:pt idx="27">
                  <c:v>0.34527000000000002</c:v>
                </c:pt>
                <c:pt idx="28">
                  <c:v>0.37469999999999998</c:v>
                </c:pt>
                <c:pt idx="29">
                  <c:v>0.37875999999999999</c:v>
                </c:pt>
                <c:pt idx="30">
                  <c:v>0.38286999999999999</c:v>
                </c:pt>
                <c:pt idx="31">
                  <c:v>0.38255999999999996</c:v>
                </c:pt>
                <c:pt idx="32">
                  <c:v>0.37995000000000001</c:v>
                </c:pt>
              </c:numCache>
            </c:numRef>
          </c:xVal>
          <c:yVal>
            <c:numRef>
              <c:f>'9'!$O$26:$O$580</c:f>
              <c:numCache>
                <c:formatCode>0.0</c:formatCode>
                <c:ptCount val="555"/>
                <c:pt idx="0">
                  <c:v>0</c:v>
                </c:pt>
                <c:pt idx="1">
                  <c:v>3.7924088990496818</c:v>
                </c:pt>
                <c:pt idx="2">
                  <c:v>4.8553736110009789</c:v>
                </c:pt>
                <c:pt idx="3">
                  <c:v>6.1912473449018091</c:v>
                </c:pt>
                <c:pt idx="4">
                  <c:v>6.579195837841743</c:v>
                </c:pt>
                <c:pt idx="5">
                  <c:v>7.110501210015868</c:v>
                </c:pt>
                <c:pt idx="6">
                  <c:v>7.5703051263744205</c:v>
                </c:pt>
                <c:pt idx="7">
                  <c:v>8.4750463197635373</c:v>
                </c:pt>
                <c:pt idx="8">
                  <c:v>9.739418597848795</c:v>
                </c:pt>
                <c:pt idx="9">
                  <c:v>10.227539922451138</c:v>
                </c:pt>
                <c:pt idx="10">
                  <c:v>10.799551568975712</c:v>
                </c:pt>
                <c:pt idx="11">
                  <c:v>11.198827025213163</c:v>
                </c:pt>
                <c:pt idx="12">
                  <c:v>11.798094177172386</c:v>
                </c:pt>
                <c:pt idx="13">
                  <c:v>12.71097662543159</c:v>
                </c:pt>
                <c:pt idx="14">
                  <c:v>13.452538753815862</c:v>
                </c:pt>
                <c:pt idx="15">
                  <c:v>14.522228850225058</c:v>
                </c:pt>
                <c:pt idx="16">
                  <c:v>15.164326082153016</c:v>
                </c:pt>
                <c:pt idx="17">
                  <c:v>16.690280418890293</c:v>
                </c:pt>
                <c:pt idx="18">
                  <c:v>17.146898626821418</c:v>
                </c:pt>
                <c:pt idx="19">
                  <c:v>18.416226451349342</c:v>
                </c:pt>
                <c:pt idx="20">
                  <c:v>19.015493603308563</c:v>
                </c:pt>
                <c:pt idx="21">
                  <c:v>19.856874595752199</c:v>
                </c:pt>
                <c:pt idx="22">
                  <c:v>20.156331187930288</c:v>
                </c:pt>
                <c:pt idx="23">
                  <c:v>21.254692660186318</c:v>
                </c:pt>
                <c:pt idx="24">
                  <c:v>22.395884212411087</c:v>
                </c:pt>
                <c:pt idx="25">
                  <c:v>23.166117716642198</c:v>
                </c:pt>
                <c:pt idx="26">
                  <c:v>24.307309268866966</c:v>
                </c:pt>
                <c:pt idx="27">
                  <c:v>24.949052533191878</c:v>
                </c:pt>
                <c:pt idx="28">
                  <c:v>27.259753045885205</c:v>
                </c:pt>
                <c:pt idx="29">
                  <c:v>27.730529957938227</c:v>
                </c:pt>
                <c:pt idx="30">
                  <c:v>28.800220054347424</c:v>
                </c:pt>
                <c:pt idx="31">
                  <c:v>29.841238774909783</c:v>
                </c:pt>
                <c:pt idx="32">
                  <c:v>30.141049334690916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BA-4BC2-92A9-3114ED27B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887040"/>
        <c:axId val="687887584"/>
      </c:scatterChart>
      <c:valAx>
        <c:axId val="68788704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L" sz="10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Deformación Unitaria</a:t>
                </a:r>
                <a:r>
                  <a:rPr lang="es-CL" sz="105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[%]</a:t>
                </a:r>
              </a:p>
            </c:rich>
          </c:tx>
          <c:layout>
            <c:manualLayout>
              <c:xMode val="edge"/>
              <c:yMode val="edge"/>
              <c:x val="0.37689090741148984"/>
              <c:y val="0.8531639974459839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7887584"/>
        <c:crossesAt val="0"/>
        <c:crossBetween val="midCat"/>
      </c:valAx>
      <c:valAx>
        <c:axId val="687887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 sz="1050"/>
                  <a:t>Tensión Axial D50 ( MPa )</a:t>
                </a:r>
              </a:p>
            </c:rich>
          </c:tx>
          <c:layout>
            <c:manualLayout>
              <c:xMode val="edge"/>
              <c:yMode val="edge"/>
              <c:x val="1.0562030809978541E-2"/>
              <c:y val="0.23880587653816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7887040"/>
        <c:crossesAt val="0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173267335511107"/>
          <c:y val="0.9214860744508574"/>
          <c:w val="0.3843561605926667"/>
          <c:h val="6.489279749122345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ysClr val="windowText" lastClr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633" r="0.75000000000000633" t="1" header="0" footer="0"/>
    <c:pageSetup paperSize="9" orientation="landscape" horizontalDpi="300" verticalDpi="30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7" Type="http://schemas.openxmlformats.org/officeDocument/2006/relationships/image" Target="../media/image6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6" Type="http://schemas.openxmlformats.org/officeDocument/2006/relationships/image" Target="../media/image5.jpeg"/><Relationship Id="rId5" Type="http://schemas.openxmlformats.org/officeDocument/2006/relationships/image" Target="../media/image4.jpeg"/><Relationship Id="rId4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7" Type="http://schemas.openxmlformats.org/officeDocument/2006/relationships/image" Target="../media/image12.jpeg"/><Relationship Id="rId2" Type="http://schemas.openxmlformats.org/officeDocument/2006/relationships/image" Target="../media/image7.jpeg"/><Relationship Id="rId1" Type="http://schemas.openxmlformats.org/officeDocument/2006/relationships/chart" Target="../charts/chart3.xml"/><Relationship Id="rId6" Type="http://schemas.openxmlformats.org/officeDocument/2006/relationships/image" Target="../media/image11.jpeg"/><Relationship Id="rId5" Type="http://schemas.openxmlformats.org/officeDocument/2006/relationships/image" Target="../media/image10.jpeg"/><Relationship Id="rId4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5</xdr:row>
      <xdr:rowOff>0</xdr:rowOff>
    </xdr:from>
    <xdr:to>
      <xdr:col>8</xdr:col>
      <xdr:colOff>0</xdr:colOff>
      <xdr:row>9</xdr:row>
      <xdr:rowOff>57150</xdr:rowOff>
    </xdr:to>
    <xdr:sp macro="[0]!Módulo1.CrearHojas" textlink="">
      <xdr:nvSpPr>
        <xdr:cNvPr id="2" name="1 CuadroTexto"/>
        <xdr:cNvSpPr txBox="1"/>
      </xdr:nvSpPr>
      <xdr:spPr>
        <a:xfrm>
          <a:off x="5172075" y="809625"/>
          <a:ext cx="1600200" cy="70485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800" b="1" i="0"/>
            <a:t>CREAR HOJAS</a:t>
          </a:r>
        </a:p>
      </xdr:txBody>
    </xdr:sp>
    <xdr:clientData/>
  </xdr:twoCellAnchor>
  <xdr:twoCellAnchor>
    <xdr:from>
      <xdr:col>8</xdr:col>
      <xdr:colOff>114300</xdr:colOff>
      <xdr:row>5</xdr:row>
      <xdr:rowOff>0</xdr:rowOff>
    </xdr:from>
    <xdr:to>
      <xdr:col>10</xdr:col>
      <xdr:colOff>0</xdr:colOff>
      <xdr:row>9</xdr:row>
      <xdr:rowOff>66675</xdr:rowOff>
    </xdr:to>
    <xdr:sp macro="[0]!Módulo1.CambiaNombres" textlink="">
      <xdr:nvSpPr>
        <xdr:cNvPr id="5" name="4 CuadroTexto"/>
        <xdr:cNvSpPr txBox="1"/>
      </xdr:nvSpPr>
      <xdr:spPr>
        <a:xfrm>
          <a:off x="6886575" y="809625"/>
          <a:ext cx="1562100" cy="714375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600" b="1" i="1"/>
            <a:t>CAMBIAR</a:t>
          </a:r>
          <a:r>
            <a:rPr lang="es-ES" sz="1600" b="1" i="1" baseline="0"/>
            <a:t> NOMBRE HOJAS</a:t>
          </a:r>
          <a:endParaRPr lang="es-ES" sz="16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59276</xdr:colOff>
      <xdr:row>3</xdr:row>
      <xdr:rowOff>28575</xdr:rowOff>
    </xdr:from>
    <xdr:to>
      <xdr:col>26</xdr:col>
      <xdr:colOff>438149</xdr:colOff>
      <xdr:row>21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381875</xdr:colOff>
      <xdr:row>1</xdr:row>
      <xdr:rowOff>17320</xdr:rowOff>
    </xdr:from>
    <xdr:to>
      <xdr:col>26</xdr:col>
      <xdr:colOff>217721</xdr:colOff>
      <xdr:row>2</xdr:row>
      <xdr:rowOff>45895</xdr:rowOff>
    </xdr:to>
    <xdr:sp macro="" textlink="">
      <xdr:nvSpPr>
        <xdr:cNvPr id="3" name="Text Box 8"/>
        <xdr:cNvSpPr txBox="1">
          <a:spLocks noChangeArrowheads="1"/>
        </xdr:cNvSpPr>
      </xdr:nvSpPr>
      <xdr:spPr bwMode="auto">
        <a:xfrm>
          <a:off x="18069800" y="207820"/>
          <a:ext cx="6731946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u="sng" strike="noStrike">
              <a:solidFill>
                <a:srgbClr val="000000"/>
              </a:solidFill>
              <a:latin typeface="Arial"/>
              <a:cs typeface="Arial"/>
            </a:rPr>
            <a:t>ENSAYO DE COMPRESIÓN SIMPLE CON MEDICIÓN DE DEFORMACIÓN</a:t>
          </a:r>
        </a:p>
      </xdr:txBody>
    </xdr:sp>
    <xdr:clientData/>
  </xdr:twoCellAnchor>
  <xdr:twoCellAnchor>
    <xdr:from>
      <xdr:col>17</xdr:col>
      <xdr:colOff>37113</xdr:colOff>
      <xdr:row>22</xdr:row>
      <xdr:rowOff>17320</xdr:rowOff>
    </xdr:from>
    <xdr:to>
      <xdr:col>24</xdr:col>
      <xdr:colOff>355712</xdr:colOff>
      <xdr:row>23</xdr:row>
      <xdr:rowOff>36370</xdr:rowOff>
    </xdr:to>
    <xdr:sp macro="" textlink="">
      <xdr:nvSpPr>
        <xdr:cNvPr id="4" name="Text Box 9"/>
        <xdr:cNvSpPr txBox="1">
          <a:spLocks noChangeArrowheads="1"/>
        </xdr:cNvSpPr>
      </xdr:nvSpPr>
      <xdr:spPr bwMode="auto">
        <a:xfrm>
          <a:off x="17725038" y="4208320"/>
          <a:ext cx="6709874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strike="noStrike">
              <a:solidFill>
                <a:srgbClr val="000000"/>
              </a:solidFill>
              <a:latin typeface="Arial"/>
              <a:cs typeface="Arial"/>
            </a:rPr>
            <a:t>FOTOGRAFÍAS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590550</xdr:colOff>
          <xdr:row>0</xdr:row>
          <xdr:rowOff>123825</xdr:rowOff>
        </xdr:from>
        <xdr:to>
          <xdr:col>30</xdr:col>
          <xdr:colOff>323850</xdr:colOff>
          <xdr:row>3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PEGAR FOTOS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97634</xdr:colOff>
      <xdr:row>24</xdr:row>
      <xdr:rowOff>4762</xdr:rowOff>
    </xdr:from>
    <xdr:to>
      <xdr:col>20</xdr:col>
      <xdr:colOff>451559</xdr:colOff>
      <xdr:row>46</xdr:row>
      <xdr:rowOff>133762</xdr:rowOff>
    </xdr:to>
    <xdr:sp macro="" textlink="">
      <xdr:nvSpPr>
        <xdr:cNvPr id="6" name="Rectangle 10"/>
        <xdr:cNvSpPr>
          <a:spLocks noChangeArrowheads="1"/>
        </xdr:cNvSpPr>
      </xdr:nvSpPr>
      <xdr:spPr bwMode="auto">
        <a:xfrm>
          <a:off x="17785559" y="4576762"/>
          <a:ext cx="33924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726284</xdr:colOff>
      <xdr:row>23</xdr:row>
      <xdr:rowOff>185737</xdr:rowOff>
    </xdr:from>
    <xdr:to>
      <xdr:col>28</xdr:col>
      <xdr:colOff>689459</xdr:colOff>
      <xdr:row>46</xdr:row>
      <xdr:rowOff>124237</xdr:rowOff>
    </xdr:to>
    <xdr:sp macro="" textlink="">
      <xdr:nvSpPr>
        <xdr:cNvPr id="7" name="Rectangle 11"/>
        <xdr:cNvSpPr>
          <a:spLocks noChangeArrowheads="1"/>
        </xdr:cNvSpPr>
      </xdr:nvSpPr>
      <xdr:spPr bwMode="auto">
        <a:xfrm>
          <a:off x="21452684" y="4567237"/>
          <a:ext cx="50400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116684</xdr:colOff>
      <xdr:row>55</xdr:row>
      <xdr:rowOff>114298</xdr:rowOff>
    </xdr:from>
    <xdr:to>
      <xdr:col>20</xdr:col>
      <xdr:colOff>470609</xdr:colOff>
      <xdr:row>78</xdr:row>
      <xdr:rowOff>52798</xdr:rowOff>
    </xdr:to>
    <xdr:sp macro="" textlink="">
      <xdr:nvSpPr>
        <xdr:cNvPr id="8" name="Rectangle 10"/>
        <xdr:cNvSpPr>
          <a:spLocks noChangeArrowheads="1"/>
        </xdr:cNvSpPr>
      </xdr:nvSpPr>
      <xdr:spPr bwMode="auto">
        <a:xfrm>
          <a:off x="17804609" y="10591798"/>
          <a:ext cx="33924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726284</xdr:colOff>
      <xdr:row>55</xdr:row>
      <xdr:rowOff>104773</xdr:rowOff>
    </xdr:from>
    <xdr:to>
      <xdr:col>28</xdr:col>
      <xdr:colOff>689459</xdr:colOff>
      <xdr:row>78</xdr:row>
      <xdr:rowOff>43273</xdr:rowOff>
    </xdr:to>
    <xdr:sp macro="" textlink="">
      <xdr:nvSpPr>
        <xdr:cNvPr id="9" name="Rectangle 10"/>
        <xdr:cNvSpPr>
          <a:spLocks noChangeArrowheads="1"/>
        </xdr:cNvSpPr>
      </xdr:nvSpPr>
      <xdr:spPr bwMode="auto">
        <a:xfrm>
          <a:off x="21452684" y="10582273"/>
          <a:ext cx="50400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116684</xdr:colOff>
      <xdr:row>83</xdr:row>
      <xdr:rowOff>99146</xdr:rowOff>
    </xdr:from>
    <xdr:to>
      <xdr:col>20</xdr:col>
      <xdr:colOff>470609</xdr:colOff>
      <xdr:row>106</xdr:row>
      <xdr:rowOff>37646</xdr:rowOff>
    </xdr:to>
    <xdr:sp macro="" textlink="">
      <xdr:nvSpPr>
        <xdr:cNvPr id="10" name="Rectangle 10"/>
        <xdr:cNvSpPr>
          <a:spLocks noChangeArrowheads="1"/>
        </xdr:cNvSpPr>
      </xdr:nvSpPr>
      <xdr:spPr bwMode="auto">
        <a:xfrm>
          <a:off x="17804609" y="15910646"/>
          <a:ext cx="33924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726284</xdr:colOff>
      <xdr:row>83</xdr:row>
      <xdr:rowOff>99146</xdr:rowOff>
    </xdr:from>
    <xdr:to>
      <xdr:col>28</xdr:col>
      <xdr:colOff>689459</xdr:colOff>
      <xdr:row>106</xdr:row>
      <xdr:rowOff>37646</xdr:rowOff>
    </xdr:to>
    <xdr:sp macro="" textlink="">
      <xdr:nvSpPr>
        <xdr:cNvPr id="11" name="Rectangle 10"/>
        <xdr:cNvSpPr>
          <a:spLocks noChangeArrowheads="1"/>
        </xdr:cNvSpPr>
      </xdr:nvSpPr>
      <xdr:spPr bwMode="auto">
        <a:xfrm>
          <a:off x="21452684" y="15910646"/>
          <a:ext cx="50400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68723</xdr:colOff>
      <xdr:row>46</xdr:row>
      <xdr:rowOff>166688</xdr:rowOff>
    </xdr:from>
    <xdr:to>
      <xdr:col>20</xdr:col>
      <xdr:colOff>495300</xdr:colOff>
      <xdr:row>50</xdr:row>
      <xdr:rowOff>28575</xdr:rowOff>
    </xdr:to>
    <xdr:grpSp>
      <xdr:nvGrpSpPr>
        <xdr:cNvPr id="12" name="Grupo 11"/>
        <xdr:cNvGrpSpPr/>
      </xdr:nvGrpSpPr>
      <xdr:grpSpPr>
        <a:xfrm>
          <a:off x="17756648" y="8929688"/>
          <a:ext cx="3465052" cy="623887"/>
          <a:chOff x="25511755" y="3321844"/>
          <a:chExt cx="3222542" cy="623887"/>
        </a:xfrm>
      </xdr:grpSpPr>
      <xdr:sp macro="" textlink="'6'!$AH$5">
        <xdr:nvSpPr>
          <xdr:cNvPr id="13" name="CuadroTexto 12"/>
          <xdr:cNvSpPr txBox="1"/>
        </xdr:nvSpPr>
        <xdr:spPr>
          <a:xfrm>
            <a:off x="25511755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FFEAF00-B085-45B6-B7D1-CFFE45E09D7A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6'!$AH$6">
        <xdr:nvSpPr>
          <xdr:cNvPr id="14" name="CuadroTexto 13"/>
          <xdr:cNvSpPr txBox="1"/>
        </xdr:nvSpPr>
        <xdr:spPr>
          <a:xfrm>
            <a:off x="25519609" y="350996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6F79C26B-8077-4A05-A667-76D54029C3A5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(1,26-1,40)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15" name="CuadroTexto 14"/>
          <xdr:cNvSpPr txBox="1"/>
        </xdr:nvSpPr>
        <xdr:spPr>
          <a:xfrm>
            <a:off x="25517229" y="3707606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20</xdr:col>
      <xdr:colOff>697703</xdr:colOff>
      <xdr:row>46</xdr:row>
      <xdr:rowOff>166688</xdr:rowOff>
    </xdr:from>
    <xdr:to>
      <xdr:col>27</xdr:col>
      <xdr:colOff>47624</xdr:colOff>
      <xdr:row>50</xdr:row>
      <xdr:rowOff>19050</xdr:rowOff>
    </xdr:to>
    <xdr:grpSp>
      <xdr:nvGrpSpPr>
        <xdr:cNvPr id="16" name="Grupo 15"/>
        <xdr:cNvGrpSpPr/>
      </xdr:nvGrpSpPr>
      <xdr:grpSpPr>
        <a:xfrm>
          <a:off x="21424103" y="8929688"/>
          <a:ext cx="3712371" cy="614362"/>
          <a:chOff x="25486518" y="3321844"/>
          <a:chExt cx="3219451" cy="614362"/>
        </a:xfrm>
      </xdr:grpSpPr>
      <xdr:sp macro="" textlink="'6'!$AH$5">
        <xdr:nvSpPr>
          <xdr:cNvPr id="17" name="CuadroTexto 16"/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C75F0B7-B6A6-4C8D-9F3A-E3BA5CD0D7D2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6'!$AH$6">
        <xdr:nvSpPr>
          <xdr:cNvPr id="18" name="CuadroTexto 17"/>
          <xdr:cNvSpPr txBox="1"/>
        </xdr:nvSpPr>
        <xdr:spPr>
          <a:xfrm>
            <a:off x="25488899" y="350996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25A348E6-EF83-4A60-9F5B-6BBF72782FAF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(1,26-1,40)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19" name="CuadroTexto 18"/>
          <xdr:cNvSpPr txBox="1"/>
        </xdr:nvSpPr>
        <xdr:spPr>
          <a:xfrm>
            <a:off x="25486518" y="3698081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17</xdr:col>
      <xdr:colOff>68187</xdr:colOff>
      <xdr:row>78</xdr:row>
      <xdr:rowOff>146556</xdr:rowOff>
    </xdr:from>
    <xdr:to>
      <xdr:col>20</xdr:col>
      <xdr:colOff>571499</xdr:colOff>
      <xdr:row>82</xdr:row>
      <xdr:rowOff>8443</xdr:rowOff>
    </xdr:to>
    <xdr:grpSp>
      <xdr:nvGrpSpPr>
        <xdr:cNvPr id="20" name="Grupo 19"/>
        <xdr:cNvGrpSpPr/>
      </xdr:nvGrpSpPr>
      <xdr:grpSpPr>
        <a:xfrm>
          <a:off x="17756112" y="15005556"/>
          <a:ext cx="3541787" cy="623887"/>
          <a:chOff x="25517415" y="3283744"/>
          <a:chExt cx="3219452" cy="623887"/>
        </a:xfrm>
      </xdr:grpSpPr>
      <xdr:sp macro="" textlink="'6'!$AH$5">
        <xdr:nvSpPr>
          <xdr:cNvPr id="21" name="CuadroTexto 20"/>
          <xdr:cNvSpPr txBox="1"/>
        </xdr:nvSpPr>
        <xdr:spPr>
          <a:xfrm>
            <a:off x="25522179" y="32837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59E90E67-4291-489E-9A58-1996BB25D1D1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6'!$AH$6">
        <xdr:nvSpPr>
          <xdr:cNvPr id="22" name="CuadroTexto 21"/>
          <xdr:cNvSpPr txBox="1"/>
        </xdr:nvSpPr>
        <xdr:spPr>
          <a:xfrm>
            <a:off x="25519797" y="347186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580565AE-F359-4AE0-9805-4463606DB422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(1,26-1,40)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23" name="CuadroTexto 22"/>
          <xdr:cNvSpPr txBox="1"/>
        </xdr:nvSpPr>
        <xdr:spPr>
          <a:xfrm>
            <a:off x="25517415" y="3669506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20</xdr:col>
      <xdr:colOff>689541</xdr:colOff>
      <xdr:row>78</xdr:row>
      <xdr:rowOff>128588</xdr:rowOff>
    </xdr:from>
    <xdr:to>
      <xdr:col>26</xdr:col>
      <xdr:colOff>457200</xdr:colOff>
      <xdr:row>81</xdr:row>
      <xdr:rowOff>171450</xdr:rowOff>
    </xdr:to>
    <xdr:grpSp>
      <xdr:nvGrpSpPr>
        <xdr:cNvPr id="24" name="Grupo 23"/>
        <xdr:cNvGrpSpPr/>
      </xdr:nvGrpSpPr>
      <xdr:grpSpPr>
        <a:xfrm>
          <a:off x="21415941" y="14987588"/>
          <a:ext cx="3625284" cy="614362"/>
          <a:chOff x="25418992" y="3321844"/>
          <a:chExt cx="3222633" cy="614362"/>
        </a:xfrm>
      </xdr:grpSpPr>
      <xdr:sp macro="" textlink="'6'!$AH$5">
        <xdr:nvSpPr>
          <xdr:cNvPr id="25" name="CuadroTexto 24"/>
          <xdr:cNvSpPr txBox="1"/>
        </xdr:nvSpPr>
        <xdr:spPr>
          <a:xfrm>
            <a:off x="25418992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EB45B3E-FD2A-4DAF-8E68-6E2A571B8237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6'!$AH$6">
        <xdr:nvSpPr>
          <xdr:cNvPr id="26" name="CuadroTexto 25"/>
          <xdr:cNvSpPr txBox="1"/>
        </xdr:nvSpPr>
        <xdr:spPr>
          <a:xfrm>
            <a:off x="25426937" y="350996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2AFBAD1-2E91-4936-9828-84148374AEB1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(1,26-1,40)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27" name="CuadroTexto 26"/>
          <xdr:cNvSpPr txBox="1"/>
        </xdr:nvSpPr>
        <xdr:spPr>
          <a:xfrm>
            <a:off x="25424556" y="3698081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17</xdr:col>
      <xdr:colOff>76171</xdr:colOff>
      <xdr:row>106</xdr:row>
      <xdr:rowOff>122534</xdr:rowOff>
    </xdr:from>
    <xdr:to>
      <xdr:col>20</xdr:col>
      <xdr:colOff>485775</xdr:colOff>
      <xdr:row>110</xdr:row>
      <xdr:rowOff>51098</xdr:rowOff>
    </xdr:to>
    <xdr:grpSp>
      <xdr:nvGrpSpPr>
        <xdr:cNvPr id="28" name="Grupo 27"/>
        <xdr:cNvGrpSpPr/>
      </xdr:nvGrpSpPr>
      <xdr:grpSpPr>
        <a:xfrm>
          <a:off x="17764096" y="20315534"/>
          <a:ext cx="3448079" cy="690564"/>
          <a:chOff x="25549548" y="3290933"/>
          <a:chExt cx="3218481" cy="560268"/>
        </a:xfrm>
      </xdr:grpSpPr>
      <xdr:sp macro="" textlink="'6'!$AH$5">
        <xdr:nvSpPr>
          <xdr:cNvPr id="29" name="CuadroTexto 28"/>
          <xdr:cNvSpPr txBox="1"/>
        </xdr:nvSpPr>
        <xdr:spPr>
          <a:xfrm>
            <a:off x="25553341" y="329093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B8086FEF-2E65-48BB-ADDF-4AE9687D5BF2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6'!$AH$6">
        <xdr:nvSpPr>
          <xdr:cNvPr id="30" name="CuadroTexto 29"/>
          <xdr:cNvSpPr txBox="1"/>
        </xdr:nvSpPr>
        <xdr:spPr>
          <a:xfrm>
            <a:off x="25551932" y="3448139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C7C21ADD-19D4-459F-A385-F0EC9E4CDEE0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(1,26-1,40)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31" name="CuadroTexto 30"/>
          <xdr:cNvSpPr txBox="1"/>
        </xdr:nvSpPr>
        <xdr:spPr>
          <a:xfrm>
            <a:off x="25549548" y="3613076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20</xdr:col>
      <xdr:colOff>678004</xdr:colOff>
      <xdr:row>106</xdr:row>
      <xdr:rowOff>122525</xdr:rowOff>
    </xdr:from>
    <xdr:to>
      <xdr:col>26</xdr:col>
      <xdr:colOff>447675</xdr:colOff>
      <xdr:row>110</xdr:row>
      <xdr:rowOff>22509</xdr:rowOff>
    </xdr:to>
    <xdr:grpSp>
      <xdr:nvGrpSpPr>
        <xdr:cNvPr id="32" name="Grupo 31"/>
        <xdr:cNvGrpSpPr/>
      </xdr:nvGrpSpPr>
      <xdr:grpSpPr>
        <a:xfrm>
          <a:off x="21404404" y="20315525"/>
          <a:ext cx="3627296" cy="661984"/>
          <a:chOff x="25486518" y="3305570"/>
          <a:chExt cx="3219451" cy="565537"/>
        </a:xfrm>
      </xdr:grpSpPr>
      <xdr:sp macro="" textlink="'6'!$AH$5">
        <xdr:nvSpPr>
          <xdr:cNvPr id="33" name="CuadroTexto 32"/>
          <xdr:cNvSpPr txBox="1"/>
        </xdr:nvSpPr>
        <xdr:spPr>
          <a:xfrm>
            <a:off x="25491281" y="3305570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E2BCC63-DE14-42D1-9D82-2FD55621ADF6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6'!$AH$6">
        <xdr:nvSpPr>
          <xdr:cNvPr id="34" name="CuadroTexto 33"/>
          <xdr:cNvSpPr txBox="1"/>
        </xdr:nvSpPr>
        <xdr:spPr>
          <a:xfrm>
            <a:off x="25488899" y="3477415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0D4823B-7877-435A-B8F2-BA43CFC6934D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(1,26-1,40)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35" name="CuadroTexto 34"/>
          <xdr:cNvSpPr txBox="1"/>
        </xdr:nvSpPr>
        <xdr:spPr>
          <a:xfrm>
            <a:off x="25486518" y="3632982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16</xdr:col>
      <xdr:colOff>738188</xdr:colOff>
      <xdr:row>53</xdr:row>
      <xdr:rowOff>128804</xdr:rowOff>
    </xdr:from>
    <xdr:to>
      <xdr:col>24</xdr:col>
      <xdr:colOff>370987</xdr:colOff>
      <xdr:row>54</xdr:row>
      <xdr:rowOff>147854</xdr:rowOff>
    </xdr:to>
    <xdr:sp macro="" textlink="">
      <xdr:nvSpPr>
        <xdr:cNvPr id="36" name="Text Box 9"/>
        <xdr:cNvSpPr txBox="1">
          <a:spLocks noChangeArrowheads="1"/>
        </xdr:cNvSpPr>
      </xdr:nvSpPr>
      <xdr:spPr bwMode="auto">
        <a:xfrm>
          <a:off x="17683163" y="10225304"/>
          <a:ext cx="6767024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strike="noStrike">
              <a:solidFill>
                <a:srgbClr val="000000"/>
              </a:solidFill>
              <a:latin typeface="Arial"/>
              <a:cs typeface="Arial"/>
            </a:rPr>
            <a:t>FOTOGRAFÍAS</a:t>
          </a:r>
        </a:p>
      </xdr:txBody>
    </xdr:sp>
    <xdr:clientData/>
  </xdr:twoCellAnchor>
  <xdr:twoCellAnchor>
    <xdr:from>
      <xdr:col>18</xdr:col>
      <xdr:colOff>0</xdr:colOff>
      <xdr:row>50</xdr:row>
      <xdr:rowOff>69271</xdr:rowOff>
    </xdr:from>
    <xdr:to>
      <xdr:col>19</xdr:col>
      <xdr:colOff>933450</xdr:colOff>
      <xdr:row>51</xdr:row>
      <xdr:rowOff>78796</xdr:rowOff>
    </xdr:to>
    <xdr:sp macro="" textlink="">
      <xdr:nvSpPr>
        <xdr:cNvPr id="37" name="Text Box 10"/>
        <xdr:cNvSpPr txBox="1">
          <a:spLocks noChangeArrowheads="1"/>
        </xdr:cNvSpPr>
      </xdr:nvSpPr>
      <xdr:spPr bwMode="auto">
        <a:xfrm>
          <a:off x="18526125" y="9594271"/>
          <a:ext cx="17716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Antes del ensayo</a:t>
          </a:r>
        </a:p>
      </xdr:txBody>
    </xdr:sp>
    <xdr:clientData/>
  </xdr:twoCellAnchor>
  <xdr:twoCellAnchor>
    <xdr:from>
      <xdr:col>22</xdr:col>
      <xdr:colOff>270163</xdr:colOff>
      <xdr:row>50</xdr:row>
      <xdr:rowOff>78796</xdr:rowOff>
    </xdr:from>
    <xdr:to>
      <xdr:col>24</xdr:col>
      <xdr:colOff>146338</xdr:colOff>
      <xdr:row>51</xdr:row>
      <xdr:rowOff>78796</xdr:rowOff>
    </xdr:to>
    <xdr:sp macro="" textlink="">
      <xdr:nvSpPr>
        <xdr:cNvPr id="38" name="Text Box 15"/>
        <xdr:cNvSpPr txBox="1">
          <a:spLocks noChangeArrowheads="1"/>
        </xdr:cNvSpPr>
      </xdr:nvSpPr>
      <xdr:spPr bwMode="auto">
        <a:xfrm>
          <a:off x="22672963" y="9603796"/>
          <a:ext cx="155257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Después del ensayo</a:t>
          </a:r>
        </a:p>
        <a:p>
          <a:pPr algn="ctr" rtl="1">
            <a:defRPr sz="1000"/>
          </a:pPr>
          <a:endParaRPr lang="es-CL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748146</xdr:colOff>
      <xdr:row>110</xdr:row>
      <xdr:rowOff>53252</xdr:rowOff>
    </xdr:from>
    <xdr:to>
      <xdr:col>19</xdr:col>
      <xdr:colOff>919596</xdr:colOff>
      <xdr:row>111</xdr:row>
      <xdr:rowOff>62777</xdr:rowOff>
    </xdr:to>
    <xdr:sp macro="" textlink="">
      <xdr:nvSpPr>
        <xdr:cNvPr id="39" name="Text Box 10"/>
        <xdr:cNvSpPr txBox="1">
          <a:spLocks noChangeArrowheads="1"/>
        </xdr:cNvSpPr>
      </xdr:nvSpPr>
      <xdr:spPr bwMode="auto">
        <a:xfrm>
          <a:off x="18436071" y="21008252"/>
          <a:ext cx="18478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Antes del ensayo</a:t>
          </a:r>
        </a:p>
      </xdr:txBody>
    </xdr:sp>
    <xdr:clientData/>
  </xdr:twoCellAnchor>
  <xdr:twoCellAnchor>
    <xdr:from>
      <xdr:col>22</xdr:col>
      <xdr:colOff>142009</xdr:colOff>
      <xdr:row>110</xdr:row>
      <xdr:rowOff>58014</xdr:rowOff>
    </xdr:from>
    <xdr:to>
      <xdr:col>24</xdr:col>
      <xdr:colOff>18184</xdr:colOff>
      <xdr:row>111</xdr:row>
      <xdr:rowOff>58014</xdr:rowOff>
    </xdr:to>
    <xdr:sp macro="" textlink="">
      <xdr:nvSpPr>
        <xdr:cNvPr id="40" name="Text Box 15"/>
        <xdr:cNvSpPr txBox="1">
          <a:spLocks noChangeArrowheads="1"/>
        </xdr:cNvSpPr>
      </xdr:nvSpPr>
      <xdr:spPr bwMode="auto">
        <a:xfrm>
          <a:off x="22544809" y="21013014"/>
          <a:ext cx="155257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Después del ensayo</a:t>
          </a:r>
        </a:p>
        <a:p>
          <a:pPr algn="ctr" rtl="1">
            <a:defRPr sz="1000"/>
          </a:pPr>
          <a:endParaRPr lang="es-CL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17</xdr:col>
      <xdr:colOff>95250</xdr:colOff>
      <xdr:row>23</xdr:row>
      <xdr:rowOff>190499</xdr:rowOff>
    </xdr:from>
    <xdr:to>
      <xdr:col>20</xdr:col>
      <xdr:colOff>455083</xdr:colOff>
      <xdr:row>46</xdr:row>
      <xdr:rowOff>137582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790583" y="4571999"/>
          <a:ext cx="3397250" cy="4328583"/>
        </a:xfrm>
        <a:prstGeom prst="rect">
          <a:avLst/>
        </a:prstGeom>
      </xdr:spPr>
    </xdr:pic>
    <xdr:clientData/>
  </xdr:twoCellAnchor>
  <xdr:twoCellAnchor editAs="oneCell">
    <xdr:from>
      <xdr:col>17</xdr:col>
      <xdr:colOff>116417</xdr:colOff>
      <xdr:row>55</xdr:row>
      <xdr:rowOff>116417</xdr:rowOff>
    </xdr:from>
    <xdr:to>
      <xdr:col>20</xdr:col>
      <xdr:colOff>465667</xdr:colOff>
      <xdr:row>78</xdr:row>
      <xdr:rowOff>42332</xdr:rowOff>
    </xdr:to>
    <xdr:pic>
      <xdr:nvPicPr>
        <xdr:cNvPr id="41" name="Imagen 40"/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811750" y="10593917"/>
          <a:ext cx="3386667" cy="4307415"/>
        </a:xfrm>
        <a:prstGeom prst="rect">
          <a:avLst/>
        </a:prstGeom>
      </xdr:spPr>
    </xdr:pic>
    <xdr:clientData/>
  </xdr:twoCellAnchor>
  <xdr:twoCellAnchor editAs="oneCell">
    <xdr:from>
      <xdr:col>17</xdr:col>
      <xdr:colOff>116417</xdr:colOff>
      <xdr:row>83</xdr:row>
      <xdr:rowOff>95250</xdr:rowOff>
    </xdr:from>
    <xdr:to>
      <xdr:col>20</xdr:col>
      <xdr:colOff>465667</xdr:colOff>
      <xdr:row>106</xdr:row>
      <xdr:rowOff>42333</xdr:rowOff>
    </xdr:to>
    <xdr:pic>
      <xdr:nvPicPr>
        <xdr:cNvPr id="42" name="Imagen 41"/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811750" y="15906750"/>
          <a:ext cx="3386667" cy="4328583"/>
        </a:xfrm>
        <a:prstGeom prst="rect">
          <a:avLst/>
        </a:prstGeom>
      </xdr:spPr>
    </xdr:pic>
    <xdr:clientData/>
  </xdr:twoCellAnchor>
  <xdr:twoCellAnchor editAs="oneCell">
    <xdr:from>
      <xdr:col>20</xdr:col>
      <xdr:colOff>730250</xdr:colOff>
      <xdr:row>24</xdr:row>
      <xdr:rowOff>0</xdr:rowOff>
    </xdr:from>
    <xdr:to>
      <xdr:col>28</xdr:col>
      <xdr:colOff>687917</xdr:colOff>
      <xdr:row>46</xdr:row>
      <xdr:rowOff>127000</xdr:rowOff>
    </xdr:to>
    <xdr:pic>
      <xdr:nvPicPr>
        <xdr:cNvPr id="43" name="Imagen 42"/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1463000" y="4572000"/>
          <a:ext cx="5037667" cy="4318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730251</xdr:colOff>
      <xdr:row>55</xdr:row>
      <xdr:rowOff>105834</xdr:rowOff>
    </xdr:from>
    <xdr:to>
      <xdr:col>28</xdr:col>
      <xdr:colOff>687917</xdr:colOff>
      <xdr:row>78</xdr:row>
      <xdr:rowOff>42334</xdr:rowOff>
    </xdr:to>
    <xdr:pic>
      <xdr:nvPicPr>
        <xdr:cNvPr id="44" name="Imagen 43"/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1463001" y="10583334"/>
          <a:ext cx="5037666" cy="4318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730250</xdr:colOff>
      <xdr:row>83</xdr:row>
      <xdr:rowOff>95250</xdr:rowOff>
    </xdr:from>
    <xdr:to>
      <xdr:col>28</xdr:col>
      <xdr:colOff>687917</xdr:colOff>
      <xdr:row>106</xdr:row>
      <xdr:rowOff>42333</xdr:rowOff>
    </xdr:to>
    <xdr:pic>
      <xdr:nvPicPr>
        <xdr:cNvPr id="45" name="Imagen 44"/>
        <xdr:cNvPicPr>
          <a:picLocks noChangeAspect="1"/>
        </xdr:cNvPicPr>
      </xdr:nvPicPr>
      <xdr:blipFill rotWithShape="1"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1463000" y="15906750"/>
          <a:ext cx="5037667" cy="4328583"/>
        </a:xfrm>
        <a:prstGeom prst="rect">
          <a:avLst/>
        </a:prstGeom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0.01366</cdr:x>
      <cdr:y>0.07548</cdr:y>
    </cdr:from>
    <cdr:to>
      <cdr:x>0.99092</cdr:x>
      <cdr:y>0.13731</cdr:y>
    </cdr:to>
    <cdr:sp macro="" textlink="'6'!$AH$5">
      <cdr:nvSpPr>
        <cdr:cNvPr id="2" name="1 CuadroTexto"/>
        <cdr:cNvSpPr txBox="1"/>
      </cdr:nvSpPr>
      <cdr:spPr>
        <a:xfrm xmlns:a="http://schemas.openxmlformats.org/drawingml/2006/main">
          <a:off x="84741" y="257606"/>
          <a:ext cx="6062799" cy="21102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E306A927-58F9-4A20-BA17-1E8E322A8588}" type="TxLink">
            <a:rPr lang="en-US" sz="105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/>
            <a:t>PROYECTO: C1BH-L12-L10-3+760-L</a:t>
          </a:fld>
          <a:endParaRPr lang="es-ES" sz="1050" b="0">
            <a:latin typeface="Arial" pitchFamily="34" charset="0"/>
            <a:cs typeface="Arial" pitchFamily="34" charset="0"/>
          </a:endParaRPr>
        </a:p>
      </cdr:txBody>
    </cdr:sp>
  </cdr:relSizeAnchor>
  <cdr:relSizeAnchor xmlns:cdr="http://schemas.openxmlformats.org/drawingml/2006/chartDrawing">
    <cdr:from>
      <cdr:x>0.01519</cdr:x>
      <cdr:y>0.13349</cdr:y>
    </cdr:from>
    <cdr:to>
      <cdr:x>0.99245</cdr:x>
      <cdr:y>0.19532</cdr:y>
    </cdr:to>
    <cdr:sp macro="" textlink="'6'!$AH$6">
      <cdr:nvSpPr>
        <cdr:cNvPr id="3" name="1 CuadroTexto"/>
        <cdr:cNvSpPr txBox="1"/>
      </cdr:nvSpPr>
      <cdr:spPr>
        <a:xfrm xmlns:a="http://schemas.openxmlformats.org/drawingml/2006/main">
          <a:off x="94265" y="455590"/>
          <a:ext cx="6062800" cy="21102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/>
          <a:fld id="{007D35A6-8F4F-4EBF-B504-3BAAF9D5CB92}" type="TxLink">
            <a:rPr lang="en-US" sz="105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/>
            <a:t>MUESTRA: C1BH-L12-L10-3+760-L (1,26-1,40)</a:t>
          </a:fld>
          <a:endParaRPr lang="es-ES" sz="1050" b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59276</xdr:colOff>
      <xdr:row>3</xdr:row>
      <xdr:rowOff>28575</xdr:rowOff>
    </xdr:from>
    <xdr:to>
      <xdr:col>26</xdr:col>
      <xdr:colOff>438149</xdr:colOff>
      <xdr:row>21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381875</xdr:colOff>
      <xdr:row>1</xdr:row>
      <xdr:rowOff>17320</xdr:rowOff>
    </xdr:from>
    <xdr:to>
      <xdr:col>26</xdr:col>
      <xdr:colOff>217721</xdr:colOff>
      <xdr:row>2</xdr:row>
      <xdr:rowOff>45895</xdr:rowOff>
    </xdr:to>
    <xdr:sp macro="" textlink="">
      <xdr:nvSpPr>
        <xdr:cNvPr id="3" name="Text Box 8"/>
        <xdr:cNvSpPr txBox="1">
          <a:spLocks noChangeArrowheads="1"/>
        </xdr:cNvSpPr>
      </xdr:nvSpPr>
      <xdr:spPr bwMode="auto">
        <a:xfrm>
          <a:off x="18069800" y="207820"/>
          <a:ext cx="6731946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u="sng" strike="noStrike">
              <a:solidFill>
                <a:srgbClr val="000000"/>
              </a:solidFill>
              <a:latin typeface="Arial"/>
              <a:cs typeface="Arial"/>
            </a:rPr>
            <a:t>ENSAYO DE COMPRESIÓN SIMPLE CON MEDICIÓN DE DEFORMACIÓN</a:t>
          </a:r>
        </a:p>
      </xdr:txBody>
    </xdr:sp>
    <xdr:clientData/>
  </xdr:twoCellAnchor>
  <xdr:twoCellAnchor>
    <xdr:from>
      <xdr:col>17</xdr:col>
      <xdr:colOff>37113</xdr:colOff>
      <xdr:row>22</xdr:row>
      <xdr:rowOff>17320</xdr:rowOff>
    </xdr:from>
    <xdr:to>
      <xdr:col>24</xdr:col>
      <xdr:colOff>355712</xdr:colOff>
      <xdr:row>23</xdr:row>
      <xdr:rowOff>36370</xdr:rowOff>
    </xdr:to>
    <xdr:sp macro="" textlink="">
      <xdr:nvSpPr>
        <xdr:cNvPr id="4" name="Text Box 9"/>
        <xdr:cNvSpPr txBox="1">
          <a:spLocks noChangeArrowheads="1"/>
        </xdr:cNvSpPr>
      </xdr:nvSpPr>
      <xdr:spPr bwMode="auto">
        <a:xfrm>
          <a:off x="17725038" y="4208320"/>
          <a:ext cx="6709874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strike="noStrike">
              <a:solidFill>
                <a:srgbClr val="000000"/>
              </a:solidFill>
              <a:latin typeface="Arial"/>
              <a:cs typeface="Arial"/>
            </a:rPr>
            <a:t>FOTOGRAFÍAS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590550</xdr:colOff>
          <xdr:row>0</xdr:row>
          <xdr:rowOff>123825</xdr:rowOff>
        </xdr:from>
        <xdr:to>
          <xdr:col>30</xdr:col>
          <xdr:colOff>323850</xdr:colOff>
          <xdr:row>3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PEGAR FOTOS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97634</xdr:colOff>
      <xdr:row>24</xdr:row>
      <xdr:rowOff>4762</xdr:rowOff>
    </xdr:from>
    <xdr:to>
      <xdr:col>20</xdr:col>
      <xdr:colOff>451559</xdr:colOff>
      <xdr:row>46</xdr:row>
      <xdr:rowOff>133762</xdr:rowOff>
    </xdr:to>
    <xdr:sp macro="" textlink="">
      <xdr:nvSpPr>
        <xdr:cNvPr id="6" name="Rectangle 10"/>
        <xdr:cNvSpPr>
          <a:spLocks noChangeArrowheads="1"/>
        </xdr:cNvSpPr>
      </xdr:nvSpPr>
      <xdr:spPr bwMode="auto">
        <a:xfrm>
          <a:off x="17785559" y="4576762"/>
          <a:ext cx="33924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726284</xdr:colOff>
      <xdr:row>23</xdr:row>
      <xdr:rowOff>185737</xdr:rowOff>
    </xdr:from>
    <xdr:to>
      <xdr:col>28</xdr:col>
      <xdr:colOff>689459</xdr:colOff>
      <xdr:row>46</xdr:row>
      <xdr:rowOff>124237</xdr:rowOff>
    </xdr:to>
    <xdr:sp macro="" textlink="">
      <xdr:nvSpPr>
        <xdr:cNvPr id="7" name="Rectangle 11"/>
        <xdr:cNvSpPr>
          <a:spLocks noChangeArrowheads="1"/>
        </xdr:cNvSpPr>
      </xdr:nvSpPr>
      <xdr:spPr bwMode="auto">
        <a:xfrm>
          <a:off x="21452684" y="4567237"/>
          <a:ext cx="50400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116684</xdr:colOff>
      <xdr:row>55</xdr:row>
      <xdr:rowOff>114298</xdr:rowOff>
    </xdr:from>
    <xdr:to>
      <xdr:col>20</xdr:col>
      <xdr:colOff>470609</xdr:colOff>
      <xdr:row>78</xdr:row>
      <xdr:rowOff>52798</xdr:rowOff>
    </xdr:to>
    <xdr:sp macro="" textlink="">
      <xdr:nvSpPr>
        <xdr:cNvPr id="8" name="Rectangle 10"/>
        <xdr:cNvSpPr>
          <a:spLocks noChangeArrowheads="1"/>
        </xdr:cNvSpPr>
      </xdr:nvSpPr>
      <xdr:spPr bwMode="auto">
        <a:xfrm>
          <a:off x="17804609" y="10591798"/>
          <a:ext cx="33924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726284</xdr:colOff>
      <xdr:row>55</xdr:row>
      <xdr:rowOff>104773</xdr:rowOff>
    </xdr:from>
    <xdr:to>
      <xdr:col>28</xdr:col>
      <xdr:colOff>689459</xdr:colOff>
      <xdr:row>78</xdr:row>
      <xdr:rowOff>43273</xdr:rowOff>
    </xdr:to>
    <xdr:sp macro="" textlink="">
      <xdr:nvSpPr>
        <xdr:cNvPr id="9" name="Rectangle 10"/>
        <xdr:cNvSpPr>
          <a:spLocks noChangeArrowheads="1"/>
        </xdr:cNvSpPr>
      </xdr:nvSpPr>
      <xdr:spPr bwMode="auto">
        <a:xfrm>
          <a:off x="21452684" y="10582273"/>
          <a:ext cx="50400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116684</xdr:colOff>
      <xdr:row>83</xdr:row>
      <xdr:rowOff>99146</xdr:rowOff>
    </xdr:from>
    <xdr:to>
      <xdr:col>20</xdr:col>
      <xdr:colOff>470609</xdr:colOff>
      <xdr:row>106</xdr:row>
      <xdr:rowOff>37646</xdr:rowOff>
    </xdr:to>
    <xdr:sp macro="" textlink="">
      <xdr:nvSpPr>
        <xdr:cNvPr id="10" name="Rectangle 10"/>
        <xdr:cNvSpPr>
          <a:spLocks noChangeArrowheads="1"/>
        </xdr:cNvSpPr>
      </xdr:nvSpPr>
      <xdr:spPr bwMode="auto">
        <a:xfrm>
          <a:off x="17804609" y="15910646"/>
          <a:ext cx="33924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726284</xdr:colOff>
      <xdr:row>83</xdr:row>
      <xdr:rowOff>99146</xdr:rowOff>
    </xdr:from>
    <xdr:to>
      <xdr:col>28</xdr:col>
      <xdr:colOff>689459</xdr:colOff>
      <xdr:row>106</xdr:row>
      <xdr:rowOff>37646</xdr:rowOff>
    </xdr:to>
    <xdr:sp macro="" textlink="">
      <xdr:nvSpPr>
        <xdr:cNvPr id="11" name="Rectangle 10"/>
        <xdr:cNvSpPr>
          <a:spLocks noChangeArrowheads="1"/>
        </xdr:cNvSpPr>
      </xdr:nvSpPr>
      <xdr:spPr bwMode="auto">
        <a:xfrm>
          <a:off x="21452684" y="15910646"/>
          <a:ext cx="50400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68723</xdr:colOff>
      <xdr:row>46</xdr:row>
      <xdr:rowOff>166688</xdr:rowOff>
    </xdr:from>
    <xdr:to>
      <xdr:col>20</xdr:col>
      <xdr:colOff>495300</xdr:colOff>
      <xdr:row>50</xdr:row>
      <xdr:rowOff>28575</xdr:rowOff>
    </xdr:to>
    <xdr:grpSp>
      <xdr:nvGrpSpPr>
        <xdr:cNvPr id="12" name="Grupo 11"/>
        <xdr:cNvGrpSpPr/>
      </xdr:nvGrpSpPr>
      <xdr:grpSpPr>
        <a:xfrm>
          <a:off x="17764056" y="8929688"/>
          <a:ext cx="3463994" cy="623887"/>
          <a:chOff x="25511755" y="3321844"/>
          <a:chExt cx="3222542" cy="623887"/>
        </a:xfrm>
      </xdr:grpSpPr>
      <xdr:sp macro="" textlink="'8 (No cumple por esbeltez)'!$AH$5">
        <xdr:nvSpPr>
          <xdr:cNvPr id="13" name="CuadroTexto 12"/>
          <xdr:cNvSpPr txBox="1"/>
        </xdr:nvSpPr>
        <xdr:spPr>
          <a:xfrm>
            <a:off x="25511755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FFEAF00-B085-45B6-B7D1-CFFE45E09D7A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8 (No cumple por esbeltez)'!$AH$6">
        <xdr:nvSpPr>
          <xdr:cNvPr id="14" name="CuadroTexto 13"/>
          <xdr:cNvSpPr txBox="1"/>
        </xdr:nvSpPr>
        <xdr:spPr>
          <a:xfrm>
            <a:off x="25519609" y="350996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6F79C26B-8077-4A05-A667-76D54029C3A5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(3,45-3,59)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15" name="CuadroTexto 14"/>
          <xdr:cNvSpPr txBox="1"/>
        </xdr:nvSpPr>
        <xdr:spPr>
          <a:xfrm>
            <a:off x="25517229" y="3707606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20</xdr:col>
      <xdr:colOff>697703</xdr:colOff>
      <xdr:row>46</xdr:row>
      <xdr:rowOff>166688</xdr:rowOff>
    </xdr:from>
    <xdr:to>
      <xdr:col>27</xdr:col>
      <xdr:colOff>47624</xdr:colOff>
      <xdr:row>50</xdr:row>
      <xdr:rowOff>19050</xdr:rowOff>
    </xdr:to>
    <xdr:grpSp>
      <xdr:nvGrpSpPr>
        <xdr:cNvPr id="16" name="Grupo 15"/>
        <xdr:cNvGrpSpPr/>
      </xdr:nvGrpSpPr>
      <xdr:grpSpPr>
        <a:xfrm>
          <a:off x="21430453" y="8929688"/>
          <a:ext cx="3710254" cy="614362"/>
          <a:chOff x="25486518" y="3321844"/>
          <a:chExt cx="3219451" cy="614362"/>
        </a:xfrm>
      </xdr:grpSpPr>
      <xdr:sp macro="" textlink="'8 (No cumple por esbeltez)'!$AH$5">
        <xdr:nvSpPr>
          <xdr:cNvPr id="17" name="CuadroTexto 16"/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C75F0B7-B6A6-4C8D-9F3A-E3BA5CD0D7D2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8 (No cumple por esbeltez)'!$AH$6">
        <xdr:nvSpPr>
          <xdr:cNvPr id="18" name="CuadroTexto 17"/>
          <xdr:cNvSpPr txBox="1"/>
        </xdr:nvSpPr>
        <xdr:spPr>
          <a:xfrm>
            <a:off x="25488899" y="350996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25A348E6-EF83-4A60-9F5B-6BBF72782FAF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(3,45-3,59)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19" name="CuadroTexto 18"/>
          <xdr:cNvSpPr txBox="1"/>
        </xdr:nvSpPr>
        <xdr:spPr>
          <a:xfrm>
            <a:off x="25486518" y="3698081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17</xdr:col>
      <xdr:colOff>68187</xdr:colOff>
      <xdr:row>78</xdr:row>
      <xdr:rowOff>146556</xdr:rowOff>
    </xdr:from>
    <xdr:to>
      <xdr:col>20</xdr:col>
      <xdr:colOff>571499</xdr:colOff>
      <xdr:row>82</xdr:row>
      <xdr:rowOff>8443</xdr:rowOff>
    </xdr:to>
    <xdr:grpSp>
      <xdr:nvGrpSpPr>
        <xdr:cNvPr id="20" name="Grupo 19"/>
        <xdr:cNvGrpSpPr/>
      </xdr:nvGrpSpPr>
      <xdr:grpSpPr>
        <a:xfrm>
          <a:off x="17763520" y="15005556"/>
          <a:ext cx="3540729" cy="623887"/>
          <a:chOff x="25517415" y="3283744"/>
          <a:chExt cx="3219452" cy="623887"/>
        </a:xfrm>
      </xdr:grpSpPr>
      <xdr:sp macro="" textlink="'8 (No cumple por esbeltez)'!$AH$5">
        <xdr:nvSpPr>
          <xdr:cNvPr id="21" name="CuadroTexto 20"/>
          <xdr:cNvSpPr txBox="1"/>
        </xdr:nvSpPr>
        <xdr:spPr>
          <a:xfrm>
            <a:off x="25522179" y="32837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59E90E67-4291-489E-9A58-1996BB25D1D1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8 (No cumple por esbeltez)'!$AH$6">
        <xdr:nvSpPr>
          <xdr:cNvPr id="22" name="CuadroTexto 21"/>
          <xdr:cNvSpPr txBox="1"/>
        </xdr:nvSpPr>
        <xdr:spPr>
          <a:xfrm>
            <a:off x="25519797" y="347186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580565AE-F359-4AE0-9805-4463606DB422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(3,45-3,59)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23" name="CuadroTexto 22"/>
          <xdr:cNvSpPr txBox="1"/>
        </xdr:nvSpPr>
        <xdr:spPr>
          <a:xfrm>
            <a:off x="25517415" y="3669506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20</xdr:col>
      <xdr:colOff>689541</xdr:colOff>
      <xdr:row>78</xdr:row>
      <xdr:rowOff>128588</xdr:rowOff>
    </xdr:from>
    <xdr:to>
      <xdr:col>26</xdr:col>
      <xdr:colOff>457200</xdr:colOff>
      <xdr:row>81</xdr:row>
      <xdr:rowOff>171450</xdr:rowOff>
    </xdr:to>
    <xdr:grpSp>
      <xdr:nvGrpSpPr>
        <xdr:cNvPr id="24" name="Grupo 23"/>
        <xdr:cNvGrpSpPr/>
      </xdr:nvGrpSpPr>
      <xdr:grpSpPr>
        <a:xfrm>
          <a:off x="21422291" y="14987588"/>
          <a:ext cx="3619992" cy="614362"/>
          <a:chOff x="25418992" y="3321844"/>
          <a:chExt cx="3222633" cy="614362"/>
        </a:xfrm>
      </xdr:grpSpPr>
      <xdr:sp macro="" textlink="'8 (No cumple por esbeltez)'!$AH$5">
        <xdr:nvSpPr>
          <xdr:cNvPr id="25" name="CuadroTexto 24"/>
          <xdr:cNvSpPr txBox="1"/>
        </xdr:nvSpPr>
        <xdr:spPr>
          <a:xfrm>
            <a:off x="25418992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EB45B3E-FD2A-4DAF-8E68-6E2A571B8237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8 (No cumple por esbeltez)'!$AH$6">
        <xdr:nvSpPr>
          <xdr:cNvPr id="26" name="CuadroTexto 25"/>
          <xdr:cNvSpPr txBox="1"/>
        </xdr:nvSpPr>
        <xdr:spPr>
          <a:xfrm>
            <a:off x="25426937" y="350996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2AFBAD1-2E91-4936-9828-84148374AEB1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(3,45-3,59)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27" name="CuadroTexto 26"/>
          <xdr:cNvSpPr txBox="1"/>
        </xdr:nvSpPr>
        <xdr:spPr>
          <a:xfrm>
            <a:off x="25424556" y="3698081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17</xdr:col>
      <xdr:colOff>76171</xdr:colOff>
      <xdr:row>106</xdr:row>
      <xdr:rowOff>122534</xdr:rowOff>
    </xdr:from>
    <xdr:to>
      <xdr:col>20</xdr:col>
      <xdr:colOff>485775</xdr:colOff>
      <xdr:row>110</xdr:row>
      <xdr:rowOff>51098</xdr:rowOff>
    </xdr:to>
    <xdr:grpSp>
      <xdr:nvGrpSpPr>
        <xdr:cNvPr id="28" name="Grupo 27"/>
        <xdr:cNvGrpSpPr/>
      </xdr:nvGrpSpPr>
      <xdr:grpSpPr>
        <a:xfrm>
          <a:off x="17771504" y="20315534"/>
          <a:ext cx="3447021" cy="690564"/>
          <a:chOff x="25549548" y="3290933"/>
          <a:chExt cx="3218481" cy="560268"/>
        </a:xfrm>
      </xdr:grpSpPr>
      <xdr:sp macro="" textlink="'8 (No cumple por esbeltez)'!$AH$5">
        <xdr:nvSpPr>
          <xdr:cNvPr id="29" name="CuadroTexto 28"/>
          <xdr:cNvSpPr txBox="1"/>
        </xdr:nvSpPr>
        <xdr:spPr>
          <a:xfrm>
            <a:off x="25553341" y="329093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B8086FEF-2E65-48BB-ADDF-4AE9687D5BF2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8 (No cumple por esbeltez)'!$AH$6">
        <xdr:nvSpPr>
          <xdr:cNvPr id="30" name="CuadroTexto 29"/>
          <xdr:cNvSpPr txBox="1"/>
        </xdr:nvSpPr>
        <xdr:spPr>
          <a:xfrm>
            <a:off x="25551932" y="3448139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C7C21ADD-19D4-459F-A385-F0EC9E4CDEE0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(3,45-3,59)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31" name="CuadroTexto 30"/>
          <xdr:cNvSpPr txBox="1"/>
        </xdr:nvSpPr>
        <xdr:spPr>
          <a:xfrm>
            <a:off x="25549548" y="3613076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20</xdr:col>
      <xdr:colOff>678004</xdr:colOff>
      <xdr:row>106</xdr:row>
      <xdr:rowOff>122525</xdr:rowOff>
    </xdr:from>
    <xdr:to>
      <xdr:col>26</xdr:col>
      <xdr:colOff>447675</xdr:colOff>
      <xdr:row>110</xdr:row>
      <xdr:rowOff>22509</xdr:rowOff>
    </xdr:to>
    <xdr:grpSp>
      <xdr:nvGrpSpPr>
        <xdr:cNvPr id="32" name="Grupo 31"/>
        <xdr:cNvGrpSpPr/>
      </xdr:nvGrpSpPr>
      <xdr:grpSpPr>
        <a:xfrm>
          <a:off x="21410754" y="20315525"/>
          <a:ext cx="3622004" cy="661984"/>
          <a:chOff x="25486518" y="3305570"/>
          <a:chExt cx="3219451" cy="565537"/>
        </a:xfrm>
      </xdr:grpSpPr>
      <xdr:sp macro="" textlink="'8 (No cumple por esbeltez)'!$AH$5">
        <xdr:nvSpPr>
          <xdr:cNvPr id="33" name="CuadroTexto 32"/>
          <xdr:cNvSpPr txBox="1"/>
        </xdr:nvSpPr>
        <xdr:spPr>
          <a:xfrm>
            <a:off x="25491281" y="3305570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E2BCC63-DE14-42D1-9D82-2FD55621ADF6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8 (No cumple por esbeltez)'!$AH$6">
        <xdr:nvSpPr>
          <xdr:cNvPr id="34" name="CuadroTexto 33"/>
          <xdr:cNvSpPr txBox="1"/>
        </xdr:nvSpPr>
        <xdr:spPr>
          <a:xfrm>
            <a:off x="25488899" y="3477415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0D4823B-7877-435A-B8F2-BA43CFC6934D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(3,45-3,59)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35" name="CuadroTexto 34"/>
          <xdr:cNvSpPr txBox="1"/>
        </xdr:nvSpPr>
        <xdr:spPr>
          <a:xfrm>
            <a:off x="25486518" y="3632982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16</xdr:col>
      <xdr:colOff>738188</xdr:colOff>
      <xdr:row>53</xdr:row>
      <xdr:rowOff>128804</xdr:rowOff>
    </xdr:from>
    <xdr:to>
      <xdr:col>24</xdr:col>
      <xdr:colOff>370987</xdr:colOff>
      <xdr:row>54</xdr:row>
      <xdr:rowOff>147854</xdr:rowOff>
    </xdr:to>
    <xdr:sp macro="" textlink="">
      <xdr:nvSpPr>
        <xdr:cNvPr id="36" name="Text Box 9"/>
        <xdr:cNvSpPr txBox="1">
          <a:spLocks noChangeArrowheads="1"/>
        </xdr:cNvSpPr>
      </xdr:nvSpPr>
      <xdr:spPr bwMode="auto">
        <a:xfrm>
          <a:off x="17683163" y="10225304"/>
          <a:ext cx="6767024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strike="noStrike">
              <a:solidFill>
                <a:srgbClr val="000000"/>
              </a:solidFill>
              <a:latin typeface="Arial"/>
              <a:cs typeface="Arial"/>
            </a:rPr>
            <a:t>FOTOGRAFÍAS</a:t>
          </a:r>
        </a:p>
      </xdr:txBody>
    </xdr:sp>
    <xdr:clientData/>
  </xdr:twoCellAnchor>
  <xdr:twoCellAnchor>
    <xdr:from>
      <xdr:col>18</xdr:col>
      <xdr:colOff>0</xdr:colOff>
      <xdr:row>50</xdr:row>
      <xdr:rowOff>69271</xdr:rowOff>
    </xdr:from>
    <xdr:to>
      <xdr:col>19</xdr:col>
      <xdr:colOff>933450</xdr:colOff>
      <xdr:row>51</xdr:row>
      <xdr:rowOff>78796</xdr:rowOff>
    </xdr:to>
    <xdr:sp macro="" textlink="">
      <xdr:nvSpPr>
        <xdr:cNvPr id="37" name="Text Box 10"/>
        <xdr:cNvSpPr txBox="1">
          <a:spLocks noChangeArrowheads="1"/>
        </xdr:cNvSpPr>
      </xdr:nvSpPr>
      <xdr:spPr bwMode="auto">
        <a:xfrm>
          <a:off x="18526125" y="9594271"/>
          <a:ext cx="17716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Antes del ensayo</a:t>
          </a:r>
        </a:p>
      </xdr:txBody>
    </xdr:sp>
    <xdr:clientData/>
  </xdr:twoCellAnchor>
  <xdr:twoCellAnchor>
    <xdr:from>
      <xdr:col>22</xdr:col>
      <xdr:colOff>270163</xdr:colOff>
      <xdr:row>50</xdr:row>
      <xdr:rowOff>78796</xdr:rowOff>
    </xdr:from>
    <xdr:to>
      <xdr:col>24</xdr:col>
      <xdr:colOff>146338</xdr:colOff>
      <xdr:row>51</xdr:row>
      <xdr:rowOff>78796</xdr:rowOff>
    </xdr:to>
    <xdr:sp macro="" textlink="">
      <xdr:nvSpPr>
        <xdr:cNvPr id="38" name="Text Box 15"/>
        <xdr:cNvSpPr txBox="1">
          <a:spLocks noChangeArrowheads="1"/>
        </xdr:cNvSpPr>
      </xdr:nvSpPr>
      <xdr:spPr bwMode="auto">
        <a:xfrm>
          <a:off x="22672963" y="9603796"/>
          <a:ext cx="155257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Después del ensayo</a:t>
          </a:r>
        </a:p>
        <a:p>
          <a:pPr algn="ctr" rtl="1">
            <a:defRPr sz="1000"/>
          </a:pPr>
          <a:endParaRPr lang="es-CL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748146</xdr:colOff>
      <xdr:row>110</xdr:row>
      <xdr:rowOff>53252</xdr:rowOff>
    </xdr:from>
    <xdr:to>
      <xdr:col>19</xdr:col>
      <xdr:colOff>919596</xdr:colOff>
      <xdr:row>111</xdr:row>
      <xdr:rowOff>62777</xdr:rowOff>
    </xdr:to>
    <xdr:sp macro="" textlink="">
      <xdr:nvSpPr>
        <xdr:cNvPr id="39" name="Text Box 10"/>
        <xdr:cNvSpPr txBox="1">
          <a:spLocks noChangeArrowheads="1"/>
        </xdr:cNvSpPr>
      </xdr:nvSpPr>
      <xdr:spPr bwMode="auto">
        <a:xfrm>
          <a:off x="18436071" y="21008252"/>
          <a:ext cx="18478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Antes del ensayo</a:t>
          </a:r>
        </a:p>
      </xdr:txBody>
    </xdr:sp>
    <xdr:clientData/>
  </xdr:twoCellAnchor>
  <xdr:twoCellAnchor>
    <xdr:from>
      <xdr:col>22</xdr:col>
      <xdr:colOff>142009</xdr:colOff>
      <xdr:row>110</xdr:row>
      <xdr:rowOff>58014</xdr:rowOff>
    </xdr:from>
    <xdr:to>
      <xdr:col>24</xdr:col>
      <xdr:colOff>18184</xdr:colOff>
      <xdr:row>111</xdr:row>
      <xdr:rowOff>58014</xdr:rowOff>
    </xdr:to>
    <xdr:sp macro="" textlink="">
      <xdr:nvSpPr>
        <xdr:cNvPr id="40" name="Text Box 15"/>
        <xdr:cNvSpPr txBox="1">
          <a:spLocks noChangeArrowheads="1"/>
        </xdr:cNvSpPr>
      </xdr:nvSpPr>
      <xdr:spPr bwMode="auto">
        <a:xfrm>
          <a:off x="22544809" y="21013014"/>
          <a:ext cx="155257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Después del ensayo</a:t>
          </a:r>
        </a:p>
        <a:p>
          <a:pPr algn="ctr" rtl="1">
            <a:defRPr sz="1000"/>
          </a:pPr>
          <a:endParaRPr lang="es-CL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0.01366</cdr:x>
      <cdr:y>0.07548</cdr:y>
    </cdr:from>
    <cdr:to>
      <cdr:x>0.99092</cdr:x>
      <cdr:y>0.13731</cdr:y>
    </cdr:to>
    <cdr:sp macro="" textlink="'8 (No cumple por esbeltez)'!$AH$5">
      <cdr:nvSpPr>
        <cdr:cNvPr id="2" name="1 CuadroTexto"/>
        <cdr:cNvSpPr txBox="1"/>
      </cdr:nvSpPr>
      <cdr:spPr>
        <a:xfrm xmlns:a="http://schemas.openxmlformats.org/drawingml/2006/main">
          <a:off x="84741" y="257606"/>
          <a:ext cx="6062799" cy="21102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E306A927-58F9-4A20-BA17-1E8E322A8588}" type="TxLink">
            <a:rPr lang="en-US" sz="105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/>
            <a:t>PROYECTO: C1BH-L12-L10-3+760-L</a:t>
          </a:fld>
          <a:endParaRPr lang="es-ES" sz="1050" b="0">
            <a:latin typeface="Arial" pitchFamily="34" charset="0"/>
            <a:cs typeface="Arial" pitchFamily="34" charset="0"/>
          </a:endParaRPr>
        </a:p>
      </cdr:txBody>
    </cdr:sp>
  </cdr:relSizeAnchor>
  <cdr:relSizeAnchor xmlns:cdr="http://schemas.openxmlformats.org/drawingml/2006/chartDrawing">
    <cdr:from>
      <cdr:x>0.01519</cdr:x>
      <cdr:y>0.13349</cdr:y>
    </cdr:from>
    <cdr:to>
      <cdr:x>0.99245</cdr:x>
      <cdr:y>0.19532</cdr:y>
    </cdr:to>
    <cdr:sp macro="" textlink="'8 (No cumple por esbeltez)'!$AH$6">
      <cdr:nvSpPr>
        <cdr:cNvPr id="3" name="1 CuadroTexto"/>
        <cdr:cNvSpPr txBox="1"/>
      </cdr:nvSpPr>
      <cdr:spPr>
        <a:xfrm xmlns:a="http://schemas.openxmlformats.org/drawingml/2006/main">
          <a:off x="94265" y="455590"/>
          <a:ext cx="6062800" cy="21102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/>
          <a:fld id="{007D35A6-8F4F-4EBF-B504-3BAAF9D5CB92}" type="TxLink">
            <a:rPr lang="en-US" sz="105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/>
            <a:t>MUESTRA: C1BH-L12-L10-3+760-L (3,45-3,59)</a:t>
          </a:fld>
          <a:endParaRPr lang="es-ES" sz="1050" b="1"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59276</xdr:colOff>
      <xdr:row>3</xdr:row>
      <xdr:rowOff>28575</xdr:rowOff>
    </xdr:from>
    <xdr:to>
      <xdr:col>26</xdr:col>
      <xdr:colOff>438149</xdr:colOff>
      <xdr:row>21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381875</xdr:colOff>
      <xdr:row>1</xdr:row>
      <xdr:rowOff>17320</xdr:rowOff>
    </xdr:from>
    <xdr:to>
      <xdr:col>26</xdr:col>
      <xdr:colOff>217721</xdr:colOff>
      <xdr:row>2</xdr:row>
      <xdr:rowOff>45895</xdr:rowOff>
    </xdr:to>
    <xdr:sp macro="" textlink="">
      <xdr:nvSpPr>
        <xdr:cNvPr id="3" name="Text Box 8"/>
        <xdr:cNvSpPr txBox="1">
          <a:spLocks noChangeArrowheads="1"/>
        </xdr:cNvSpPr>
      </xdr:nvSpPr>
      <xdr:spPr bwMode="auto">
        <a:xfrm>
          <a:off x="18069800" y="207820"/>
          <a:ext cx="6731946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u="sng" strike="noStrike">
              <a:solidFill>
                <a:srgbClr val="000000"/>
              </a:solidFill>
              <a:latin typeface="Arial"/>
              <a:cs typeface="Arial"/>
            </a:rPr>
            <a:t>ENSAYO DE COMPRESIÓN SIMPLE CON MEDICIÓN DE DEFORMACIÓN</a:t>
          </a:r>
        </a:p>
      </xdr:txBody>
    </xdr:sp>
    <xdr:clientData/>
  </xdr:twoCellAnchor>
  <xdr:twoCellAnchor>
    <xdr:from>
      <xdr:col>17</xdr:col>
      <xdr:colOff>37113</xdr:colOff>
      <xdr:row>22</xdr:row>
      <xdr:rowOff>17320</xdr:rowOff>
    </xdr:from>
    <xdr:to>
      <xdr:col>24</xdr:col>
      <xdr:colOff>355712</xdr:colOff>
      <xdr:row>23</xdr:row>
      <xdr:rowOff>36370</xdr:rowOff>
    </xdr:to>
    <xdr:sp macro="" textlink="">
      <xdr:nvSpPr>
        <xdr:cNvPr id="4" name="Text Box 9"/>
        <xdr:cNvSpPr txBox="1">
          <a:spLocks noChangeArrowheads="1"/>
        </xdr:cNvSpPr>
      </xdr:nvSpPr>
      <xdr:spPr bwMode="auto">
        <a:xfrm>
          <a:off x="17725038" y="4208320"/>
          <a:ext cx="6709874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strike="noStrike">
              <a:solidFill>
                <a:srgbClr val="000000"/>
              </a:solidFill>
              <a:latin typeface="Arial"/>
              <a:cs typeface="Arial"/>
            </a:rPr>
            <a:t>FOTOGRAFÍAS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590550</xdr:colOff>
          <xdr:row>0</xdr:row>
          <xdr:rowOff>123825</xdr:rowOff>
        </xdr:from>
        <xdr:to>
          <xdr:col>30</xdr:col>
          <xdr:colOff>323850</xdr:colOff>
          <xdr:row>3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PEGAR FOTOS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97634</xdr:colOff>
      <xdr:row>24</xdr:row>
      <xdr:rowOff>4762</xdr:rowOff>
    </xdr:from>
    <xdr:to>
      <xdr:col>20</xdr:col>
      <xdr:colOff>451559</xdr:colOff>
      <xdr:row>46</xdr:row>
      <xdr:rowOff>133762</xdr:rowOff>
    </xdr:to>
    <xdr:sp macro="" textlink="">
      <xdr:nvSpPr>
        <xdr:cNvPr id="6" name="Rectangle 10"/>
        <xdr:cNvSpPr>
          <a:spLocks noChangeArrowheads="1"/>
        </xdr:cNvSpPr>
      </xdr:nvSpPr>
      <xdr:spPr bwMode="auto">
        <a:xfrm>
          <a:off x="17785559" y="4576762"/>
          <a:ext cx="33924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726284</xdr:colOff>
      <xdr:row>23</xdr:row>
      <xdr:rowOff>185737</xdr:rowOff>
    </xdr:from>
    <xdr:to>
      <xdr:col>28</xdr:col>
      <xdr:colOff>689459</xdr:colOff>
      <xdr:row>46</xdr:row>
      <xdr:rowOff>124237</xdr:rowOff>
    </xdr:to>
    <xdr:sp macro="" textlink="">
      <xdr:nvSpPr>
        <xdr:cNvPr id="7" name="Rectangle 11"/>
        <xdr:cNvSpPr>
          <a:spLocks noChangeArrowheads="1"/>
        </xdr:cNvSpPr>
      </xdr:nvSpPr>
      <xdr:spPr bwMode="auto">
        <a:xfrm>
          <a:off x="21452684" y="4567237"/>
          <a:ext cx="50400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116684</xdr:colOff>
      <xdr:row>55</xdr:row>
      <xdr:rowOff>114298</xdr:rowOff>
    </xdr:from>
    <xdr:to>
      <xdr:col>20</xdr:col>
      <xdr:colOff>470609</xdr:colOff>
      <xdr:row>78</xdr:row>
      <xdr:rowOff>52798</xdr:rowOff>
    </xdr:to>
    <xdr:sp macro="" textlink="">
      <xdr:nvSpPr>
        <xdr:cNvPr id="8" name="Rectangle 10"/>
        <xdr:cNvSpPr>
          <a:spLocks noChangeArrowheads="1"/>
        </xdr:cNvSpPr>
      </xdr:nvSpPr>
      <xdr:spPr bwMode="auto">
        <a:xfrm>
          <a:off x="17804609" y="10591798"/>
          <a:ext cx="33924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726284</xdr:colOff>
      <xdr:row>55</xdr:row>
      <xdr:rowOff>104773</xdr:rowOff>
    </xdr:from>
    <xdr:to>
      <xdr:col>28</xdr:col>
      <xdr:colOff>689459</xdr:colOff>
      <xdr:row>78</xdr:row>
      <xdr:rowOff>43273</xdr:rowOff>
    </xdr:to>
    <xdr:sp macro="" textlink="">
      <xdr:nvSpPr>
        <xdr:cNvPr id="9" name="Rectangle 10"/>
        <xdr:cNvSpPr>
          <a:spLocks noChangeArrowheads="1"/>
        </xdr:cNvSpPr>
      </xdr:nvSpPr>
      <xdr:spPr bwMode="auto">
        <a:xfrm>
          <a:off x="21452684" y="10582273"/>
          <a:ext cx="50400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116684</xdr:colOff>
      <xdr:row>83</xdr:row>
      <xdr:rowOff>99146</xdr:rowOff>
    </xdr:from>
    <xdr:to>
      <xdr:col>20</xdr:col>
      <xdr:colOff>470609</xdr:colOff>
      <xdr:row>106</xdr:row>
      <xdr:rowOff>37646</xdr:rowOff>
    </xdr:to>
    <xdr:sp macro="" textlink="">
      <xdr:nvSpPr>
        <xdr:cNvPr id="10" name="Rectangle 10"/>
        <xdr:cNvSpPr>
          <a:spLocks noChangeArrowheads="1"/>
        </xdr:cNvSpPr>
      </xdr:nvSpPr>
      <xdr:spPr bwMode="auto">
        <a:xfrm>
          <a:off x="17804609" y="15910646"/>
          <a:ext cx="33924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726284</xdr:colOff>
      <xdr:row>83</xdr:row>
      <xdr:rowOff>99146</xdr:rowOff>
    </xdr:from>
    <xdr:to>
      <xdr:col>28</xdr:col>
      <xdr:colOff>689459</xdr:colOff>
      <xdr:row>106</xdr:row>
      <xdr:rowOff>37646</xdr:rowOff>
    </xdr:to>
    <xdr:sp macro="" textlink="">
      <xdr:nvSpPr>
        <xdr:cNvPr id="11" name="Rectangle 10"/>
        <xdr:cNvSpPr>
          <a:spLocks noChangeArrowheads="1"/>
        </xdr:cNvSpPr>
      </xdr:nvSpPr>
      <xdr:spPr bwMode="auto">
        <a:xfrm>
          <a:off x="21452684" y="15910646"/>
          <a:ext cx="5040000" cy="43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68723</xdr:colOff>
      <xdr:row>46</xdr:row>
      <xdr:rowOff>166688</xdr:rowOff>
    </xdr:from>
    <xdr:to>
      <xdr:col>20</xdr:col>
      <xdr:colOff>495300</xdr:colOff>
      <xdr:row>50</xdr:row>
      <xdr:rowOff>28575</xdr:rowOff>
    </xdr:to>
    <xdr:grpSp>
      <xdr:nvGrpSpPr>
        <xdr:cNvPr id="12" name="Grupo 11"/>
        <xdr:cNvGrpSpPr/>
      </xdr:nvGrpSpPr>
      <xdr:grpSpPr>
        <a:xfrm>
          <a:off x="17756648" y="8929688"/>
          <a:ext cx="3465052" cy="623887"/>
          <a:chOff x="25511755" y="3321844"/>
          <a:chExt cx="3222542" cy="623887"/>
        </a:xfrm>
      </xdr:grpSpPr>
      <xdr:sp macro="" textlink="'9'!$AH$5">
        <xdr:nvSpPr>
          <xdr:cNvPr id="13" name="CuadroTexto 12"/>
          <xdr:cNvSpPr txBox="1"/>
        </xdr:nvSpPr>
        <xdr:spPr>
          <a:xfrm>
            <a:off x="25511755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FFEAF00-B085-45B6-B7D1-CFFE45E09D7A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9'!$AH$6">
        <xdr:nvSpPr>
          <xdr:cNvPr id="14" name="CuadroTexto 13"/>
          <xdr:cNvSpPr txBox="1"/>
        </xdr:nvSpPr>
        <xdr:spPr>
          <a:xfrm>
            <a:off x="25519609" y="350996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6F79C26B-8077-4A05-A667-76D54029C3A5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(7,20-7,40)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15" name="CuadroTexto 14"/>
          <xdr:cNvSpPr txBox="1"/>
        </xdr:nvSpPr>
        <xdr:spPr>
          <a:xfrm>
            <a:off x="25517229" y="3707606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20</xdr:col>
      <xdr:colOff>697703</xdr:colOff>
      <xdr:row>46</xdr:row>
      <xdr:rowOff>166688</xdr:rowOff>
    </xdr:from>
    <xdr:to>
      <xdr:col>27</xdr:col>
      <xdr:colOff>47624</xdr:colOff>
      <xdr:row>50</xdr:row>
      <xdr:rowOff>19050</xdr:rowOff>
    </xdr:to>
    <xdr:grpSp>
      <xdr:nvGrpSpPr>
        <xdr:cNvPr id="16" name="Grupo 15"/>
        <xdr:cNvGrpSpPr/>
      </xdr:nvGrpSpPr>
      <xdr:grpSpPr>
        <a:xfrm>
          <a:off x="21424103" y="8929688"/>
          <a:ext cx="3712371" cy="614362"/>
          <a:chOff x="25486518" y="3321844"/>
          <a:chExt cx="3219451" cy="614362"/>
        </a:xfrm>
      </xdr:grpSpPr>
      <xdr:sp macro="" textlink="'9'!$AH$5">
        <xdr:nvSpPr>
          <xdr:cNvPr id="17" name="CuadroTexto 16"/>
          <xdr:cNvSpPr txBox="1"/>
        </xdr:nvSpPr>
        <xdr:spPr>
          <a:xfrm>
            <a:off x="25491281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C75F0B7-B6A6-4C8D-9F3A-E3BA5CD0D7D2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9'!$AH$6">
        <xdr:nvSpPr>
          <xdr:cNvPr id="18" name="CuadroTexto 17"/>
          <xdr:cNvSpPr txBox="1"/>
        </xdr:nvSpPr>
        <xdr:spPr>
          <a:xfrm>
            <a:off x="25488899" y="350996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25A348E6-EF83-4A60-9F5B-6BBF72782FAF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(7,20-7,40)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19" name="CuadroTexto 18"/>
          <xdr:cNvSpPr txBox="1"/>
        </xdr:nvSpPr>
        <xdr:spPr>
          <a:xfrm>
            <a:off x="25486518" y="3698081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17</xdr:col>
      <xdr:colOff>68187</xdr:colOff>
      <xdr:row>78</xdr:row>
      <xdr:rowOff>146556</xdr:rowOff>
    </xdr:from>
    <xdr:to>
      <xdr:col>20</xdr:col>
      <xdr:colOff>571499</xdr:colOff>
      <xdr:row>82</xdr:row>
      <xdr:rowOff>8443</xdr:rowOff>
    </xdr:to>
    <xdr:grpSp>
      <xdr:nvGrpSpPr>
        <xdr:cNvPr id="20" name="Grupo 19"/>
        <xdr:cNvGrpSpPr/>
      </xdr:nvGrpSpPr>
      <xdr:grpSpPr>
        <a:xfrm>
          <a:off x="17756112" y="15005556"/>
          <a:ext cx="3541787" cy="623887"/>
          <a:chOff x="25517415" y="3283744"/>
          <a:chExt cx="3219452" cy="623887"/>
        </a:xfrm>
      </xdr:grpSpPr>
      <xdr:sp macro="" textlink="'9'!$AH$5">
        <xdr:nvSpPr>
          <xdr:cNvPr id="21" name="CuadroTexto 20"/>
          <xdr:cNvSpPr txBox="1"/>
        </xdr:nvSpPr>
        <xdr:spPr>
          <a:xfrm>
            <a:off x="25522179" y="32837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59E90E67-4291-489E-9A58-1996BB25D1D1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9'!$AH$6">
        <xdr:nvSpPr>
          <xdr:cNvPr id="22" name="CuadroTexto 21"/>
          <xdr:cNvSpPr txBox="1"/>
        </xdr:nvSpPr>
        <xdr:spPr>
          <a:xfrm>
            <a:off x="25519797" y="347186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580565AE-F359-4AE0-9805-4463606DB422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(7,20-7,40)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23" name="CuadroTexto 22"/>
          <xdr:cNvSpPr txBox="1"/>
        </xdr:nvSpPr>
        <xdr:spPr>
          <a:xfrm>
            <a:off x="25517415" y="3669506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20</xdr:col>
      <xdr:colOff>689541</xdr:colOff>
      <xdr:row>78</xdr:row>
      <xdr:rowOff>128588</xdr:rowOff>
    </xdr:from>
    <xdr:to>
      <xdr:col>26</xdr:col>
      <xdr:colOff>457200</xdr:colOff>
      <xdr:row>81</xdr:row>
      <xdr:rowOff>171450</xdr:rowOff>
    </xdr:to>
    <xdr:grpSp>
      <xdr:nvGrpSpPr>
        <xdr:cNvPr id="24" name="Grupo 23"/>
        <xdr:cNvGrpSpPr/>
      </xdr:nvGrpSpPr>
      <xdr:grpSpPr>
        <a:xfrm>
          <a:off x="21415941" y="14987588"/>
          <a:ext cx="3625284" cy="614362"/>
          <a:chOff x="25418992" y="3321844"/>
          <a:chExt cx="3222633" cy="614362"/>
        </a:xfrm>
      </xdr:grpSpPr>
      <xdr:sp macro="" textlink="'9'!$AH$5">
        <xdr:nvSpPr>
          <xdr:cNvPr id="25" name="CuadroTexto 24"/>
          <xdr:cNvSpPr txBox="1"/>
        </xdr:nvSpPr>
        <xdr:spPr>
          <a:xfrm>
            <a:off x="25418992" y="3321844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EB45B3E-FD2A-4DAF-8E68-6E2A571B8237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9'!$AH$6">
        <xdr:nvSpPr>
          <xdr:cNvPr id="26" name="CuadroTexto 25"/>
          <xdr:cNvSpPr txBox="1"/>
        </xdr:nvSpPr>
        <xdr:spPr>
          <a:xfrm>
            <a:off x="25426937" y="350996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82AFBAD1-2E91-4936-9828-84148374AEB1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(7,20-7,40)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27" name="CuadroTexto 26"/>
          <xdr:cNvSpPr txBox="1"/>
        </xdr:nvSpPr>
        <xdr:spPr>
          <a:xfrm>
            <a:off x="25424556" y="3698081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17</xdr:col>
      <xdr:colOff>76171</xdr:colOff>
      <xdr:row>106</xdr:row>
      <xdr:rowOff>122534</xdr:rowOff>
    </xdr:from>
    <xdr:to>
      <xdr:col>20</xdr:col>
      <xdr:colOff>485775</xdr:colOff>
      <xdr:row>110</xdr:row>
      <xdr:rowOff>51098</xdr:rowOff>
    </xdr:to>
    <xdr:grpSp>
      <xdr:nvGrpSpPr>
        <xdr:cNvPr id="28" name="Grupo 27"/>
        <xdr:cNvGrpSpPr/>
      </xdr:nvGrpSpPr>
      <xdr:grpSpPr>
        <a:xfrm>
          <a:off x="17764096" y="20315534"/>
          <a:ext cx="3448079" cy="690564"/>
          <a:chOff x="25549548" y="3290933"/>
          <a:chExt cx="3218481" cy="560268"/>
        </a:xfrm>
      </xdr:grpSpPr>
      <xdr:sp macro="" textlink="'9'!$AH$5">
        <xdr:nvSpPr>
          <xdr:cNvPr id="29" name="CuadroTexto 28"/>
          <xdr:cNvSpPr txBox="1"/>
        </xdr:nvSpPr>
        <xdr:spPr>
          <a:xfrm>
            <a:off x="25553341" y="3290933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B8086FEF-2E65-48BB-ADDF-4AE9687D5BF2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9'!$AH$6">
        <xdr:nvSpPr>
          <xdr:cNvPr id="30" name="CuadroTexto 29"/>
          <xdr:cNvSpPr txBox="1"/>
        </xdr:nvSpPr>
        <xdr:spPr>
          <a:xfrm>
            <a:off x="25551932" y="3448139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C7C21ADD-19D4-459F-A385-F0EC9E4CDEE0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(7,20-7,40)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31" name="CuadroTexto 30"/>
          <xdr:cNvSpPr txBox="1"/>
        </xdr:nvSpPr>
        <xdr:spPr>
          <a:xfrm>
            <a:off x="25549548" y="3613076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20</xdr:col>
      <xdr:colOff>678004</xdr:colOff>
      <xdr:row>106</xdr:row>
      <xdr:rowOff>122525</xdr:rowOff>
    </xdr:from>
    <xdr:to>
      <xdr:col>26</xdr:col>
      <xdr:colOff>447675</xdr:colOff>
      <xdr:row>110</xdr:row>
      <xdr:rowOff>22509</xdr:rowOff>
    </xdr:to>
    <xdr:grpSp>
      <xdr:nvGrpSpPr>
        <xdr:cNvPr id="32" name="Grupo 31"/>
        <xdr:cNvGrpSpPr/>
      </xdr:nvGrpSpPr>
      <xdr:grpSpPr>
        <a:xfrm>
          <a:off x="21404404" y="20315525"/>
          <a:ext cx="3627296" cy="661984"/>
          <a:chOff x="25486518" y="3305570"/>
          <a:chExt cx="3219451" cy="565537"/>
        </a:xfrm>
      </xdr:grpSpPr>
      <xdr:sp macro="" textlink="'9'!$AH$5">
        <xdr:nvSpPr>
          <xdr:cNvPr id="33" name="CuadroTexto 32"/>
          <xdr:cNvSpPr txBox="1"/>
        </xdr:nvSpPr>
        <xdr:spPr>
          <a:xfrm>
            <a:off x="25491281" y="3305570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E2BCC63-DE14-42D1-9D82-2FD55621ADF6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PROYECTO: C1BH-L12-L10-3+760-L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'9'!$AH$6">
        <xdr:nvSpPr>
          <xdr:cNvPr id="34" name="CuadroTexto 33"/>
          <xdr:cNvSpPr txBox="1"/>
        </xdr:nvSpPr>
        <xdr:spPr>
          <a:xfrm>
            <a:off x="25488899" y="3477415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0D4823B-7877-435A-B8F2-BA43CFC6934D}" type="TxLink">
              <a:rPr lang="en-US" sz="9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MUESTRA: C1BH-L12-L10-3+760-L (7,20-7,40)</a:t>
            </a:fld>
            <a:endParaRPr lang="es-ES" sz="900">
              <a:solidFill>
                <a:sysClr val="windowText" lastClr="000000"/>
              </a:solidFill>
            </a:endParaRPr>
          </a:p>
        </xdr:txBody>
      </xdr:sp>
      <xdr:sp macro="" textlink="$AN$5">
        <xdr:nvSpPr>
          <xdr:cNvPr id="35" name="CuadroTexto 34"/>
          <xdr:cNvSpPr txBox="1"/>
        </xdr:nvSpPr>
        <xdr:spPr>
          <a:xfrm>
            <a:off x="25486518" y="3632982"/>
            <a:ext cx="3214688" cy="2381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167AA84-C55C-49EA-88B7-48A4054975C3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/>
              <a:t>ENSAYO :  COMPRESION UNIAXIAL CON MODULO</a:t>
            </a:fld>
            <a:endParaRPr lang="es-ES" sz="900"/>
          </a:p>
        </xdr:txBody>
      </xdr:sp>
    </xdr:grpSp>
    <xdr:clientData/>
  </xdr:twoCellAnchor>
  <xdr:twoCellAnchor>
    <xdr:from>
      <xdr:col>16</xdr:col>
      <xdr:colOff>738188</xdr:colOff>
      <xdr:row>53</xdr:row>
      <xdr:rowOff>128804</xdr:rowOff>
    </xdr:from>
    <xdr:to>
      <xdr:col>24</xdr:col>
      <xdr:colOff>370987</xdr:colOff>
      <xdr:row>54</xdr:row>
      <xdr:rowOff>147854</xdr:rowOff>
    </xdr:to>
    <xdr:sp macro="" textlink="">
      <xdr:nvSpPr>
        <xdr:cNvPr id="36" name="Text Box 9"/>
        <xdr:cNvSpPr txBox="1">
          <a:spLocks noChangeArrowheads="1"/>
        </xdr:cNvSpPr>
      </xdr:nvSpPr>
      <xdr:spPr bwMode="auto">
        <a:xfrm>
          <a:off x="17683163" y="10225304"/>
          <a:ext cx="6767024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strike="noStrike">
              <a:solidFill>
                <a:srgbClr val="000000"/>
              </a:solidFill>
              <a:latin typeface="Arial"/>
              <a:cs typeface="Arial"/>
            </a:rPr>
            <a:t>FOTOGRAFÍAS</a:t>
          </a:r>
        </a:p>
      </xdr:txBody>
    </xdr:sp>
    <xdr:clientData/>
  </xdr:twoCellAnchor>
  <xdr:twoCellAnchor>
    <xdr:from>
      <xdr:col>18</xdr:col>
      <xdr:colOff>0</xdr:colOff>
      <xdr:row>50</xdr:row>
      <xdr:rowOff>69271</xdr:rowOff>
    </xdr:from>
    <xdr:to>
      <xdr:col>19</xdr:col>
      <xdr:colOff>933450</xdr:colOff>
      <xdr:row>51</xdr:row>
      <xdr:rowOff>78796</xdr:rowOff>
    </xdr:to>
    <xdr:sp macro="" textlink="">
      <xdr:nvSpPr>
        <xdr:cNvPr id="37" name="Text Box 10"/>
        <xdr:cNvSpPr txBox="1">
          <a:spLocks noChangeArrowheads="1"/>
        </xdr:cNvSpPr>
      </xdr:nvSpPr>
      <xdr:spPr bwMode="auto">
        <a:xfrm>
          <a:off x="18526125" y="9594271"/>
          <a:ext cx="17716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Antes del ensayo</a:t>
          </a:r>
        </a:p>
      </xdr:txBody>
    </xdr:sp>
    <xdr:clientData/>
  </xdr:twoCellAnchor>
  <xdr:twoCellAnchor>
    <xdr:from>
      <xdr:col>22</xdr:col>
      <xdr:colOff>270163</xdr:colOff>
      <xdr:row>50</xdr:row>
      <xdr:rowOff>78796</xdr:rowOff>
    </xdr:from>
    <xdr:to>
      <xdr:col>24</xdr:col>
      <xdr:colOff>146338</xdr:colOff>
      <xdr:row>51</xdr:row>
      <xdr:rowOff>78796</xdr:rowOff>
    </xdr:to>
    <xdr:sp macro="" textlink="">
      <xdr:nvSpPr>
        <xdr:cNvPr id="38" name="Text Box 15"/>
        <xdr:cNvSpPr txBox="1">
          <a:spLocks noChangeArrowheads="1"/>
        </xdr:cNvSpPr>
      </xdr:nvSpPr>
      <xdr:spPr bwMode="auto">
        <a:xfrm>
          <a:off x="22672963" y="9603796"/>
          <a:ext cx="155257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Después del ensayo</a:t>
          </a:r>
        </a:p>
        <a:p>
          <a:pPr algn="ctr" rtl="1">
            <a:defRPr sz="1000"/>
          </a:pPr>
          <a:endParaRPr lang="es-CL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748146</xdr:colOff>
      <xdr:row>110</xdr:row>
      <xdr:rowOff>53252</xdr:rowOff>
    </xdr:from>
    <xdr:to>
      <xdr:col>19</xdr:col>
      <xdr:colOff>919596</xdr:colOff>
      <xdr:row>111</xdr:row>
      <xdr:rowOff>62777</xdr:rowOff>
    </xdr:to>
    <xdr:sp macro="" textlink="">
      <xdr:nvSpPr>
        <xdr:cNvPr id="39" name="Text Box 10"/>
        <xdr:cNvSpPr txBox="1">
          <a:spLocks noChangeArrowheads="1"/>
        </xdr:cNvSpPr>
      </xdr:nvSpPr>
      <xdr:spPr bwMode="auto">
        <a:xfrm>
          <a:off x="18436071" y="21008252"/>
          <a:ext cx="184785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Antes del ensayo</a:t>
          </a:r>
        </a:p>
      </xdr:txBody>
    </xdr:sp>
    <xdr:clientData/>
  </xdr:twoCellAnchor>
  <xdr:twoCellAnchor>
    <xdr:from>
      <xdr:col>22</xdr:col>
      <xdr:colOff>142009</xdr:colOff>
      <xdr:row>110</xdr:row>
      <xdr:rowOff>58014</xdr:rowOff>
    </xdr:from>
    <xdr:to>
      <xdr:col>24</xdr:col>
      <xdr:colOff>18184</xdr:colOff>
      <xdr:row>111</xdr:row>
      <xdr:rowOff>58014</xdr:rowOff>
    </xdr:to>
    <xdr:sp macro="" textlink="">
      <xdr:nvSpPr>
        <xdr:cNvPr id="40" name="Text Box 15"/>
        <xdr:cNvSpPr txBox="1">
          <a:spLocks noChangeArrowheads="1"/>
        </xdr:cNvSpPr>
      </xdr:nvSpPr>
      <xdr:spPr bwMode="auto">
        <a:xfrm>
          <a:off x="22544809" y="21013014"/>
          <a:ext cx="1552575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Después del ensayo</a:t>
          </a:r>
        </a:p>
        <a:p>
          <a:pPr algn="ctr" rtl="1">
            <a:defRPr sz="1000"/>
          </a:pPr>
          <a:endParaRPr lang="es-CL" sz="1000" b="0" i="0" strike="noStrike">
            <a:solidFill>
              <a:srgbClr val="000000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17</xdr:col>
      <xdr:colOff>95250</xdr:colOff>
      <xdr:row>24</xdr:row>
      <xdr:rowOff>1</xdr:rowOff>
    </xdr:from>
    <xdr:to>
      <xdr:col>20</xdr:col>
      <xdr:colOff>455083</xdr:colOff>
      <xdr:row>46</xdr:row>
      <xdr:rowOff>137583</xdr:rowOff>
    </xdr:to>
    <xdr:pic>
      <xdr:nvPicPr>
        <xdr:cNvPr id="5" name="Imagen 4"/>
        <xdr:cNvPicPr>
          <a:picLocks noChangeAspect="1"/>
        </xdr:cNvPicPr>
      </xdr:nvPicPr>
      <xdr:blipFill rotWithShape="1"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790583" y="4572001"/>
          <a:ext cx="3397250" cy="4328582"/>
        </a:xfrm>
        <a:prstGeom prst="rect">
          <a:avLst/>
        </a:prstGeom>
      </xdr:spPr>
    </xdr:pic>
    <xdr:clientData/>
  </xdr:twoCellAnchor>
  <xdr:twoCellAnchor editAs="oneCell">
    <xdr:from>
      <xdr:col>17</xdr:col>
      <xdr:colOff>116417</xdr:colOff>
      <xdr:row>55</xdr:row>
      <xdr:rowOff>116418</xdr:rowOff>
    </xdr:from>
    <xdr:to>
      <xdr:col>20</xdr:col>
      <xdr:colOff>465667</xdr:colOff>
      <xdr:row>78</xdr:row>
      <xdr:rowOff>52918</xdr:rowOff>
    </xdr:to>
    <xdr:pic>
      <xdr:nvPicPr>
        <xdr:cNvPr id="41" name="Imagen 40"/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811750" y="10593918"/>
          <a:ext cx="3386667" cy="4318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116417</xdr:colOff>
      <xdr:row>83</xdr:row>
      <xdr:rowOff>95251</xdr:rowOff>
    </xdr:from>
    <xdr:to>
      <xdr:col>20</xdr:col>
      <xdr:colOff>465667</xdr:colOff>
      <xdr:row>106</xdr:row>
      <xdr:rowOff>42333</xdr:rowOff>
    </xdr:to>
    <xdr:pic>
      <xdr:nvPicPr>
        <xdr:cNvPr id="42" name="Imagen 41"/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7811750" y="15906751"/>
          <a:ext cx="3386667" cy="4328582"/>
        </a:xfrm>
        <a:prstGeom prst="rect">
          <a:avLst/>
        </a:prstGeom>
      </xdr:spPr>
    </xdr:pic>
    <xdr:clientData/>
  </xdr:twoCellAnchor>
  <xdr:twoCellAnchor editAs="oneCell">
    <xdr:from>
      <xdr:col>20</xdr:col>
      <xdr:colOff>723900</xdr:colOff>
      <xdr:row>23</xdr:row>
      <xdr:rowOff>180975</xdr:rowOff>
    </xdr:from>
    <xdr:to>
      <xdr:col>28</xdr:col>
      <xdr:colOff>685800</xdr:colOff>
      <xdr:row>46</xdr:row>
      <xdr:rowOff>123825</xdr:rowOff>
    </xdr:to>
    <xdr:pic>
      <xdr:nvPicPr>
        <xdr:cNvPr id="43" name="Imagen 42"/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1450300" y="4562475"/>
          <a:ext cx="5038725" cy="4324350"/>
        </a:xfrm>
        <a:prstGeom prst="rect">
          <a:avLst/>
        </a:prstGeom>
      </xdr:spPr>
    </xdr:pic>
    <xdr:clientData/>
  </xdr:twoCellAnchor>
  <xdr:twoCellAnchor editAs="oneCell">
    <xdr:from>
      <xdr:col>20</xdr:col>
      <xdr:colOff>726300</xdr:colOff>
      <xdr:row>55</xdr:row>
      <xdr:rowOff>104775</xdr:rowOff>
    </xdr:from>
    <xdr:to>
      <xdr:col>28</xdr:col>
      <xdr:colOff>685800</xdr:colOff>
      <xdr:row>78</xdr:row>
      <xdr:rowOff>47625</xdr:rowOff>
    </xdr:to>
    <xdr:pic>
      <xdr:nvPicPr>
        <xdr:cNvPr id="44" name="Imagen 43"/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1452700" y="10582275"/>
          <a:ext cx="5036325" cy="4324350"/>
        </a:xfrm>
        <a:prstGeom prst="rect">
          <a:avLst/>
        </a:prstGeom>
      </xdr:spPr>
    </xdr:pic>
    <xdr:clientData/>
  </xdr:twoCellAnchor>
  <xdr:twoCellAnchor editAs="oneCell">
    <xdr:from>
      <xdr:col>20</xdr:col>
      <xdr:colOff>723901</xdr:colOff>
      <xdr:row>83</xdr:row>
      <xdr:rowOff>95250</xdr:rowOff>
    </xdr:from>
    <xdr:to>
      <xdr:col>28</xdr:col>
      <xdr:colOff>685800</xdr:colOff>
      <xdr:row>106</xdr:row>
      <xdr:rowOff>38100</xdr:rowOff>
    </xdr:to>
    <xdr:pic>
      <xdr:nvPicPr>
        <xdr:cNvPr id="45" name="Imagen 44"/>
        <xdr:cNvPicPr>
          <a:picLocks noChangeAspect="1"/>
        </xdr:cNvPicPr>
      </xdr:nvPicPr>
      <xdr:blipFill rotWithShape="1"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1450301" y="15906750"/>
          <a:ext cx="5038724" cy="4324350"/>
        </a:xfrm>
        <a:prstGeom prst="rect">
          <a:avLst/>
        </a:prstGeom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0.01366</cdr:x>
      <cdr:y>0.07548</cdr:y>
    </cdr:from>
    <cdr:to>
      <cdr:x>0.99092</cdr:x>
      <cdr:y>0.13731</cdr:y>
    </cdr:to>
    <cdr:sp macro="" textlink="'9'!$AH$5">
      <cdr:nvSpPr>
        <cdr:cNvPr id="2" name="1 CuadroTexto"/>
        <cdr:cNvSpPr txBox="1"/>
      </cdr:nvSpPr>
      <cdr:spPr>
        <a:xfrm xmlns:a="http://schemas.openxmlformats.org/drawingml/2006/main">
          <a:off x="84741" y="257606"/>
          <a:ext cx="6062799" cy="21102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fld id="{E306A927-58F9-4A20-BA17-1E8E322A8588}" type="TxLink">
            <a:rPr lang="en-US" sz="105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/>
            <a:t>PROYECTO: C1BH-L12-L10-3+760-L</a:t>
          </a:fld>
          <a:endParaRPr lang="es-ES" sz="1050" b="0">
            <a:latin typeface="Arial" pitchFamily="34" charset="0"/>
            <a:cs typeface="Arial" pitchFamily="34" charset="0"/>
          </a:endParaRPr>
        </a:p>
      </cdr:txBody>
    </cdr:sp>
  </cdr:relSizeAnchor>
  <cdr:relSizeAnchor xmlns:cdr="http://schemas.openxmlformats.org/drawingml/2006/chartDrawing">
    <cdr:from>
      <cdr:x>0.01519</cdr:x>
      <cdr:y>0.13349</cdr:y>
    </cdr:from>
    <cdr:to>
      <cdr:x>0.99245</cdr:x>
      <cdr:y>0.19532</cdr:y>
    </cdr:to>
    <cdr:sp macro="" textlink="'9'!$AH$6">
      <cdr:nvSpPr>
        <cdr:cNvPr id="3" name="1 CuadroTexto"/>
        <cdr:cNvSpPr txBox="1"/>
      </cdr:nvSpPr>
      <cdr:spPr>
        <a:xfrm xmlns:a="http://schemas.openxmlformats.org/drawingml/2006/main">
          <a:off x="94265" y="455590"/>
          <a:ext cx="6062800" cy="21102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/>
          <a:fld id="{007D35A6-8F4F-4EBF-B504-3BAAF9D5CB92}" type="TxLink">
            <a:rPr lang="en-US" sz="1050" b="0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/>
            <a:t>MUESTRA: C1BH-L12-L10-3+760-L (7,20-7,40)</a:t>
          </a:fld>
          <a:endParaRPr lang="es-ES" sz="1050" b="1">
            <a:latin typeface="Arial" pitchFamily="34" charset="0"/>
            <a:cs typeface="Arial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H14"/>
  <sheetViews>
    <sheetView showGridLines="0" workbookViewId="0">
      <selection activeCell="E15" sqref="E15"/>
    </sheetView>
  </sheetViews>
  <sheetFormatPr baseColWidth="10" defaultRowHeight="12.75" x14ac:dyDescent="0.15"/>
  <cols>
    <col min="1" max="1" width="6.125" style="5" customWidth="1"/>
    <col min="2" max="2" width="12.875" style="5" bestFit="1" customWidth="1"/>
    <col min="3" max="3" width="12.375" style="5" customWidth="1"/>
    <col min="4" max="8" width="11.5" style="5" customWidth="1"/>
    <col min="9" max="16384" width="11" style="5"/>
  </cols>
  <sheetData>
    <row r="2" spans="2:8" ht="12.75" customHeight="1" x14ac:dyDescent="0.15">
      <c r="B2" s="1" t="s">
        <v>0</v>
      </c>
      <c r="C2" s="2" t="s">
        <v>117</v>
      </c>
      <c r="D2" s="3"/>
      <c r="E2" s="3"/>
      <c r="F2" s="3"/>
      <c r="G2" s="3"/>
      <c r="H2" s="4"/>
    </row>
    <row r="3" spans="2:8" x14ac:dyDescent="0.15">
      <c r="B3" s="6" t="s">
        <v>40</v>
      </c>
      <c r="C3" s="2" t="s">
        <v>118</v>
      </c>
      <c r="D3" s="3"/>
      <c r="E3" s="3"/>
      <c r="F3" s="3"/>
      <c r="G3" s="3"/>
      <c r="H3" s="4"/>
    </row>
    <row r="4" spans="2:8" x14ac:dyDescent="0.15">
      <c r="B4" s="7" t="s">
        <v>7</v>
      </c>
      <c r="C4" s="2" t="s">
        <v>106</v>
      </c>
      <c r="D4" s="3"/>
      <c r="E4" s="3"/>
      <c r="F4" s="3"/>
      <c r="G4" s="3"/>
      <c r="H4" s="4"/>
    </row>
    <row r="6" spans="2:8" x14ac:dyDescent="0.15">
      <c r="B6" s="115" t="s">
        <v>41</v>
      </c>
      <c r="C6" s="115"/>
      <c r="D6" s="115"/>
    </row>
    <row r="7" spans="2:8" x14ac:dyDescent="0.15">
      <c r="B7" s="116">
        <v>4</v>
      </c>
      <c r="C7" s="116"/>
      <c r="D7" s="116"/>
    </row>
    <row r="10" spans="2:8" x14ac:dyDescent="0.15">
      <c r="B10" s="8" t="s">
        <v>42</v>
      </c>
      <c r="C10" s="8" t="s">
        <v>43</v>
      </c>
    </row>
    <row r="11" spans="2:8" x14ac:dyDescent="0.15">
      <c r="B11" s="9">
        <v>1</v>
      </c>
      <c r="C11" s="113">
        <v>3</v>
      </c>
    </row>
    <row r="12" spans="2:8" x14ac:dyDescent="0.15">
      <c r="B12" s="9">
        <v>2</v>
      </c>
      <c r="C12" s="113">
        <v>6</v>
      </c>
    </row>
    <row r="13" spans="2:8" x14ac:dyDescent="0.15">
      <c r="B13" s="9">
        <v>3</v>
      </c>
      <c r="C13" s="113">
        <v>8</v>
      </c>
    </row>
    <row r="14" spans="2:8" x14ac:dyDescent="0.15">
      <c r="B14" s="9">
        <v>4</v>
      </c>
      <c r="C14" s="113">
        <v>9</v>
      </c>
    </row>
  </sheetData>
  <sheetProtection algorithmName="SHA-512" hashValue="0eaf/Zj3CzoGAZvRnaUJN+LNDORU46EaGewSpw3Vwci1EBhm2AXdE8+0RIRFwemUyT/mbLFawLnW81yNH3wPQw==" saltValue="KNKSEaXY82kc18WX5GaswQ==" spinCount="100000" sheet="1" formatCells="0" formatColumns="0" formatRows="0"/>
  <protectedRanges>
    <protectedRange sqref="C2:H4 B7 B10:D11 G10:H22 B41:H114 D12:D22 D23:H40 B12:C40" name="Rango1"/>
  </protectedRanges>
  <mergeCells count="2">
    <mergeCell ref="B6:D6"/>
    <mergeCell ref="B7:D7"/>
  </mergeCells>
  <dataValidations count="1">
    <dataValidation type="whole" allowBlank="1" showInputMessage="1" showErrorMessage="1" error="ELEGIR ENTRE 01 A 20 HOJAS" promptTitle="CANTIDAD DE ENSAYOS" prompt="INGRESAR LA CANTIDAD DE HOJAS DE CÁLCULO" sqref="B7:D7">
      <formula1>1</formula1>
      <formula2>30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92D050"/>
  </sheetPr>
  <dimension ref="A1:AV870"/>
  <sheetViews>
    <sheetView topLeftCell="H58" zoomScaleNormal="100" workbookViewId="0">
      <selection activeCell="K1" sqref="K1:O67"/>
    </sheetView>
  </sheetViews>
  <sheetFormatPr baseColWidth="10" defaultRowHeight="12" x14ac:dyDescent="0.2"/>
  <cols>
    <col min="1" max="3" width="12.5" style="10" customWidth="1"/>
    <col min="4" max="5" width="13.125" style="10" customWidth="1"/>
    <col min="6" max="6" width="23.625" style="10" customWidth="1"/>
    <col min="7" max="7" width="11" style="10"/>
    <col min="8" max="9" width="11" style="13"/>
    <col min="10" max="10" width="3.25" style="10" customWidth="1"/>
    <col min="11" max="11" width="23.125" style="10" customWidth="1"/>
    <col min="12" max="13" width="11.125" style="10" customWidth="1"/>
    <col min="14" max="14" width="27.25" style="10" customWidth="1"/>
    <col min="15" max="15" width="24" style="10" customWidth="1"/>
    <col min="16" max="16" width="2.5" style="10" customWidth="1"/>
    <col min="17" max="17" width="9.375" style="12" customWidth="1"/>
    <col min="18" max="19" width="11" style="12"/>
    <col min="20" max="20" width="17.875" style="12" customWidth="1"/>
    <col min="21" max="24" width="11" style="12"/>
    <col min="25" max="25" width="5.125" style="12" customWidth="1"/>
    <col min="26" max="26" width="1.5" style="12" customWidth="1"/>
    <col min="27" max="27" width="6.625" style="12" customWidth="1"/>
    <col min="28" max="28" width="9.375" style="12" customWidth="1"/>
    <col min="29" max="29" width="11" style="12"/>
    <col min="30" max="30" width="21.75" style="10" customWidth="1"/>
    <col min="31" max="31" width="10.375" style="10" customWidth="1"/>
    <col min="32" max="32" width="7.25" style="10" customWidth="1"/>
    <col min="33" max="33" width="11" style="11"/>
    <col min="34" max="34" width="10" style="11" customWidth="1"/>
    <col min="35" max="45" width="11" style="11"/>
    <col min="46" max="16384" width="11" style="10"/>
  </cols>
  <sheetData>
    <row r="1" spans="1:48" ht="15" customHeight="1" x14ac:dyDescent="0.2">
      <c r="K1" s="106" t="s">
        <v>97</v>
      </c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</row>
    <row r="2" spans="1:48" ht="15" customHeight="1" x14ac:dyDescent="0.2">
      <c r="A2" s="95" t="s">
        <v>87</v>
      </c>
      <c r="B2" s="44"/>
      <c r="C2" s="107">
        <v>45155</v>
      </c>
      <c r="E2" s="105" t="s">
        <v>32</v>
      </c>
      <c r="F2" s="104"/>
      <c r="G2" s="104"/>
      <c r="H2" s="103"/>
      <c r="I2" s="91"/>
    </row>
    <row r="3" spans="1:48" ht="15" customHeight="1" x14ac:dyDescent="0.2">
      <c r="A3" s="79" t="s">
        <v>85</v>
      </c>
      <c r="B3" s="44"/>
      <c r="C3" s="107">
        <v>45155</v>
      </c>
      <c r="E3" s="102" t="s">
        <v>34</v>
      </c>
      <c r="F3" s="101"/>
      <c r="G3" s="101"/>
      <c r="H3" s="100"/>
      <c r="I3" s="91"/>
      <c r="K3" s="99" t="s">
        <v>0</v>
      </c>
      <c r="L3" s="98" t="str">
        <f>+'Ingreso Datos'!C2</f>
        <v>C1BH-L12-L10-3+760-L</v>
      </c>
      <c r="M3" s="74"/>
      <c r="N3" s="74"/>
      <c r="O3" s="73"/>
      <c r="P3" s="72"/>
      <c r="Q3" s="72"/>
      <c r="AI3" s="84" t="s">
        <v>44</v>
      </c>
      <c r="AJ3" s="97" t="str">
        <f>+L3</f>
        <v>C1BH-L12-L10-3+760-L</v>
      </c>
      <c r="AK3" s="81"/>
      <c r="AL3" s="84" t="s">
        <v>96</v>
      </c>
      <c r="AM3" s="81"/>
      <c r="AN3" s="81" t="str">
        <f>+CONCATENATE(AI3," : ",AJ3)</f>
        <v>PROYECTO : C1BH-L12-L10-3+760-L</v>
      </c>
      <c r="AO3" s="81"/>
      <c r="AP3" s="81"/>
      <c r="AQ3" s="81"/>
      <c r="AR3" s="81"/>
      <c r="AS3" s="81"/>
      <c r="AT3" s="80"/>
      <c r="AU3" s="80"/>
      <c r="AV3" s="96" t="s">
        <v>95</v>
      </c>
    </row>
    <row r="4" spans="1:48" ht="15" customHeight="1" thickBot="1" x14ac:dyDescent="0.25">
      <c r="A4" s="95" t="s">
        <v>1</v>
      </c>
      <c r="B4" s="44"/>
      <c r="C4" s="40" t="s">
        <v>108</v>
      </c>
      <c r="E4" s="94" t="s">
        <v>33</v>
      </c>
      <c r="F4" s="93"/>
      <c r="G4" s="93"/>
      <c r="H4" s="92"/>
      <c r="I4" s="91"/>
      <c r="K4" s="88" t="s">
        <v>94</v>
      </c>
      <c r="L4" s="90" t="str">
        <f>+'Ingreso Datos'!C3</f>
        <v>1.913.481-A</v>
      </c>
      <c r="M4" s="74"/>
      <c r="N4" s="74"/>
      <c r="O4" s="73"/>
      <c r="P4" s="72"/>
      <c r="Q4" s="72"/>
      <c r="AI4" s="84" t="s">
        <v>45</v>
      </c>
      <c r="AJ4" s="89" t="str">
        <f>+L9</f>
        <v>C1BH-L12-L10-3+760-L (1,26-1,40)</v>
      </c>
      <c r="AK4" s="81"/>
      <c r="AL4" s="81"/>
      <c r="AM4" s="81"/>
      <c r="AN4" s="81" t="str">
        <f>+CONCATENATE(AI4," : ",AJ4)</f>
        <v>MUESTRA : C1BH-L12-L10-3+760-L (1,26-1,40)</v>
      </c>
      <c r="AO4" s="81"/>
      <c r="AP4" s="81"/>
      <c r="AQ4" s="81"/>
      <c r="AR4" s="81"/>
      <c r="AS4" s="81"/>
      <c r="AT4" s="80"/>
      <c r="AU4" s="80"/>
      <c r="AV4" s="80"/>
    </row>
    <row r="5" spans="1:48" ht="15" customHeight="1" x14ac:dyDescent="0.2">
      <c r="A5" s="79" t="s">
        <v>93</v>
      </c>
      <c r="B5" s="44"/>
      <c r="C5" s="40" t="s">
        <v>114</v>
      </c>
      <c r="K5" s="88" t="s">
        <v>7</v>
      </c>
      <c r="L5" s="87" t="str">
        <f>+'Ingreso Datos'!C4</f>
        <v>-</v>
      </c>
      <c r="M5" s="74"/>
      <c r="N5" s="74"/>
      <c r="O5" s="73"/>
      <c r="P5" s="72"/>
      <c r="Q5" s="72"/>
      <c r="AD5" s="86" t="s">
        <v>92</v>
      </c>
      <c r="AE5" s="85" t="s">
        <v>91</v>
      </c>
      <c r="AH5" s="11" t="str">
        <f>CONCATENATE("PROYECTO: ",L3)</f>
        <v>PROYECTO: C1BH-L12-L10-3+760-L</v>
      </c>
      <c r="AI5" s="84" t="s">
        <v>90</v>
      </c>
      <c r="AJ5" s="84" t="s">
        <v>89</v>
      </c>
      <c r="AK5" s="81"/>
      <c r="AL5" s="81"/>
      <c r="AM5" s="81"/>
      <c r="AN5" s="81" t="str">
        <f>+CONCATENATE(AI5," : ",AJ5)</f>
        <v>ENSAYO :  COMPRESION UNIAXIAL CON MODULO</v>
      </c>
      <c r="AO5" s="81"/>
      <c r="AP5" s="81"/>
      <c r="AQ5" s="81"/>
      <c r="AR5" s="81"/>
      <c r="AS5" s="81"/>
      <c r="AT5" s="80"/>
      <c r="AU5" s="80"/>
      <c r="AV5" s="80"/>
    </row>
    <row r="6" spans="1:48" ht="15" customHeight="1" thickBot="1" x14ac:dyDescent="0.25">
      <c r="A6" s="79" t="s">
        <v>88</v>
      </c>
      <c r="B6" s="44"/>
      <c r="C6" s="40" t="s">
        <v>112</v>
      </c>
      <c r="K6" s="69" t="s">
        <v>87</v>
      </c>
      <c r="L6" s="118">
        <f>+C2</f>
        <v>45155</v>
      </c>
      <c r="M6" s="119"/>
      <c r="N6" s="119"/>
      <c r="O6" s="120"/>
      <c r="P6" s="72"/>
      <c r="Q6" s="72"/>
      <c r="AD6" s="83" t="s">
        <v>86</v>
      </c>
      <c r="AE6" s="82">
        <v>3</v>
      </c>
      <c r="AH6" s="11" t="str">
        <f>CONCATENATE("MUESTRA: ",L9)</f>
        <v>MUESTRA: C1BH-L12-L10-3+760-L (1,26-1,40)</v>
      </c>
      <c r="AK6" s="81"/>
      <c r="AL6" s="81"/>
      <c r="AM6" s="81"/>
      <c r="AN6" s="81"/>
      <c r="AO6" s="81"/>
      <c r="AP6" s="81"/>
      <c r="AQ6" s="81"/>
      <c r="AR6" s="81"/>
      <c r="AS6" s="81"/>
      <c r="AT6" s="80"/>
      <c r="AU6" s="80"/>
      <c r="AV6" s="80"/>
    </row>
    <row r="7" spans="1:48" ht="15" customHeight="1" thickBot="1" x14ac:dyDescent="0.25">
      <c r="A7" s="79" t="s">
        <v>12</v>
      </c>
      <c r="B7" s="44"/>
      <c r="C7" s="40" t="s">
        <v>113</v>
      </c>
      <c r="E7" s="53" t="s">
        <v>99</v>
      </c>
      <c r="F7" s="44"/>
      <c r="G7" s="40" t="s">
        <v>106</v>
      </c>
      <c r="K7" s="69" t="s">
        <v>85</v>
      </c>
      <c r="L7" s="118">
        <f>+C3</f>
        <v>45155</v>
      </c>
      <c r="M7" s="119"/>
      <c r="N7" s="119"/>
      <c r="O7" s="120"/>
      <c r="P7" s="72"/>
      <c r="Q7" s="72"/>
    </row>
    <row r="8" spans="1:48" ht="15" customHeight="1" x14ac:dyDescent="0.2">
      <c r="E8" s="50" t="s">
        <v>100</v>
      </c>
      <c r="F8" s="44"/>
      <c r="G8" s="40" t="s">
        <v>106</v>
      </c>
      <c r="K8" s="78"/>
      <c r="L8" s="77"/>
      <c r="P8" s="72"/>
      <c r="Q8" s="72"/>
      <c r="AD8" s="121" t="s">
        <v>84</v>
      </c>
      <c r="AE8" s="122"/>
    </row>
    <row r="9" spans="1:48" ht="15" customHeight="1" thickBot="1" x14ac:dyDescent="0.25">
      <c r="A9" s="50" t="s">
        <v>13</v>
      </c>
      <c r="B9" s="44"/>
      <c r="C9" s="40">
        <v>6.11</v>
      </c>
      <c r="D9" s="10" t="s">
        <v>25</v>
      </c>
      <c r="E9" s="45" t="s">
        <v>37</v>
      </c>
      <c r="F9" s="44">
        <f>+ROUND(AVERAGE(C9:C17),1)*10</f>
        <v>61</v>
      </c>
      <c r="G9" s="76" t="str">
        <f>+CONCATENATE("D",F9)</f>
        <v>D61</v>
      </c>
      <c r="K9" s="69" t="s">
        <v>83</v>
      </c>
      <c r="L9" s="75" t="str">
        <f>C4</f>
        <v>C1BH-L12-L10-3+760-L (1,26-1,40)</v>
      </c>
      <c r="M9" s="74"/>
      <c r="N9" s="74"/>
      <c r="O9" s="73"/>
      <c r="P9" s="72"/>
      <c r="Q9" s="72"/>
      <c r="AD9" s="123" t="s">
        <v>82</v>
      </c>
      <c r="AE9" s="124"/>
    </row>
    <row r="10" spans="1:48" ht="15" customHeight="1" thickBot="1" x14ac:dyDescent="0.25">
      <c r="A10" s="50" t="s">
        <v>14</v>
      </c>
      <c r="B10" s="44"/>
      <c r="C10" s="40">
        <v>6.13</v>
      </c>
      <c r="D10" s="10" t="s">
        <v>25</v>
      </c>
      <c r="E10" s="45" t="s">
        <v>35</v>
      </c>
      <c r="F10" s="44"/>
      <c r="G10" s="71">
        <f>C18/AVERAGE(C9:C17)</f>
        <v>2.0145111554507524</v>
      </c>
      <c r="K10" s="69" t="s">
        <v>10</v>
      </c>
      <c r="L10" s="68" t="str">
        <f>C5</f>
        <v>Toba de lapilli lítica</v>
      </c>
      <c r="M10" s="70"/>
      <c r="N10" s="66"/>
      <c r="O10" s="65"/>
      <c r="P10" s="12"/>
    </row>
    <row r="11" spans="1:48" ht="15" customHeight="1" x14ac:dyDescent="0.2">
      <c r="A11" s="50" t="s">
        <v>15</v>
      </c>
      <c r="B11" s="44"/>
      <c r="C11" s="40">
        <v>6.11</v>
      </c>
      <c r="D11" s="10" t="s">
        <v>25</v>
      </c>
      <c r="E11" s="50" t="s">
        <v>81</v>
      </c>
      <c r="F11" s="44"/>
      <c r="G11" s="59">
        <f>(AVERAGE(C9:C11))*10</f>
        <v>61.166666666666671</v>
      </c>
      <c r="H11" s="42" t="s">
        <v>28</v>
      </c>
      <c r="I11" s="42"/>
      <c r="K11" s="69" t="s">
        <v>11</v>
      </c>
      <c r="L11" s="68" t="str">
        <f>C6</f>
        <v>No presenta</v>
      </c>
      <c r="M11" s="67"/>
      <c r="N11" s="66"/>
      <c r="O11" s="65"/>
      <c r="P11" s="12"/>
      <c r="AD11" s="125" t="s">
        <v>80</v>
      </c>
      <c r="AE11" s="126"/>
    </row>
    <row r="12" spans="1:48" ht="15" customHeight="1" x14ac:dyDescent="0.2">
      <c r="A12" s="50" t="s">
        <v>17</v>
      </c>
      <c r="B12" s="44"/>
      <c r="C12" s="40">
        <v>6.13</v>
      </c>
      <c r="D12" s="10" t="s">
        <v>25</v>
      </c>
      <c r="E12" s="50" t="s">
        <v>79</v>
      </c>
      <c r="F12" s="44"/>
      <c r="G12" s="59">
        <f>(AVERAGE(C12:C14))*10</f>
        <v>61.3</v>
      </c>
      <c r="H12" s="42" t="s">
        <v>28</v>
      </c>
      <c r="I12" s="42"/>
      <c r="K12" s="69" t="s">
        <v>12</v>
      </c>
      <c r="L12" s="68" t="str">
        <f>C7</f>
        <v>Oxidación y zeolitización</v>
      </c>
      <c r="M12" s="67"/>
      <c r="N12" s="66"/>
      <c r="O12" s="65"/>
      <c r="P12" s="12"/>
      <c r="AD12" s="127"/>
      <c r="AE12" s="128"/>
    </row>
    <row r="13" spans="1:48" ht="15" customHeight="1" thickBot="1" x14ac:dyDescent="0.25">
      <c r="A13" s="50" t="s">
        <v>18</v>
      </c>
      <c r="B13" s="44"/>
      <c r="C13" s="40">
        <v>6.13</v>
      </c>
      <c r="D13" s="62" t="s">
        <v>25</v>
      </c>
      <c r="E13" s="50" t="s">
        <v>78</v>
      </c>
      <c r="F13" s="44"/>
      <c r="G13" s="59">
        <f>(AVERAGE(C15:C17))*10</f>
        <v>61.3</v>
      </c>
      <c r="H13" s="42" t="s">
        <v>28</v>
      </c>
      <c r="I13" s="42"/>
      <c r="P13" s="12"/>
      <c r="AD13" s="129"/>
      <c r="AE13" s="130"/>
    </row>
    <row r="14" spans="1:48" ht="15" customHeight="1" x14ac:dyDescent="0.2">
      <c r="A14" s="50" t="s">
        <v>19</v>
      </c>
      <c r="B14" s="44"/>
      <c r="C14" s="40">
        <v>6.13</v>
      </c>
      <c r="D14" s="10" t="s">
        <v>25</v>
      </c>
      <c r="E14" s="50" t="s">
        <v>16</v>
      </c>
      <c r="F14" s="44"/>
      <c r="G14" s="59">
        <f>(((G11/2)^2*PI())+(((G12/2)^2*PI())*4)+((G13/2)^2*PI()))/6</f>
        <v>2949.1453780596817</v>
      </c>
      <c r="H14" s="42" t="s">
        <v>77</v>
      </c>
      <c r="I14" s="42"/>
      <c r="K14" s="64" t="s">
        <v>76</v>
      </c>
      <c r="N14" s="63" t="s">
        <v>75</v>
      </c>
    </row>
    <row r="15" spans="1:48" ht="15" customHeight="1" x14ac:dyDescent="0.2">
      <c r="A15" s="50" t="s">
        <v>20</v>
      </c>
      <c r="B15" s="44"/>
      <c r="C15" s="40">
        <v>6.13</v>
      </c>
      <c r="D15" s="10" t="s">
        <v>25</v>
      </c>
      <c r="E15" s="51" t="s">
        <v>3</v>
      </c>
      <c r="F15" s="44"/>
      <c r="G15" s="59">
        <f>(H19*C21)</f>
        <v>363.75862935523406</v>
      </c>
      <c r="H15" s="42" t="s">
        <v>29</v>
      </c>
      <c r="I15" s="42"/>
      <c r="K15" s="48" t="s">
        <v>74</v>
      </c>
      <c r="L15" s="61">
        <f>AVERAGE(G11:G13)/10</f>
        <v>6.1255555555555556</v>
      </c>
      <c r="N15" s="48" t="s">
        <v>101</v>
      </c>
      <c r="O15" s="110">
        <f>MAX(O26:O500)</f>
        <v>19.66671066790185</v>
      </c>
    </row>
    <row r="16" spans="1:48" ht="15" customHeight="1" x14ac:dyDescent="0.2">
      <c r="A16" s="50" t="s">
        <v>21</v>
      </c>
      <c r="B16" s="44"/>
      <c r="C16" s="40">
        <v>6.13</v>
      </c>
      <c r="D16" s="62" t="s">
        <v>25</v>
      </c>
      <c r="E16" s="50" t="s">
        <v>6</v>
      </c>
      <c r="F16" s="44"/>
      <c r="G16" s="59">
        <f>(G18/G15)</f>
        <v>2.4806284364976432</v>
      </c>
      <c r="H16" s="42" t="s">
        <v>30</v>
      </c>
      <c r="I16" s="42"/>
      <c r="K16" s="48" t="s">
        <v>73</v>
      </c>
      <c r="L16" s="61">
        <f>AVERAGE(C18:C20)</f>
        <v>12.343333333333334</v>
      </c>
      <c r="N16" s="60" t="s">
        <v>102</v>
      </c>
      <c r="O16" s="108">
        <f>SLOPE(O36:O42,M36:M42)*100</f>
        <v>3356.8159341832661</v>
      </c>
      <c r="P16" s="58"/>
      <c r="Q16" s="57"/>
    </row>
    <row r="17" spans="1:17" ht="15" customHeight="1" x14ac:dyDescent="0.2">
      <c r="A17" s="50" t="s">
        <v>22</v>
      </c>
      <c r="B17" s="44"/>
      <c r="C17" s="40">
        <v>6.13</v>
      </c>
      <c r="D17" s="10" t="s">
        <v>25</v>
      </c>
      <c r="E17" s="50" t="s">
        <v>4</v>
      </c>
      <c r="F17" s="44"/>
      <c r="G17" s="59">
        <f>(G16/((G20+100)))*100</f>
        <v>2.3822418481682925</v>
      </c>
      <c r="H17" s="42" t="s">
        <v>30</v>
      </c>
      <c r="I17" s="42"/>
      <c r="K17" s="48" t="s">
        <v>72</v>
      </c>
      <c r="L17" s="47">
        <f>G18</f>
        <v>902.35</v>
      </c>
      <c r="M17" s="12"/>
      <c r="N17" s="48" t="s">
        <v>71</v>
      </c>
      <c r="O17" s="22">
        <f>SLOPE(L36:L42,M36:M42)*-1</f>
        <v>0.12574336348679421</v>
      </c>
      <c r="P17" s="58"/>
      <c r="Q17" s="57"/>
    </row>
    <row r="18" spans="1:17" ht="15" customHeight="1" x14ac:dyDescent="0.2">
      <c r="A18" s="51" t="s">
        <v>70</v>
      </c>
      <c r="B18" s="44"/>
      <c r="C18" s="40">
        <v>12.34</v>
      </c>
      <c r="D18" s="10" t="s">
        <v>25</v>
      </c>
      <c r="E18" s="51" t="s">
        <v>2</v>
      </c>
      <c r="F18" s="44"/>
      <c r="G18" s="40">
        <v>902.35</v>
      </c>
      <c r="H18" s="13" t="s">
        <v>26</v>
      </c>
      <c r="K18" s="48" t="s">
        <v>69</v>
      </c>
      <c r="L18" s="47">
        <f>G16</f>
        <v>2.4806284364976432</v>
      </c>
      <c r="M18" s="12"/>
      <c r="N18" s="56" t="s">
        <v>67</v>
      </c>
      <c r="O18" s="55" t="str">
        <f>G19</f>
        <v>Matriz (Tipo A)</v>
      </c>
      <c r="P18" s="54"/>
      <c r="Q18" s="54"/>
    </row>
    <row r="19" spans="1:17" ht="15" customHeight="1" x14ac:dyDescent="0.2">
      <c r="A19" s="51" t="s">
        <v>68</v>
      </c>
      <c r="B19" s="44"/>
      <c r="C19" s="40">
        <v>12.35</v>
      </c>
      <c r="D19" s="10" t="s">
        <v>25</v>
      </c>
      <c r="E19" s="53" t="s">
        <v>67</v>
      </c>
      <c r="F19" s="44"/>
      <c r="G19" s="40" t="s">
        <v>111</v>
      </c>
      <c r="H19" s="52">
        <f>(((AVERAGE(C9:C17)/2)^2)*PI())</f>
        <v>29.470048286948479</v>
      </c>
      <c r="I19" s="52"/>
      <c r="K19" s="48" t="s">
        <v>66</v>
      </c>
      <c r="L19" s="47">
        <f>G17</f>
        <v>2.3822418481682925</v>
      </c>
      <c r="M19" s="12"/>
      <c r="P19" s="41"/>
      <c r="Q19" s="41"/>
    </row>
    <row r="20" spans="1:17" ht="15" customHeight="1" x14ac:dyDescent="0.2">
      <c r="A20" s="51" t="s">
        <v>65</v>
      </c>
      <c r="B20" s="44"/>
      <c r="C20" s="40">
        <v>12.34</v>
      </c>
      <c r="D20" s="10" t="s">
        <v>25</v>
      </c>
      <c r="E20" s="50" t="s">
        <v>9</v>
      </c>
      <c r="F20" s="44"/>
      <c r="G20" s="40">
        <v>4.13</v>
      </c>
      <c r="H20" s="49" t="s">
        <v>27</v>
      </c>
      <c r="I20" s="49"/>
      <c r="K20" s="48" t="s">
        <v>64</v>
      </c>
      <c r="L20" s="47">
        <f>G20</f>
        <v>4.13</v>
      </c>
      <c r="M20" s="12"/>
      <c r="P20" s="41"/>
      <c r="Q20" s="41"/>
    </row>
    <row r="21" spans="1:17" ht="15" customHeight="1" x14ac:dyDescent="0.2">
      <c r="A21" s="10" t="s">
        <v>63</v>
      </c>
      <c r="C21" s="46">
        <f>+AVERAGE(C18:C20)</f>
        <v>12.343333333333334</v>
      </c>
      <c r="D21" s="10" t="s">
        <v>25</v>
      </c>
      <c r="E21" s="45" t="s">
        <v>62</v>
      </c>
      <c r="F21" s="44"/>
      <c r="G21" s="43">
        <f>H19</f>
        <v>29.470048286948479</v>
      </c>
      <c r="H21" s="42" t="s">
        <v>61</v>
      </c>
      <c r="I21" s="42"/>
      <c r="P21" s="41"/>
      <c r="Q21" s="41"/>
    </row>
    <row r="22" spans="1:17" ht="15" customHeight="1" x14ac:dyDescent="0.2">
      <c r="A22" s="10" t="s">
        <v>38</v>
      </c>
      <c r="C22" s="109">
        <v>0.5</v>
      </c>
      <c r="D22" s="10" t="s">
        <v>105</v>
      </c>
      <c r="E22" s="10" t="s">
        <v>60</v>
      </c>
      <c r="G22" s="10">
        <f>((G11+G12+G13)/3)/10</f>
        <v>6.1255555555555556</v>
      </c>
      <c r="K22" s="39" t="s">
        <v>59</v>
      </c>
      <c r="P22" s="15"/>
      <c r="Q22" s="15"/>
    </row>
    <row r="23" spans="1:17" ht="15" customHeight="1" x14ac:dyDescent="0.2">
      <c r="A23" s="38" t="s">
        <v>58</v>
      </c>
      <c r="B23" s="38" t="s">
        <v>5</v>
      </c>
      <c r="C23" s="38" t="s">
        <v>5</v>
      </c>
      <c r="D23" s="35" t="s">
        <v>23</v>
      </c>
      <c r="E23" s="37" t="s">
        <v>24</v>
      </c>
      <c r="F23" s="36" t="s">
        <v>24</v>
      </c>
      <c r="K23" s="35" t="s">
        <v>57</v>
      </c>
      <c r="L23" s="131" t="s">
        <v>5</v>
      </c>
      <c r="M23" s="132"/>
      <c r="N23" s="35" t="s">
        <v>24</v>
      </c>
      <c r="O23" s="35" t="s">
        <v>24</v>
      </c>
      <c r="P23" s="15"/>
      <c r="Q23" s="15"/>
    </row>
    <row r="24" spans="1:17" ht="15" customHeight="1" x14ac:dyDescent="0.2">
      <c r="A24" s="34" t="s">
        <v>56</v>
      </c>
      <c r="B24" s="33" t="s">
        <v>55</v>
      </c>
      <c r="C24" s="32" t="s">
        <v>54</v>
      </c>
      <c r="D24" s="32" t="s">
        <v>54</v>
      </c>
      <c r="E24" s="33" t="s">
        <v>53</v>
      </c>
      <c r="F24" s="32" t="s">
        <v>36</v>
      </c>
      <c r="K24" s="31" t="s">
        <v>52</v>
      </c>
      <c r="L24" s="133" t="s">
        <v>51</v>
      </c>
      <c r="M24" s="135" t="s">
        <v>50</v>
      </c>
      <c r="N24" s="31" t="s">
        <v>104</v>
      </c>
      <c r="O24" s="31" t="s">
        <v>104</v>
      </c>
      <c r="P24" s="15"/>
      <c r="Q24" s="15"/>
    </row>
    <row r="25" spans="1:17" ht="15" customHeight="1" x14ac:dyDescent="0.2">
      <c r="A25" s="30" t="s">
        <v>31</v>
      </c>
      <c r="B25" s="30" t="s">
        <v>49</v>
      </c>
      <c r="C25" s="30" t="s">
        <v>49</v>
      </c>
      <c r="D25" s="30" t="s">
        <v>8</v>
      </c>
      <c r="E25" s="30" t="s">
        <v>8</v>
      </c>
      <c r="F25" s="30" t="s">
        <v>8</v>
      </c>
      <c r="K25" s="28" t="s">
        <v>103</v>
      </c>
      <c r="L25" s="134"/>
      <c r="M25" s="136"/>
      <c r="N25" s="29" t="str">
        <f>G9</f>
        <v>D61</v>
      </c>
      <c r="O25" s="28" t="s">
        <v>36</v>
      </c>
      <c r="P25" s="15"/>
      <c r="Q25" s="15"/>
    </row>
    <row r="26" spans="1:17" ht="15" customHeight="1" x14ac:dyDescent="0.2">
      <c r="A26" s="114">
        <v>0</v>
      </c>
      <c r="B26" s="26">
        <v>0</v>
      </c>
      <c r="C26" s="26">
        <v>0</v>
      </c>
      <c r="D26" s="24">
        <f t="shared" ref="D26:D58" si="0">((((A26*1000)/G$14)))</f>
        <v>0</v>
      </c>
      <c r="E26" s="25">
        <f t="shared" ref="E26:E58" si="1">IF((C$21/G$22)&gt;2.5,(D26/(0.88+(0.222*(C$21/G$22)))),D26*1)</f>
        <v>0</v>
      </c>
      <c r="F26" s="24">
        <f t="shared" ref="F26:F58" si="2">E26*((AVERAGE(G$11:G$13)/50)^0.2)</f>
        <v>0</v>
      </c>
      <c r="H26" s="10"/>
      <c r="K26" s="112">
        <f t="shared" ref="K26:K58" si="3">+A26</f>
        <v>0</v>
      </c>
      <c r="L26" s="23">
        <f t="shared" ref="L26:M58" si="4">+(B26/10^6)*100</f>
        <v>0</v>
      </c>
      <c r="M26" s="23">
        <f t="shared" si="4"/>
        <v>0</v>
      </c>
      <c r="N26" s="111">
        <f t="shared" ref="N26:O58" si="5">E26</f>
        <v>0</v>
      </c>
      <c r="O26" s="111">
        <f t="shared" si="5"/>
        <v>0</v>
      </c>
      <c r="P26" s="15"/>
      <c r="Q26" s="15"/>
    </row>
    <row r="27" spans="1:17" ht="15" customHeight="1" x14ac:dyDescent="0.2">
      <c r="A27" s="114">
        <v>13.311</v>
      </c>
      <c r="B27" s="26">
        <v>1.6</v>
      </c>
      <c r="C27" s="26">
        <v>7.6</v>
      </c>
      <c r="D27" s="24">
        <f t="shared" si="0"/>
        <v>4.5135109645756586</v>
      </c>
      <c r="E27" s="25">
        <f t="shared" si="1"/>
        <v>4.5135109645756586</v>
      </c>
      <c r="F27" s="24">
        <f t="shared" si="2"/>
        <v>4.7005599673281884</v>
      </c>
      <c r="H27" s="10"/>
      <c r="J27" s="27"/>
      <c r="K27" s="112">
        <f t="shared" si="3"/>
        <v>13.311</v>
      </c>
      <c r="L27" s="23">
        <f t="shared" si="4"/>
        <v>1.6000000000000001E-4</v>
      </c>
      <c r="M27" s="23">
        <f t="shared" si="4"/>
        <v>7.5999999999999993E-4</v>
      </c>
      <c r="N27" s="111">
        <f t="shared" si="5"/>
        <v>4.5135109645756586</v>
      </c>
      <c r="O27" s="111">
        <f t="shared" si="5"/>
        <v>4.7005599673281884</v>
      </c>
      <c r="P27" s="15"/>
      <c r="Q27" s="15"/>
    </row>
    <row r="28" spans="1:17" ht="15" customHeight="1" x14ac:dyDescent="0.2">
      <c r="A28" s="114">
        <v>14.000999999999999</v>
      </c>
      <c r="B28" s="26">
        <v>-0.2</v>
      </c>
      <c r="C28" s="26">
        <v>43.2</v>
      </c>
      <c r="D28" s="24">
        <f t="shared" si="0"/>
        <v>4.7474770501858465</v>
      </c>
      <c r="E28" s="25">
        <f t="shared" si="1"/>
        <v>4.7474770501858465</v>
      </c>
      <c r="F28" s="24">
        <f t="shared" si="2"/>
        <v>4.9442220796756047</v>
      </c>
      <c r="H28" s="10"/>
      <c r="K28" s="112">
        <f t="shared" si="3"/>
        <v>14.000999999999999</v>
      </c>
      <c r="L28" s="23">
        <f t="shared" si="4"/>
        <v>-2.0000000000000002E-5</v>
      </c>
      <c r="M28" s="23">
        <f t="shared" si="4"/>
        <v>4.3200000000000001E-3</v>
      </c>
      <c r="N28" s="111">
        <f t="shared" si="5"/>
        <v>4.7474770501858465</v>
      </c>
      <c r="O28" s="111">
        <f t="shared" si="5"/>
        <v>4.9442220796756047</v>
      </c>
      <c r="P28" s="15"/>
      <c r="Q28" s="15"/>
    </row>
    <row r="29" spans="1:17" ht="15" customHeight="1" x14ac:dyDescent="0.2">
      <c r="A29" s="114">
        <v>15.055999999999999</v>
      </c>
      <c r="B29" s="26">
        <v>-3.3</v>
      </c>
      <c r="C29" s="26">
        <v>136.19999999999999</v>
      </c>
      <c r="D29" s="24">
        <f t="shared" si="0"/>
        <v>5.1052078042709876</v>
      </c>
      <c r="E29" s="25">
        <f t="shared" si="1"/>
        <v>5.1052078042709876</v>
      </c>
      <c r="F29" s="24">
        <f t="shared" si="2"/>
        <v>5.3167779181198407</v>
      </c>
      <c r="H29" s="10"/>
      <c r="K29" s="112">
        <f t="shared" si="3"/>
        <v>15.055999999999999</v>
      </c>
      <c r="L29" s="23">
        <f t="shared" si="4"/>
        <v>-3.3E-4</v>
      </c>
      <c r="M29" s="23">
        <f t="shared" si="4"/>
        <v>1.3619999999999998E-2</v>
      </c>
      <c r="N29" s="111">
        <f t="shared" si="5"/>
        <v>5.1052078042709876</v>
      </c>
      <c r="O29" s="111">
        <f t="shared" si="5"/>
        <v>5.3167779181198407</v>
      </c>
    </row>
    <row r="30" spans="1:17" ht="15" customHeight="1" x14ac:dyDescent="0.2">
      <c r="A30" s="114">
        <v>15.827</v>
      </c>
      <c r="B30" s="26">
        <v>-6.2</v>
      </c>
      <c r="C30" s="26">
        <v>209.4</v>
      </c>
      <c r="D30" s="24">
        <f t="shared" si="0"/>
        <v>5.3666394738441108</v>
      </c>
      <c r="E30" s="25">
        <f t="shared" si="1"/>
        <v>5.3666394738441108</v>
      </c>
      <c r="F30" s="24">
        <f t="shared" si="2"/>
        <v>5.5890438436558671</v>
      </c>
      <c r="H30" s="10"/>
      <c r="K30" s="112">
        <f t="shared" si="3"/>
        <v>15.827</v>
      </c>
      <c r="L30" s="23">
        <f t="shared" si="4"/>
        <v>-6.2E-4</v>
      </c>
      <c r="M30" s="23">
        <f t="shared" si="4"/>
        <v>2.094E-2</v>
      </c>
      <c r="N30" s="111">
        <f t="shared" si="5"/>
        <v>5.3666394738441108</v>
      </c>
      <c r="O30" s="111">
        <f t="shared" si="5"/>
        <v>5.5890438436558671</v>
      </c>
    </row>
    <row r="31" spans="1:17" ht="15" customHeight="1" x14ac:dyDescent="0.2">
      <c r="A31" s="114">
        <v>17.044</v>
      </c>
      <c r="B31" s="26">
        <v>-12.4</v>
      </c>
      <c r="C31" s="26">
        <v>325.2</v>
      </c>
      <c r="D31" s="24">
        <f t="shared" si="0"/>
        <v>5.7793013958551223</v>
      </c>
      <c r="E31" s="25">
        <f t="shared" si="1"/>
        <v>5.7793013958551223</v>
      </c>
      <c r="F31" s="24">
        <f t="shared" si="2"/>
        <v>6.0188073084773235</v>
      </c>
      <c r="H31" s="10"/>
      <c r="K31" s="112">
        <f t="shared" si="3"/>
        <v>17.044</v>
      </c>
      <c r="L31" s="23">
        <f t="shared" si="4"/>
        <v>-1.24E-3</v>
      </c>
      <c r="M31" s="23">
        <f t="shared" si="4"/>
        <v>3.252E-2</v>
      </c>
      <c r="N31" s="111">
        <f t="shared" si="5"/>
        <v>5.7793013958551223</v>
      </c>
      <c r="O31" s="111">
        <f t="shared" si="5"/>
        <v>6.0188073084773235</v>
      </c>
    </row>
    <row r="32" spans="1:17" ht="15" customHeight="1" x14ac:dyDescent="0.2">
      <c r="A32" s="114">
        <v>17.896999999999998</v>
      </c>
      <c r="B32" s="26">
        <v>-18.100000000000001</v>
      </c>
      <c r="C32" s="26">
        <v>421.5</v>
      </c>
      <c r="D32" s="24">
        <f t="shared" si="0"/>
        <v>6.0685377306746728</v>
      </c>
      <c r="E32" s="25">
        <f t="shared" si="1"/>
        <v>6.0685377306746728</v>
      </c>
      <c r="F32" s="24">
        <f t="shared" si="2"/>
        <v>6.3200301806981143</v>
      </c>
      <c r="H32" s="10"/>
      <c r="K32" s="112">
        <f t="shared" si="3"/>
        <v>17.896999999999998</v>
      </c>
      <c r="L32" s="23">
        <f t="shared" si="4"/>
        <v>-1.8100000000000002E-3</v>
      </c>
      <c r="M32" s="23">
        <f t="shared" si="4"/>
        <v>4.215E-2</v>
      </c>
      <c r="N32" s="111">
        <f t="shared" si="5"/>
        <v>6.0685377306746728</v>
      </c>
      <c r="O32" s="111">
        <f t="shared" si="5"/>
        <v>6.3200301806981143</v>
      </c>
    </row>
    <row r="33" spans="1:15" ht="15" customHeight="1" x14ac:dyDescent="0.2">
      <c r="A33" s="114">
        <v>19.236000000000001</v>
      </c>
      <c r="B33" s="26">
        <v>-29.7</v>
      </c>
      <c r="C33" s="26">
        <v>596.70000000000005</v>
      </c>
      <c r="D33" s="24">
        <f t="shared" si="0"/>
        <v>6.5225675692718337</v>
      </c>
      <c r="E33" s="25">
        <f t="shared" si="1"/>
        <v>6.5225675692718337</v>
      </c>
      <c r="F33" s="24">
        <f t="shared" si="2"/>
        <v>6.7928759320505625</v>
      </c>
      <c r="H33" s="10"/>
      <c r="K33" s="112">
        <f t="shared" si="3"/>
        <v>19.236000000000001</v>
      </c>
      <c r="L33" s="23">
        <f t="shared" si="4"/>
        <v>-2.97E-3</v>
      </c>
      <c r="M33" s="23">
        <f t="shared" si="4"/>
        <v>5.9670000000000001E-2</v>
      </c>
      <c r="N33" s="111">
        <f t="shared" si="5"/>
        <v>6.5225675692718337</v>
      </c>
      <c r="O33" s="111">
        <f t="shared" si="5"/>
        <v>6.7928759320505625</v>
      </c>
    </row>
    <row r="34" spans="1:15" ht="15" customHeight="1" x14ac:dyDescent="0.2">
      <c r="A34" s="114">
        <v>20.94</v>
      </c>
      <c r="B34" s="26">
        <v>-42.5</v>
      </c>
      <c r="C34" s="26">
        <v>766.3</v>
      </c>
      <c r="D34" s="24">
        <f t="shared" si="0"/>
        <v>7.1003620763439486</v>
      </c>
      <c r="E34" s="25">
        <f t="shared" si="1"/>
        <v>7.1003620763439486</v>
      </c>
      <c r="F34" s="24">
        <f t="shared" si="2"/>
        <v>7.3946154094998331</v>
      </c>
      <c r="H34" s="10"/>
      <c r="K34" s="112">
        <f t="shared" si="3"/>
        <v>20.94</v>
      </c>
      <c r="L34" s="23">
        <f t="shared" si="4"/>
        <v>-4.2500000000000003E-3</v>
      </c>
      <c r="M34" s="23">
        <f t="shared" si="4"/>
        <v>7.662999999999999E-2</v>
      </c>
      <c r="N34" s="111">
        <f t="shared" si="5"/>
        <v>7.1003620763439486</v>
      </c>
      <c r="O34" s="111">
        <f t="shared" si="5"/>
        <v>7.3946154094998331</v>
      </c>
    </row>
    <row r="35" spans="1:15" ht="15" customHeight="1" x14ac:dyDescent="0.2">
      <c r="A35" s="114">
        <v>22.077000000000002</v>
      </c>
      <c r="B35" s="26">
        <v>-53.6</v>
      </c>
      <c r="C35" s="26">
        <v>892.6</v>
      </c>
      <c r="D35" s="24">
        <f t="shared" si="0"/>
        <v>7.485897495675518</v>
      </c>
      <c r="E35" s="25">
        <f t="shared" si="1"/>
        <v>7.485897495675518</v>
      </c>
      <c r="F35" s="24">
        <f t="shared" si="2"/>
        <v>7.7961281946288352</v>
      </c>
      <c r="H35" s="10"/>
      <c r="K35" s="112">
        <f t="shared" si="3"/>
        <v>22.077000000000002</v>
      </c>
      <c r="L35" s="23">
        <f t="shared" si="4"/>
        <v>-5.3600000000000002E-3</v>
      </c>
      <c r="M35" s="23">
        <f t="shared" si="4"/>
        <v>8.9260000000000006E-2</v>
      </c>
      <c r="N35" s="111">
        <f t="shared" si="5"/>
        <v>7.485897495675518</v>
      </c>
      <c r="O35" s="111">
        <f t="shared" si="5"/>
        <v>7.7961281946288352</v>
      </c>
    </row>
    <row r="36" spans="1:15" ht="15" customHeight="1" x14ac:dyDescent="0.2">
      <c r="A36" s="114">
        <v>23.658999999999999</v>
      </c>
      <c r="B36" s="26">
        <v>-72.900000000000006</v>
      </c>
      <c r="C36" s="26">
        <v>1101</v>
      </c>
      <c r="D36" s="24">
        <f t="shared" si="0"/>
        <v>8.0223240861614844</v>
      </c>
      <c r="E36" s="25">
        <f t="shared" si="1"/>
        <v>8.0223240861614844</v>
      </c>
      <c r="F36" s="24">
        <f t="shared" si="2"/>
        <v>8.3547853855471139</v>
      </c>
      <c r="H36" s="10"/>
      <c r="K36" s="112">
        <f t="shared" si="3"/>
        <v>23.658999999999999</v>
      </c>
      <c r="L36" s="23">
        <f t="shared" si="4"/>
        <v>-7.2900000000000013E-3</v>
      </c>
      <c r="M36" s="23">
        <f t="shared" si="4"/>
        <v>0.1101</v>
      </c>
      <c r="N36" s="111">
        <f t="shared" si="5"/>
        <v>8.0223240861614844</v>
      </c>
      <c r="O36" s="111">
        <f t="shared" si="5"/>
        <v>8.3547853855471139</v>
      </c>
    </row>
    <row r="37" spans="1:15" ht="15" customHeight="1" x14ac:dyDescent="0.2">
      <c r="A37" s="114">
        <v>24.835999999999999</v>
      </c>
      <c r="B37" s="26">
        <v>-86.4</v>
      </c>
      <c r="C37" s="26">
        <v>1233</v>
      </c>
      <c r="D37" s="24">
        <f t="shared" si="0"/>
        <v>8.421422756832774</v>
      </c>
      <c r="E37" s="25">
        <f t="shared" si="1"/>
        <v>8.421422756832774</v>
      </c>
      <c r="F37" s="24">
        <f t="shared" si="2"/>
        <v>8.7704235105223418</v>
      </c>
      <c r="H37" s="10"/>
      <c r="K37" s="112">
        <f t="shared" si="3"/>
        <v>24.835999999999999</v>
      </c>
      <c r="L37" s="23">
        <f t="shared" si="4"/>
        <v>-8.6400000000000001E-3</v>
      </c>
      <c r="M37" s="23">
        <f t="shared" si="4"/>
        <v>0.12329999999999999</v>
      </c>
      <c r="N37" s="111">
        <f t="shared" si="5"/>
        <v>8.421422756832774</v>
      </c>
      <c r="O37" s="111">
        <f t="shared" si="5"/>
        <v>8.7704235105223418</v>
      </c>
    </row>
    <row r="38" spans="1:15" ht="15" customHeight="1" x14ac:dyDescent="0.2">
      <c r="A38" s="114">
        <v>26.661999999999999</v>
      </c>
      <c r="B38" s="26">
        <v>-106.8</v>
      </c>
      <c r="C38" s="26">
        <v>1416.7</v>
      </c>
      <c r="D38" s="24">
        <f t="shared" si="0"/>
        <v>9.0405851804910391</v>
      </c>
      <c r="E38" s="25">
        <f t="shared" si="1"/>
        <v>9.0405851804910391</v>
      </c>
      <c r="F38" s="24">
        <f t="shared" si="2"/>
        <v>9.4152452745026043</v>
      </c>
      <c r="H38" s="10"/>
      <c r="K38" s="112">
        <f t="shared" si="3"/>
        <v>26.661999999999999</v>
      </c>
      <c r="L38" s="23">
        <f t="shared" si="4"/>
        <v>-1.0679999999999999E-2</v>
      </c>
      <c r="M38" s="23">
        <f t="shared" si="4"/>
        <v>0.14167000000000002</v>
      </c>
      <c r="N38" s="111">
        <f t="shared" si="5"/>
        <v>9.0405851804910391</v>
      </c>
      <c r="O38" s="111">
        <f t="shared" si="5"/>
        <v>9.4152452745026043</v>
      </c>
    </row>
    <row r="39" spans="1:15" ht="15" customHeight="1" x14ac:dyDescent="0.2">
      <c r="A39" s="114">
        <v>28.326000000000001</v>
      </c>
      <c r="B39" s="26">
        <v>-132.19999999999999</v>
      </c>
      <c r="C39" s="26">
        <v>1622.3</v>
      </c>
      <c r="D39" s="24">
        <f t="shared" si="0"/>
        <v>9.6048164362234321</v>
      </c>
      <c r="E39" s="25">
        <f t="shared" si="1"/>
        <v>9.6048164362234321</v>
      </c>
      <c r="F39" s="24">
        <f t="shared" si="2"/>
        <v>10.002859412105646</v>
      </c>
      <c r="H39" s="10"/>
      <c r="K39" s="112">
        <f t="shared" si="3"/>
        <v>28.326000000000001</v>
      </c>
      <c r="L39" s="23">
        <f t="shared" si="4"/>
        <v>-1.3219999999999999E-2</v>
      </c>
      <c r="M39" s="23">
        <f t="shared" si="4"/>
        <v>0.16222999999999999</v>
      </c>
      <c r="N39" s="111">
        <f t="shared" si="5"/>
        <v>9.6048164362234321</v>
      </c>
      <c r="O39" s="111">
        <f t="shared" si="5"/>
        <v>10.002859412105646</v>
      </c>
    </row>
    <row r="40" spans="1:15" ht="15" customHeight="1" x14ac:dyDescent="0.2">
      <c r="A40" s="114">
        <v>29.5</v>
      </c>
      <c r="B40" s="26">
        <v>-148.5</v>
      </c>
      <c r="C40" s="26">
        <v>1746.4</v>
      </c>
      <c r="D40" s="24">
        <f t="shared" si="0"/>
        <v>10.002897863044245</v>
      </c>
      <c r="E40" s="25">
        <f t="shared" si="1"/>
        <v>10.002897863044245</v>
      </c>
      <c r="F40" s="24">
        <f t="shared" si="2"/>
        <v>10.417438136592411</v>
      </c>
      <c r="H40" s="10"/>
      <c r="K40" s="112">
        <f t="shared" si="3"/>
        <v>29.5</v>
      </c>
      <c r="L40" s="23">
        <f t="shared" si="4"/>
        <v>-1.485E-2</v>
      </c>
      <c r="M40" s="23">
        <f t="shared" si="4"/>
        <v>0.17464000000000002</v>
      </c>
      <c r="N40" s="111">
        <f t="shared" si="5"/>
        <v>10.002897863044245</v>
      </c>
      <c r="O40" s="111">
        <f t="shared" si="5"/>
        <v>10.417438136592411</v>
      </c>
    </row>
    <row r="41" spans="1:15" ht="15" customHeight="1" x14ac:dyDescent="0.2">
      <c r="A41" s="114">
        <v>31.434000000000001</v>
      </c>
      <c r="B41" s="26">
        <v>-172.8</v>
      </c>
      <c r="C41" s="26">
        <v>1915.9</v>
      </c>
      <c r="D41" s="24">
        <f t="shared" si="0"/>
        <v>10.658681065319755</v>
      </c>
      <c r="E41" s="25">
        <f t="shared" si="1"/>
        <v>10.658681065319755</v>
      </c>
      <c r="F41" s="24">
        <f t="shared" si="2"/>
        <v>11.100398318157485</v>
      </c>
      <c r="H41" s="10"/>
      <c r="K41" s="112">
        <f t="shared" si="3"/>
        <v>31.434000000000001</v>
      </c>
      <c r="L41" s="23">
        <f t="shared" si="4"/>
        <v>-1.728E-2</v>
      </c>
      <c r="M41" s="23">
        <f t="shared" si="4"/>
        <v>0.19159000000000001</v>
      </c>
      <c r="N41" s="111">
        <f t="shared" si="5"/>
        <v>10.658681065319755</v>
      </c>
      <c r="O41" s="111">
        <f t="shared" si="5"/>
        <v>11.100398318157485</v>
      </c>
    </row>
    <row r="42" spans="1:15" ht="15" customHeight="1" x14ac:dyDescent="0.2">
      <c r="A42" s="114">
        <v>32.603000000000002</v>
      </c>
      <c r="B42" s="26">
        <v>-190.5</v>
      </c>
      <c r="C42" s="26">
        <v>2036.4</v>
      </c>
      <c r="D42" s="24">
        <f t="shared" si="0"/>
        <v>11.055067085723103</v>
      </c>
      <c r="E42" s="25">
        <f t="shared" si="1"/>
        <v>11.055067085723103</v>
      </c>
      <c r="F42" s="24">
        <f t="shared" si="2"/>
        <v>11.51321137516347</v>
      </c>
      <c r="H42" s="10"/>
      <c r="K42" s="112">
        <f t="shared" si="3"/>
        <v>32.603000000000002</v>
      </c>
      <c r="L42" s="23">
        <f t="shared" si="4"/>
        <v>-1.9050000000000001E-2</v>
      </c>
      <c r="M42" s="23">
        <f t="shared" si="4"/>
        <v>0.20364000000000002</v>
      </c>
      <c r="N42" s="111">
        <f t="shared" si="5"/>
        <v>11.055067085723103</v>
      </c>
      <c r="O42" s="111">
        <f t="shared" si="5"/>
        <v>11.51321137516347</v>
      </c>
    </row>
    <row r="43" spans="1:15" ht="15" customHeight="1" x14ac:dyDescent="0.2">
      <c r="A43" s="114">
        <v>34.012999999999998</v>
      </c>
      <c r="B43" s="26">
        <v>-218.1</v>
      </c>
      <c r="C43" s="26">
        <v>2212.4</v>
      </c>
      <c r="D43" s="24">
        <f t="shared" si="0"/>
        <v>11.533171695448267</v>
      </c>
      <c r="E43" s="25">
        <f t="shared" si="1"/>
        <v>11.533171695448267</v>
      </c>
      <c r="F43" s="24">
        <f t="shared" si="2"/>
        <v>12.011129604742971</v>
      </c>
      <c r="H43" s="10"/>
      <c r="K43" s="112">
        <f t="shared" si="3"/>
        <v>34.012999999999998</v>
      </c>
      <c r="L43" s="23">
        <f t="shared" si="4"/>
        <v>-2.181E-2</v>
      </c>
      <c r="M43" s="23">
        <f t="shared" si="4"/>
        <v>0.22124000000000002</v>
      </c>
      <c r="N43" s="111">
        <f t="shared" si="5"/>
        <v>11.533171695448267</v>
      </c>
      <c r="O43" s="111">
        <f t="shared" si="5"/>
        <v>12.011129604742971</v>
      </c>
    </row>
    <row r="44" spans="1:15" ht="15" customHeight="1" x14ac:dyDescent="0.2">
      <c r="A44" s="114">
        <v>35.222000000000001</v>
      </c>
      <c r="B44" s="26">
        <v>-243.3</v>
      </c>
      <c r="C44" s="26">
        <v>2560.8000000000002</v>
      </c>
      <c r="D44" s="24">
        <f t="shared" si="0"/>
        <v>11.943120967191335</v>
      </c>
      <c r="E44" s="25">
        <f t="shared" si="1"/>
        <v>11.943120967191335</v>
      </c>
      <c r="F44" s="24">
        <f t="shared" si="2"/>
        <v>12.438068001595182</v>
      </c>
      <c r="H44" s="10"/>
      <c r="K44" s="112">
        <f t="shared" si="3"/>
        <v>35.222000000000001</v>
      </c>
      <c r="L44" s="23">
        <f t="shared" si="4"/>
        <v>-2.4330000000000001E-2</v>
      </c>
      <c r="M44" s="23">
        <f t="shared" si="4"/>
        <v>0.25608000000000003</v>
      </c>
      <c r="N44" s="111">
        <f t="shared" si="5"/>
        <v>11.943120967191335</v>
      </c>
      <c r="O44" s="111">
        <f t="shared" si="5"/>
        <v>12.438068001595182</v>
      </c>
    </row>
    <row r="45" spans="1:15" ht="15" customHeight="1" x14ac:dyDescent="0.2">
      <c r="A45" s="114">
        <v>36.067999999999998</v>
      </c>
      <c r="B45" s="26">
        <v>-251.1</v>
      </c>
      <c r="C45" s="26">
        <v>2630.9</v>
      </c>
      <c r="D45" s="24">
        <f t="shared" si="0"/>
        <v>12.229983733026435</v>
      </c>
      <c r="E45" s="25">
        <f t="shared" si="1"/>
        <v>12.229983733026435</v>
      </c>
      <c r="F45" s="24">
        <f t="shared" si="2"/>
        <v>12.736818939342884</v>
      </c>
      <c r="H45" s="10"/>
      <c r="K45" s="112">
        <f t="shared" si="3"/>
        <v>36.067999999999998</v>
      </c>
      <c r="L45" s="23">
        <f t="shared" si="4"/>
        <v>-2.5109999999999997E-2</v>
      </c>
      <c r="M45" s="23">
        <f t="shared" si="4"/>
        <v>0.26309000000000005</v>
      </c>
      <c r="N45" s="111">
        <f t="shared" si="5"/>
        <v>12.229983733026435</v>
      </c>
      <c r="O45" s="111">
        <f t="shared" si="5"/>
        <v>12.736818939342884</v>
      </c>
    </row>
    <row r="46" spans="1:15" ht="15" customHeight="1" x14ac:dyDescent="0.2">
      <c r="A46" s="114">
        <v>37.237000000000002</v>
      </c>
      <c r="B46" s="26">
        <v>-261.10000000000002</v>
      </c>
      <c r="C46" s="26">
        <v>2713.6</v>
      </c>
      <c r="D46" s="24">
        <f t="shared" si="0"/>
        <v>12.626369753429781</v>
      </c>
      <c r="E46" s="25">
        <f t="shared" si="1"/>
        <v>12.626369753429781</v>
      </c>
      <c r="F46" s="24">
        <f t="shared" si="2"/>
        <v>13.149631996348868</v>
      </c>
      <c r="H46" s="10"/>
      <c r="K46" s="112">
        <f t="shared" si="3"/>
        <v>37.237000000000002</v>
      </c>
      <c r="L46" s="23">
        <f t="shared" si="4"/>
        <v>-2.6110000000000001E-2</v>
      </c>
      <c r="M46" s="23">
        <f t="shared" si="4"/>
        <v>0.27135999999999999</v>
      </c>
      <c r="N46" s="111">
        <f t="shared" si="5"/>
        <v>12.626369753429781</v>
      </c>
      <c r="O46" s="111">
        <f t="shared" si="5"/>
        <v>13.149631996348868</v>
      </c>
    </row>
    <row r="47" spans="1:15" ht="15" customHeight="1" x14ac:dyDescent="0.2">
      <c r="A47" s="114">
        <v>38.848999999999997</v>
      </c>
      <c r="B47" s="26">
        <v>-282.10000000000002</v>
      </c>
      <c r="C47" s="26">
        <v>2864.1</v>
      </c>
      <c r="D47" s="24">
        <f t="shared" si="0"/>
        <v>13.172968782420538</v>
      </c>
      <c r="E47" s="25">
        <f t="shared" si="1"/>
        <v>13.172968782420538</v>
      </c>
      <c r="F47" s="24">
        <f t="shared" si="2"/>
        <v>13.718883192151816</v>
      </c>
      <c r="H47" s="10"/>
      <c r="K47" s="112">
        <f t="shared" si="3"/>
        <v>38.848999999999997</v>
      </c>
      <c r="L47" s="23">
        <f t="shared" si="4"/>
        <v>-2.8210000000000002E-2</v>
      </c>
      <c r="M47" s="23">
        <f t="shared" si="4"/>
        <v>0.28641</v>
      </c>
      <c r="N47" s="111">
        <f t="shared" si="5"/>
        <v>13.172968782420538</v>
      </c>
      <c r="O47" s="111">
        <f t="shared" si="5"/>
        <v>13.718883192151816</v>
      </c>
    </row>
    <row r="48" spans="1:15" ht="15" customHeight="1" x14ac:dyDescent="0.2">
      <c r="A48" s="114">
        <v>40.741999999999997</v>
      </c>
      <c r="B48" s="26">
        <v>-311.39999999999998</v>
      </c>
      <c r="C48" s="26">
        <v>3041.7</v>
      </c>
      <c r="D48" s="24">
        <f t="shared" si="0"/>
        <v>13.814849652072834</v>
      </c>
      <c r="E48" s="25">
        <f t="shared" si="1"/>
        <v>13.814849652072834</v>
      </c>
      <c r="F48" s="24">
        <f t="shared" si="2"/>
        <v>14.387364900374507</v>
      </c>
      <c r="H48" s="10"/>
      <c r="K48" s="112">
        <f t="shared" si="3"/>
        <v>40.741999999999997</v>
      </c>
      <c r="L48" s="23">
        <f t="shared" si="4"/>
        <v>-3.1139999999999998E-2</v>
      </c>
      <c r="M48" s="23">
        <f t="shared" si="4"/>
        <v>0.30416999999999994</v>
      </c>
      <c r="N48" s="111">
        <f t="shared" si="5"/>
        <v>13.814849652072834</v>
      </c>
      <c r="O48" s="111">
        <f t="shared" si="5"/>
        <v>14.387364900374507</v>
      </c>
    </row>
    <row r="49" spans="1:28" ht="15" customHeight="1" x14ac:dyDescent="0.2">
      <c r="A49" s="114">
        <v>41.387</v>
      </c>
      <c r="B49" s="26">
        <v>-319.7</v>
      </c>
      <c r="C49" s="26">
        <v>3091.2</v>
      </c>
      <c r="D49" s="24">
        <f t="shared" si="0"/>
        <v>14.033557079925835</v>
      </c>
      <c r="E49" s="25">
        <f t="shared" si="1"/>
        <v>14.033557079925835</v>
      </c>
      <c r="F49" s="24">
        <f t="shared" si="2"/>
        <v>14.615136005394916</v>
      </c>
      <c r="H49" s="10"/>
      <c r="K49" s="112">
        <f t="shared" si="3"/>
        <v>41.387</v>
      </c>
      <c r="L49" s="23">
        <f t="shared" si="4"/>
        <v>-3.1969999999999998E-2</v>
      </c>
      <c r="M49" s="23">
        <f t="shared" si="4"/>
        <v>0.30911999999999995</v>
      </c>
      <c r="N49" s="111">
        <f t="shared" si="5"/>
        <v>14.033557079925835</v>
      </c>
      <c r="O49" s="111">
        <f t="shared" si="5"/>
        <v>14.615136005394916</v>
      </c>
    </row>
    <row r="50" spans="1:28" ht="15" customHeight="1" x14ac:dyDescent="0.2">
      <c r="A50" s="114">
        <v>42.031999999999996</v>
      </c>
      <c r="B50" s="26">
        <v>-328</v>
      </c>
      <c r="C50" s="26">
        <v>3134.9</v>
      </c>
      <c r="D50" s="24">
        <f t="shared" si="0"/>
        <v>14.252264507778836</v>
      </c>
      <c r="E50" s="25">
        <f t="shared" si="1"/>
        <v>14.252264507778836</v>
      </c>
      <c r="F50" s="24">
        <f t="shared" si="2"/>
        <v>14.842907110415327</v>
      </c>
      <c r="H50" s="10"/>
      <c r="K50" s="112">
        <f t="shared" si="3"/>
        <v>42.031999999999996</v>
      </c>
      <c r="L50" s="23">
        <f t="shared" si="4"/>
        <v>-3.2800000000000003E-2</v>
      </c>
      <c r="M50" s="23">
        <f t="shared" si="4"/>
        <v>0.31348999999999999</v>
      </c>
      <c r="N50" s="111">
        <f t="shared" si="5"/>
        <v>14.252264507778836</v>
      </c>
      <c r="O50" s="111">
        <f t="shared" si="5"/>
        <v>14.842907110415327</v>
      </c>
    </row>
    <row r="51" spans="1:28" ht="15" customHeight="1" x14ac:dyDescent="0.2">
      <c r="A51" s="114">
        <v>44.893000000000001</v>
      </c>
      <c r="B51" s="26">
        <v>-375.4</v>
      </c>
      <c r="C51" s="26">
        <v>3337.1</v>
      </c>
      <c r="D51" s="24">
        <f t="shared" si="0"/>
        <v>15.222376059852381</v>
      </c>
      <c r="E51" s="25">
        <f t="shared" si="1"/>
        <v>15.222376059852381</v>
      </c>
      <c r="F51" s="24">
        <f t="shared" si="2"/>
        <v>15.853222042916713</v>
      </c>
      <c r="H51" s="10"/>
      <c r="K51" s="112">
        <f t="shared" si="3"/>
        <v>44.893000000000001</v>
      </c>
      <c r="L51" s="23">
        <f t="shared" si="4"/>
        <v>-3.7539999999999997E-2</v>
      </c>
      <c r="M51" s="23">
        <f t="shared" si="4"/>
        <v>0.33371000000000001</v>
      </c>
      <c r="N51" s="111">
        <f t="shared" si="5"/>
        <v>15.222376059852381</v>
      </c>
      <c r="O51" s="111">
        <f t="shared" si="5"/>
        <v>15.853222042916713</v>
      </c>
    </row>
    <row r="52" spans="1:28" ht="15" customHeight="1" x14ac:dyDescent="0.2">
      <c r="A52" s="114">
        <v>45.658999999999999</v>
      </c>
      <c r="B52" s="26">
        <v>-388</v>
      </c>
      <c r="C52" s="26">
        <v>3376.4</v>
      </c>
      <c r="D52" s="24">
        <f t="shared" si="0"/>
        <v>15.482112323008039</v>
      </c>
      <c r="E52" s="25">
        <f t="shared" si="1"/>
        <v>15.482112323008039</v>
      </c>
      <c r="F52" s="24">
        <f t="shared" si="2"/>
        <v>16.123722300971959</v>
      </c>
      <c r="H52" s="10"/>
      <c r="K52" s="112">
        <f t="shared" si="3"/>
        <v>45.658999999999999</v>
      </c>
      <c r="L52" s="23">
        <f t="shared" si="4"/>
        <v>-3.8800000000000001E-2</v>
      </c>
      <c r="M52" s="23">
        <f t="shared" si="4"/>
        <v>0.33764</v>
      </c>
      <c r="N52" s="111">
        <f t="shared" si="5"/>
        <v>15.482112323008039</v>
      </c>
      <c r="O52" s="111">
        <f t="shared" si="5"/>
        <v>16.123722300971959</v>
      </c>
    </row>
    <row r="53" spans="1:28" ht="15" customHeight="1" x14ac:dyDescent="0.2">
      <c r="A53" s="114">
        <v>48.56</v>
      </c>
      <c r="B53" s="26">
        <v>-586.9</v>
      </c>
      <c r="C53" s="26">
        <v>3644.8</v>
      </c>
      <c r="D53" s="24">
        <f t="shared" si="0"/>
        <v>16.465787126421304</v>
      </c>
      <c r="E53" s="25">
        <f t="shared" si="1"/>
        <v>16.465787126421304</v>
      </c>
      <c r="F53" s="24">
        <f t="shared" si="2"/>
        <v>17.148162573319574</v>
      </c>
      <c r="H53" s="10"/>
      <c r="K53" s="112">
        <f t="shared" si="3"/>
        <v>48.56</v>
      </c>
      <c r="L53" s="23">
        <f t="shared" si="4"/>
        <v>-5.8689999999999999E-2</v>
      </c>
      <c r="M53" s="23">
        <f t="shared" si="4"/>
        <v>0.36448000000000003</v>
      </c>
      <c r="N53" s="111">
        <f t="shared" si="5"/>
        <v>16.465787126421304</v>
      </c>
      <c r="O53" s="111">
        <f t="shared" si="5"/>
        <v>17.148162573319574</v>
      </c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</row>
    <row r="54" spans="1:28" ht="15" customHeight="1" x14ac:dyDescent="0.2">
      <c r="A54" s="114">
        <v>49.284999999999997</v>
      </c>
      <c r="B54" s="26">
        <v>-627</v>
      </c>
      <c r="C54" s="26">
        <v>3687.3</v>
      </c>
      <c r="D54" s="24">
        <f t="shared" si="0"/>
        <v>16.711621056953749</v>
      </c>
      <c r="E54" s="25">
        <f t="shared" si="1"/>
        <v>16.711621056953749</v>
      </c>
      <c r="F54" s="24">
        <f t="shared" si="2"/>
        <v>17.404184358032438</v>
      </c>
      <c r="H54" s="10"/>
      <c r="K54" s="112">
        <f t="shared" si="3"/>
        <v>49.284999999999997</v>
      </c>
      <c r="L54" s="23">
        <f t="shared" si="4"/>
        <v>-6.2699999999999992E-2</v>
      </c>
      <c r="M54" s="23">
        <f t="shared" si="4"/>
        <v>0.36873</v>
      </c>
      <c r="N54" s="111">
        <f t="shared" si="5"/>
        <v>16.711621056953749</v>
      </c>
      <c r="O54" s="111">
        <f t="shared" si="5"/>
        <v>17.404184358032438</v>
      </c>
    </row>
    <row r="55" spans="1:28" ht="15" customHeight="1" x14ac:dyDescent="0.2">
      <c r="A55" s="114">
        <v>51.945</v>
      </c>
      <c r="B55" s="26">
        <v>-398.9</v>
      </c>
      <c r="C55" s="26">
        <v>3152.7</v>
      </c>
      <c r="D55" s="24">
        <f t="shared" si="0"/>
        <v>17.613577271045195</v>
      </c>
      <c r="E55" s="25">
        <f t="shared" si="1"/>
        <v>17.613577271045195</v>
      </c>
      <c r="F55" s="24">
        <f t="shared" si="2"/>
        <v>18.343519457806533</v>
      </c>
      <c r="H55" s="10"/>
      <c r="K55" s="112">
        <f t="shared" si="3"/>
        <v>51.945</v>
      </c>
      <c r="L55" s="23">
        <f t="shared" si="4"/>
        <v>-3.9890000000000002E-2</v>
      </c>
      <c r="M55" s="23">
        <f t="shared" si="4"/>
        <v>0.31526999999999999</v>
      </c>
      <c r="N55" s="111">
        <f t="shared" si="5"/>
        <v>17.613577271045195</v>
      </c>
      <c r="O55" s="111">
        <f t="shared" si="5"/>
        <v>18.343519457806533</v>
      </c>
    </row>
    <row r="56" spans="1:28" ht="15" customHeight="1" x14ac:dyDescent="0.2">
      <c r="A56" s="114">
        <v>54.685000000000002</v>
      </c>
      <c r="B56" s="26">
        <v>-339.8</v>
      </c>
      <c r="C56" s="26">
        <v>2803.3</v>
      </c>
      <c r="D56" s="24">
        <f t="shared" si="0"/>
        <v>18.542659987816084</v>
      </c>
      <c r="E56" s="25">
        <f t="shared" si="1"/>
        <v>18.542659987816084</v>
      </c>
      <c r="F56" s="24">
        <f t="shared" si="2"/>
        <v>19.311105237273082</v>
      </c>
      <c r="H56" s="10"/>
      <c r="K56" s="112">
        <f t="shared" si="3"/>
        <v>54.685000000000002</v>
      </c>
      <c r="L56" s="23">
        <f t="shared" si="4"/>
        <v>-3.3980000000000003E-2</v>
      </c>
      <c r="M56" s="23">
        <f t="shared" si="4"/>
        <v>0.28033000000000002</v>
      </c>
      <c r="N56" s="111">
        <f t="shared" si="5"/>
        <v>18.542659987816084</v>
      </c>
      <c r="O56" s="111">
        <f t="shared" si="5"/>
        <v>19.311105237273082</v>
      </c>
    </row>
    <row r="57" spans="1:28" ht="15" customHeight="1" x14ac:dyDescent="0.2">
      <c r="A57" s="114">
        <v>55.289000000000001</v>
      </c>
      <c r="B57" s="26">
        <v>-336.5</v>
      </c>
      <c r="C57" s="26">
        <v>2812.5</v>
      </c>
      <c r="D57" s="24">
        <f t="shared" si="0"/>
        <v>18.747465083045871</v>
      </c>
      <c r="E57" s="25">
        <f t="shared" si="1"/>
        <v>18.747465083045871</v>
      </c>
      <c r="F57" s="24">
        <f t="shared" si="2"/>
        <v>19.524397868951109</v>
      </c>
      <c r="H57" s="10"/>
      <c r="K57" s="112">
        <f t="shared" si="3"/>
        <v>55.289000000000001</v>
      </c>
      <c r="L57" s="23">
        <f t="shared" si="4"/>
        <v>-3.3649999999999999E-2</v>
      </c>
      <c r="M57" s="23">
        <f t="shared" si="4"/>
        <v>0.28125</v>
      </c>
      <c r="N57" s="111">
        <f t="shared" si="5"/>
        <v>18.747465083045871</v>
      </c>
      <c r="O57" s="111">
        <f t="shared" si="5"/>
        <v>19.524397868951109</v>
      </c>
    </row>
    <row r="58" spans="1:28" ht="15" customHeight="1" x14ac:dyDescent="0.2">
      <c r="A58" s="114">
        <v>55.692</v>
      </c>
      <c r="B58" s="26">
        <v>-328</v>
      </c>
      <c r="C58" s="26">
        <v>2799.7</v>
      </c>
      <c r="D58" s="24">
        <f t="shared" si="0"/>
        <v>18.884114840293563</v>
      </c>
      <c r="E58" s="25">
        <f t="shared" si="1"/>
        <v>18.884114840293563</v>
      </c>
      <c r="F58" s="24">
        <f t="shared" si="2"/>
        <v>19.66671066790185</v>
      </c>
      <c r="H58" s="10"/>
      <c r="K58" s="112">
        <f t="shared" si="3"/>
        <v>55.692</v>
      </c>
      <c r="L58" s="23">
        <f t="shared" si="4"/>
        <v>-3.2800000000000003E-2</v>
      </c>
      <c r="M58" s="23">
        <f t="shared" si="4"/>
        <v>0.27997</v>
      </c>
      <c r="N58" s="111">
        <f t="shared" si="5"/>
        <v>18.884114840293563</v>
      </c>
      <c r="O58" s="111">
        <f t="shared" si="5"/>
        <v>19.66671066790185</v>
      </c>
    </row>
    <row r="59" spans="1:28" ht="15" customHeight="1" x14ac:dyDescent="0.2">
      <c r="A59" s="19"/>
      <c r="B59" s="19"/>
      <c r="C59" s="19"/>
      <c r="D59" s="17"/>
      <c r="E59" s="18"/>
      <c r="F59" s="17"/>
      <c r="K59" s="13"/>
      <c r="L59" s="13"/>
      <c r="M59" s="13"/>
      <c r="N59" s="13"/>
      <c r="O59" s="13"/>
      <c r="P59" s="13"/>
    </row>
    <row r="60" spans="1:28" ht="15" customHeight="1" x14ac:dyDescent="0.2">
      <c r="A60" s="19"/>
      <c r="B60" s="19"/>
      <c r="C60" s="19"/>
      <c r="D60" s="17"/>
      <c r="E60" s="18"/>
      <c r="F60" s="17"/>
      <c r="K60" s="20" t="s">
        <v>48</v>
      </c>
      <c r="L60" s="13"/>
      <c r="M60" s="13"/>
      <c r="N60" s="13"/>
      <c r="O60" s="13"/>
      <c r="P60" s="13"/>
    </row>
    <row r="61" spans="1:28" ht="15" customHeight="1" x14ac:dyDescent="0.2">
      <c r="A61" s="19"/>
      <c r="B61" s="19"/>
      <c r="C61" s="19"/>
      <c r="D61" s="17"/>
      <c r="E61" s="18"/>
      <c r="F61" s="17"/>
      <c r="K61" s="21" t="s">
        <v>98</v>
      </c>
      <c r="L61" s="13"/>
      <c r="M61" s="13"/>
      <c r="N61" s="13"/>
      <c r="O61" s="13"/>
      <c r="P61" s="13"/>
    </row>
    <row r="62" spans="1:28" ht="15" customHeight="1" x14ac:dyDescent="0.2">
      <c r="A62" s="19"/>
      <c r="B62" s="19"/>
      <c r="C62" s="19"/>
      <c r="D62" s="17"/>
      <c r="E62" s="18"/>
      <c r="F62" s="17"/>
      <c r="J62" s="13"/>
      <c r="K62" s="21" t="s">
        <v>47</v>
      </c>
      <c r="L62" s="13"/>
      <c r="M62" s="13"/>
      <c r="N62" s="13"/>
      <c r="O62" s="13"/>
      <c r="P62" s="13"/>
    </row>
    <row r="63" spans="1:28" ht="15" customHeight="1" x14ac:dyDescent="0.2">
      <c r="A63" s="19"/>
      <c r="B63" s="19"/>
      <c r="C63" s="19"/>
      <c r="D63" s="17"/>
      <c r="E63" s="18"/>
      <c r="F63" s="17"/>
      <c r="J63" s="13"/>
      <c r="K63" s="16" t="s">
        <v>39</v>
      </c>
      <c r="L63" s="13"/>
      <c r="M63" s="13"/>
      <c r="N63" s="13"/>
      <c r="O63" s="13"/>
      <c r="P63" s="13"/>
    </row>
    <row r="64" spans="1:28" ht="15" customHeight="1" x14ac:dyDescent="0.2">
      <c r="A64" s="19"/>
      <c r="B64" s="19"/>
      <c r="C64" s="19"/>
      <c r="D64" s="17"/>
      <c r="E64" s="18"/>
      <c r="F64" s="17"/>
      <c r="J64" s="13"/>
      <c r="L64" s="13"/>
      <c r="M64" s="13"/>
      <c r="N64" s="13"/>
      <c r="O64" s="13"/>
      <c r="P64" s="13"/>
    </row>
    <row r="65" spans="1:16" ht="15" customHeight="1" x14ac:dyDescent="0.2">
      <c r="A65" s="19"/>
      <c r="B65" s="19"/>
      <c r="C65" s="19"/>
      <c r="D65" s="17"/>
      <c r="E65" s="18"/>
      <c r="F65" s="17"/>
      <c r="J65" s="13"/>
      <c r="K65" s="20" t="s">
        <v>46</v>
      </c>
      <c r="L65" s="13"/>
      <c r="M65" s="13"/>
      <c r="N65" s="13"/>
      <c r="O65" s="13"/>
      <c r="P65" s="13"/>
    </row>
    <row r="66" spans="1:16" ht="15" customHeight="1" x14ac:dyDescent="0.2">
      <c r="A66" s="19"/>
      <c r="B66" s="19"/>
      <c r="C66" s="19"/>
      <c r="D66" s="17"/>
      <c r="E66" s="18"/>
      <c r="F66" s="17"/>
      <c r="J66" s="13"/>
      <c r="K66" s="16" t="str">
        <f>+CONCATENATE("a. Velocidad de ensayo: ",C22, D22)</f>
        <v>a. Velocidad de ensayo: 0,5  MPa/s</v>
      </c>
      <c r="M66" s="14"/>
      <c r="N66" s="14"/>
      <c r="O66" s="15"/>
      <c r="P66" s="13"/>
    </row>
    <row r="67" spans="1:16" ht="15" customHeight="1" x14ac:dyDescent="0.25">
      <c r="A67" s="19"/>
      <c r="B67" s="19"/>
      <c r="C67" s="19"/>
      <c r="D67" s="17"/>
      <c r="E67" s="18"/>
      <c r="F67" s="17"/>
      <c r="J67" s="13"/>
      <c r="K67" s="16" t="s">
        <v>115</v>
      </c>
      <c r="M67" s="14"/>
      <c r="N67" s="14"/>
      <c r="O67" s="15"/>
      <c r="P67" s="13"/>
    </row>
    <row r="68" spans="1:16" ht="15" customHeight="1" x14ac:dyDescent="0.2">
      <c r="J68" s="13"/>
      <c r="M68" s="14"/>
      <c r="N68" s="14"/>
      <c r="P68" s="13"/>
    </row>
    <row r="69" spans="1:16" ht="15" customHeight="1" x14ac:dyDescent="0.2">
      <c r="J69" s="13"/>
      <c r="M69" s="14"/>
      <c r="N69" s="14"/>
    </row>
    <row r="70" spans="1:16" ht="15" customHeight="1" x14ac:dyDescent="0.2">
      <c r="J70" s="13"/>
      <c r="M70" s="14"/>
      <c r="N70" s="14"/>
    </row>
    <row r="71" spans="1:16" ht="15" customHeight="1" x14ac:dyDescent="0.2">
      <c r="J71" s="13"/>
    </row>
    <row r="72" spans="1:16" ht="15" customHeight="1" x14ac:dyDescent="0.2">
      <c r="J72" s="13"/>
    </row>
    <row r="73" spans="1:16" ht="15" customHeight="1" x14ac:dyDescent="0.2">
      <c r="J73" s="13"/>
    </row>
    <row r="74" spans="1:16" ht="15" customHeight="1" x14ac:dyDescent="0.2">
      <c r="J74" s="13"/>
    </row>
    <row r="75" spans="1:16" ht="15" customHeight="1" x14ac:dyDescent="0.2">
      <c r="J75" s="13"/>
    </row>
    <row r="76" spans="1:16" ht="15" customHeight="1" x14ac:dyDescent="0.2">
      <c r="J76" s="13"/>
    </row>
    <row r="77" spans="1:16" ht="15" customHeight="1" x14ac:dyDescent="0.2"/>
    <row r="78" spans="1:16" ht="15" customHeight="1" x14ac:dyDescent="0.2"/>
    <row r="79" spans="1:16" ht="15" customHeight="1" x14ac:dyDescent="0.2"/>
    <row r="80" spans="1:16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" customHeight="1" x14ac:dyDescent="0.2"/>
    <row r="610" ht="1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" customHeight="1" x14ac:dyDescent="0.2"/>
    <row r="664" ht="1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" customHeight="1" x14ac:dyDescent="0.2"/>
    <row r="718" ht="1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" customHeight="1" x14ac:dyDescent="0.2"/>
    <row r="772" ht="1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" customHeight="1" x14ac:dyDescent="0.2"/>
    <row r="826" ht="1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</sheetData>
  <sheetProtection formatCells="0" formatColumns="0" formatRows="0"/>
  <mergeCells count="10">
    <mergeCell ref="Q53:AB53"/>
    <mergeCell ref="Q1:AB1"/>
    <mergeCell ref="L6:O6"/>
    <mergeCell ref="L7:O7"/>
    <mergeCell ref="AD8:AE8"/>
    <mergeCell ref="AD9:AE9"/>
    <mergeCell ref="AD11:AE13"/>
    <mergeCell ref="L23:M23"/>
    <mergeCell ref="L24:L25"/>
    <mergeCell ref="M24:M25"/>
  </mergeCells>
  <conditionalFormatting sqref="C2">
    <cfRule type="cellIs" dxfId="18" priority="6" operator="greaterThan">
      <formula>0</formula>
    </cfRule>
  </conditionalFormatting>
  <conditionalFormatting sqref="C3:C7">
    <cfRule type="cellIs" dxfId="17" priority="5" operator="greaterThan">
      <formula>0</formula>
    </cfRule>
  </conditionalFormatting>
  <conditionalFormatting sqref="C9:C20">
    <cfRule type="cellIs" dxfId="16" priority="4" operator="greaterThan">
      <formula>0</formula>
    </cfRule>
  </conditionalFormatting>
  <conditionalFormatting sqref="C22">
    <cfRule type="cellIs" dxfId="15" priority="3" operator="greaterThan">
      <formula>0</formula>
    </cfRule>
  </conditionalFormatting>
  <conditionalFormatting sqref="G18:G20">
    <cfRule type="cellIs" dxfId="14" priority="2" operator="greaterThan">
      <formula>0</formula>
    </cfRule>
  </conditionalFormatting>
  <conditionalFormatting sqref="G7:G8">
    <cfRule type="cellIs" dxfId="13" priority="1" operator="greaterThan">
      <formula>0</formula>
    </cfRule>
  </conditionalFormatting>
  <pageMargins left="0.75" right="0.75" top="1" bottom="1" header="0" footer="0"/>
  <pageSetup paperSize="9" orientation="portrait" r:id="rId1"/>
  <headerFooter alignWithMargins="0"/>
  <ignoredErrors>
    <ignoredError sqref="L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sertarFotos">
                <anchor>
                  <from>
                    <xdr:col>29</xdr:col>
                    <xdr:colOff>590550</xdr:colOff>
                    <xdr:row>0</xdr:row>
                    <xdr:rowOff>123825</xdr:rowOff>
                  </from>
                  <to>
                    <xdr:col>30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AV870"/>
  <sheetViews>
    <sheetView topLeftCell="A4" zoomScale="90" zoomScaleNormal="90" workbookViewId="0">
      <selection activeCell="G28" sqref="G28"/>
    </sheetView>
  </sheetViews>
  <sheetFormatPr baseColWidth="10" defaultRowHeight="12" x14ac:dyDescent="0.2"/>
  <cols>
    <col min="1" max="3" width="12.5" style="10" customWidth="1"/>
    <col min="4" max="5" width="13.125" style="10" customWidth="1"/>
    <col min="6" max="6" width="23.625" style="10" customWidth="1"/>
    <col min="7" max="7" width="11" style="10"/>
    <col min="8" max="9" width="11" style="13"/>
    <col min="10" max="10" width="3.25" style="10" customWidth="1"/>
    <col min="11" max="11" width="23.125" style="10" customWidth="1"/>
    <col min="12" max="13" width="11.125" style="10" customWidth="1"/>
    <col min="14" max="14" width="27.25" style="10" customWidth="1"/>
    <col min="15" max="15" width="24" style="10" customWidth="1"/>
    <col min="16" max="16" width="2.5" style="10" customWidth="1"/>
    <col min="17" max="17" width="9.375" style="12" customWidth="1"/>
    <col min="18" max="19" width="11" style="12"/>
    <col min="20" max="20" width="17.875" style="12" customWidth="1"/>
    <col min="21" max="24" width="11" style="12"/>
    <col min="25" max="25" width="5.125" style="12" customWidth="1"/>
    <col min="26" max="26" width="1.5" style="12" customWidth="1"/>
    <col min="27" max="27" width="6.625" style="12" customWidth="1"/>
    <col min="28" max="28" width="9.375" style="12" customWidth="1"/>
    <col min="29" max="29" width="11" style="12"/>
    <col min="30" max="30" width="21.75" style="10" customWidth="1"/>
    <col min="31" max="31" width="10.375" style="10" customWidth="1"/>
    <col min="32" max="32" width="7.25" style="10" customWidth="1"/>
    <col min="33" max="33" width="11" style="11"/>
    <col min="34" max="34" width="10" style="11" customWidth="1"/>
    <col min="35" max="45" width="11" style="11"/>
    <col min="46" max="16384" width="11" style="10"/>
  </cols>
  <sheetData>
    <row r="1" spans="1:48" ht="15" customHeight="1" x14ac:dyDescent="0.2">
      <c r="K1" s="106" t="s">
        <v>97</v>
      </c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</row>
    <row r="2" spans="1:48" ht="15" customHeight="1" x14ac:dyDescent="0.2">
      <c r="A2" s="95" t="s">
        <v>87</v>
      </c>
      <c r="B2" s="44"/>
      <c r="C2" s="107"/>
      <c r="E2" s="105" t="s">
        <v>32</v>
      </c>
      <c r="F2" s="104"/>
      <c r="G2" s="104"/>
      <c r="H2" s="103"/>
      <c r="I2" s="91"/>
    </row>
    <row r="3" spans="1:48" ht="15" customHeight="1" x14ac:dyDescent="0.2">
      <c r="A3" s="79" t="s">
        <v>85</v>
      </c>
      <c r="B3" s="44"/>
      <c r="C3" s="107"/>
      <c r="E3" s="102" t="s">
        <v>34</v>
      </c>
      <c r="F3" s="101"/>
      <c r="G3" s="101"/>
      <c r="H3" s="100"/>
      <c r="I3" s="91"/>
      <c r="K3" s="99" t="s">
        <v>0</v>
      </c>
      <c r="L3" s="98" t="str">
        <f>+'Ingreso Datos'!C2</f>
        <v>C1BH-L12-L10-3+760-L</v>
      </c>
      <c r="M3" s="74"/>
      <c r="N3" s="74"/>
      <c r="O3" s="73"/>
      <c r="P3" s="72"/>
      <c r="Q3" s="72"/>
      <c r="AI3" s="84" t="s">
        <v>44</v>
      </c>
      <c r="AJ3" s="97" t="str">
        <f>+L3</f>
        <v>C1BH-L12-L10-3+760-L</v>
      </c>
      <c r="AK3" s="81"/>
      <c r="AL3" s="84" t="s">
        <v>96</v>
      </c>
      <c r="AM3" s="81"/>
      <c r="AN3" s="81" t="str">
        <f>+CONCATENATE(AI3," : ",AJ3)</f>
        <v>PROYECTO : C1BH-L12-L10-3+760-L</v>
      </c>
      <c r="AO3" s="81"/>
      <c r="AP3" s="81"/>
      <c r="AQ3" s="81"/>
      <c r="AR3" s="81"/>
      <c r="AS3" s="81"/>
      <c r="AT3" s="80"/>
      <c r="AU3" s="80"/>
      <c r="AV3" s="96" t="s">
        <v>95</v>
      </c>
    </row>
    <row r="4" spans="1:48" ht="15" customHeight="1" thickBot="1" x14ac:dyDescent="0.25">
      <c r="A4" s="95" t="s">
        <v>1</v>
      </c>
      <c r="B4" s="44"/>
      <c r="C4" s="40" t="s">
        <v>109</v>
      </c>
      <c r="E4" s="94" t="s">
        <v>33</v>
      </c>
      <c r="F4" s="93"/>
      <c r="G4" s="93"/>
      <c r="H4" s="92"/>
      <c r="I4" s="91"/>
      <c r="K4" s="88" t="s">
        <v>94</v>
      </c>
      <c r="L4" s="90" t="str">
        <f>+'Ingreso Datos'!C3</f>
        <v>1.913.481-A</v>
      </c>
      <c r="M4" s="74"/>
      <c r="N4" s="74"/>
      <c r="O4" s="73"/>
      <c r="P4" s="72"/>
      <c r="Q4" s="72"/>
      <c r="AI4" s="84" t="s">
        <v>45</v>
      </c>
      <c r="AJ4" s="89" t="str">
        <f>+L9</f>
        <v>C1BH-L12-L10-3+760-L (3,45-3,59)</v>
      </c>
      <c r="AK4" s="81"/>
      <c r="AL4" s="81"/>
      <c r="AM4" s="81"/>
      <c r="AN4" s="81" t="str">
        <f>+CONCATENATE(AI4," : ",AJ4)</f>
        <v>MUESTRA : C1BH-L12-L10-3+760-L (3,45-3,59)</v>
      </c>
      <c r="AO4" s="81"/>
      <c r="AP4" s="81"/>
      <c r="AQ4" s="81"/>
      <c r="AR4" s="81"/>
      <c r="AS4" s="81"/>
      <c r="AT4" s="80"/>
      <c r="AU4" s="80"/>
      <c r="AV4" s="80"/>
    </row>
    <row r="5" spans="1:48" ht="15" customHeight="1" x14ac:dyDescent="0.2">
      <c r="A5" s="79" t="s">
        <v>93</v>
      </c>
      <c r="B5" s="44"/>
      <c r="C5" s="40"/>
      <c r="K5" s="88" t="s">
        <v>7</v>
      </c>
      <c r="L5" s="87" t="str">
        <f>+'Ingreso Datos'!C4</f>
        <v>-</v>
      </c>
      <c r="M5" s="74"/>
      <c r="N5" s="74"/>
      <c r="O5" s="73"/>
      <c r="P5" s="72"/>
      <c r="Q5" s="72"/>
      <c r="AD5" s="86" t="s">
        <v>92</v>
      </c>
      <c r="AE5" s="85" t="s">
        <v>91</v>
      </c>
      <c r="AH5" s="11" t="str">
        <f>CONCATENATE("PROYECTO: ",L3)</f>
        <v>PROYECTO: C1BH-L12-L10-3+760-L</v>
      </c>
      <c r="AI5" s="84" t="s">
        <v>90</v>
      </c>
      <c r="AJ5" s="84" t="s">
        <v>89</v>
      </c>
      <c r="AK5" s="81"/>
      <c r="AL5" s="81"/>
      <c r="AM5" s="81"/>
      <c r="AN5" s="81" t="str">
        <f>+CONCATENATE(AI5," : ",AJ5)</f>
        <v>ENSAYO :  COMPRESION UNIAXIAL CON MODULO</v>
      </c>
      <c r="AO5" s="81"/>
      <c r="AP5" s="81"/>
      <c r="AQ5" s="81"/>
      <c r="AR5" s="81"/>
      <c r="AS5" s="81"/>
      <c r="AT5" s="80"/>
      <c r="AU5" s="80"/>
      <c r="AV5" s="80"/>
    </row>
    <row r="6" spans="1:48" ht="15" customHeight="1" thickBot="1" x14ac:dyDescent="0.25">
      <c r="A6" s="79" t="s">
        <v>88</v>
      </c>
      <c r="B6" s="44"/>
      <c r="C6" s="40"/>
      <c r="K6" s="69" t="s">
        <v>87</v>
      </c>
      <c r="L6" s="118">
        <f>+C2</f>
        <v>0</v>
      </c>
      <c r="M6" s="119"/>
      <c r="N6" s="119"/>
      <c r="O6" s="120"/>
      <c r="P6" s="72"/>
      <c r="Q6" s="72"/>
      <c r="AD6" s="83" t="s">
        <v>86</v>
      </c>
      <c r="AE6" s="82">
        <v>3</v>
      </c>
      <c r="AH6" s="11" t="str">
        <f>CONCATENATE("MUESTRA: ",L9)</f>
        <v>MUESTRA: C1BH-L12-L10-3+760-L (3,45-3,59)</v>
      </c>
      <c r="AK6" s="81"/>
      <c r="AL6" s="81"/>
      <c r="AM6" s="81"/>
      <c r="AN6" s="81"/>
      <c r="AO6" s="81"/>
      <c r="AP6" s="81"/>
      <c r="AQ6" s="81"/>
      <c r="AR6" s="81"/>
      <c r="AS6" s="81"/>
      <c r="AT6" s="80"/>
      <c r="AU6" s="80"/>
      <c r="AV6" s="80"/>
    </row>
    <row r="7" spans="1:48" ht="15" customHeight="1" thickBot="1" x14ac:dyDescent="0.25">
      <c r="A7" s="79" t="s">
        <v>12</v>
      </c>
      <c r="B7" s="44"/>
      <c r="C7" s="40"/>
      <c r="E7" s="53" t="s">
        <v>99</v>
      </c>
      <c r="F7" s="44"/>
      <c r="G7" s="40" t="s">
        <v>106</v>
      </c>
      <c r="K7" s="69" t="s">
        <v>85</v>
      </c>
      <c r="L7" s="118">
        <f>+C3</f>
        <v>0</v>
      </c>
      <c r="M7" s="119"/>
      <c r="N7" s="119"/>
      <c r="O7" s="120"/>
      <c r="P7" s="72"/>
      <c r="Q7" s="72"/>
    </row>
    <row r="8" spans="1:48" ht="15" customHeight="1" x14ac:dyDescent="0.2">
      <c r="E8" s="50" t="s">
        <v>100</v>
      </c>
      <c r="F8" s="44"/>
      <c r="G8" s="40" t="s">
        <v>106</v>
      </c>
      <c r="K8" s="78"/>
      <c r="L8" s="77"/>
      <c r="P8" s="72"/>
      <c r="Q8" s="72"/>
      <c r="AD8" s="121" t="s">
        <v>84</v>
      </c>
      <c r="AE8" s="122"/>
    </row>
    <row r="9" spans="1:48" ht="15" customHeight="1" thickBot="1" x14ac:dyDescent="0.25">
      <c r="A9" s="50" t="s">
        <v>13</v>
      </c>
      <c r="B9" s="44"/>
      <c r="C9" s="40"/>
      <c r="D9" s="10" t="s">
        <v>25</v>
      </c>
      <c r="E9" s="45" t="s">
        <v>37</v>
      </c>
      <c r="F9" s="44" t="e">
        <f>+ROUND(AVERAGE(C9:C17),1)*10</f>
        <v>#DIV/0!</v>
      </c>
      <c r="G9" s="76" t="e">
        <f>+CONCATENATE("D",F9)</f>
        <v>#DIV/0!</v>
      </c>
      <c r="K9" s="69" t="s">
        <v>83</v>
      </c>
      <c r="L9" s="75" t="str">
        <f>C4</f>
        <v>C1BH-L12-L10-3+760-L (3,45-3,59)</v>
      </c>
      <c r="M9" s="74"/>
      <c r="N9" s="74"/>
      <c r="O9" s="73"/>
      <c r="P9" s="72"/>
      <c r="Q9" s="72"/>
      <c r="AD9" s="123" t="s">
        <v>82</v>
      </c>
      <c r="AE9" s="124"/>
    </row>
    <row r="10" spans="1:48" ht="15" customHeight="1" thickBot="1" x14ac:dyDescent="0.25">
      <c r="A10" s="50" t="s">
        <v>14</v>
      </c>
      <c r="B10" s="44"/>
      <c r="C10" s="40"/>
      <c r="D10" s="10" t="s">
        <v>25</v>
      </c>
      <c r="E10" s="45" t="s">
        <v>35</v>
      </c>
      <c r="F10" s="44"/>
      <c r="G10" s="71" t="e">
        <f>C18/AVERAGE(C9:C17)</f>
        <v>#DIV/0!</v>
      </c>
      <c r="K10" s="69" t="s">
        <v>10</v>
      </c>
      <c r="L10" s="68">
        <f>C5</f>
        <v>0</v>
      </c>
      <c r="M10" s="70"/>
      <c r="N10" s="66"/>
      <c r="O10" s="65"/>
      <c r="P10" s="12"/>
    </row>
    <row r="11" spans="1:48" ht="15" customHeight="1" x14ac:dyDescent="0.2">
      <c r="A11" s="50" t="s">
        <v>15</v>
      </c>
      <c r="B11" s="44"/>
      <c r="C11" s="40"/>
      <c r="D11" s="10" t="s">
        <v>25</v>
      </c>
      <c r="E11" s="50" t="s">
        <v>81</v>
      </c>
      <c r="F11" s="44"/>
      <c r="G11" s="59" t="e">
        <f>(AVERAGE(C9:C11))*10</f>
        <v>#DIV/0!</v>
      </c>
      <c r="H11" s="42" t="s">
        <v>28</v>
      </c>
      <c r="I11" s="42"/>
      <c r="K11" s="69" t="s">
        <v>11</v>
      </c>
      <c r="L11" s="68">
        <f>C6</f>
        <v>0</v>
      </c>
      <c r="M11" s="67"/>
      <c r="N11" s="66"/>
      <c r="O11" s="65"/>
      <c r="P11" s="12"/>
      <c r="AD11" s="125" t="s">
        <v>80</v>
      </c>
      <c r="AE11" s="126"/>
    </row>
    <row r="12" spans="1:48" ht="15" customHeight="1" x14ac:dyDescent="0.2">
      <c r="A12" s="50" t="s">
        <v>17</v>
      </c>
      <c r="B12" s="44"/>
      <c r="C12" s="40"/>
      <c r="D12" s="10" t="s">
        <v>25</v>
      </c>
      <c r="E12" s="50" t="s">
        <v>79</v>
      </c>
      <c r="F12" s="44"/>
      <c r="G12" s="59" t="e">
        <f>(AVERAGE(C12:C14))*10</f>
        <v>#DIV/0!</v>
      </c>
      <c r="H12" s="42" t="s">
        <v>28</v>
      </c>
      <c r="I12" s="42"/>
      <c r="K12" s="69" t="s">
        <v>12</v>
      </c>
      <c r="L12" s="68">
        <f>C7</f>
        <v>0</v>
      </c>
      <c r="M12" s="67"/>
      <c r="N12" s="66"/>
      <c r="O12" s="65"/>
      <c r="P12" s="12"/>
      <c r="AD12" s="127"/>
      <c r="AE12" s="128"/>
    </row>
    <row r="13" spans="1:48" ht="15" customHeight="1" thickBot="1" x14ac:dyDescent="0.25">
      <c r="A13" s="50" t="s">
        <v>18</v>
      </c>
      <c r="B13" s="44"/>
      <c r="C13" s="40"/>
      <c r="D13" s="62" t="s">
        <v>25</v>
      </c>
      <c r="E13" s="50" t="s">
        <v>78</v>
      </c>
      <c r="F13" s="44"/>
      <c r="G13" s="59" t="e">
        <f>(AVERAGE(C15:C17))*10</f>
        <v>#DIV/0!</v>
      </c>
      <c r="H13" s="42" t="s">
        <v>28</v>
      </c>
      <c r="I13" s="42"/>
      <c r="P13" s="12"/>
      <c r="AD13" s="129"/>
      <c r="AE13" s="130"/>
    </row>
    <row r="14" spans="1:48" ht="15" customHeight="1" x14ac:dyDescent="0.2">
      <c r="A14" s="50" t="s">
        <v>19</v>
      </c>
      <c r="B14" s="44"/>
      <c r="C14" s="40"/>
      <c r="D14" s="10" t="s">
        <v>25</v>
      </c>
      <c r="E14" s="50" t="s">
        <v>16</v>
      </c>
      <c r="F14" s="44"/>
      <c r="G14" s="59" t="e">
        <f>(((G11/2)^2*PI())+(((G12/2)^2*PI())*4)+((G13/2)^2*PI()))/6</f>
        <v>#DIV/0!</v>
      </c>
      <c r="H14" s="42" t="s">
        <v>77</v>
      </c>
      <c r="I14" s="42"/>
      <c r="K14" s="64" t="s">
        <v>76</v>
      </c>
      <c r="N14" s="63" t="s">
        <v>75</v>
      </c>
    </row>
    <row r="15" spans="1:48" ht="15" customHeight="1" x14ac:dyDescent="0.2">
      <c r="A15" s="50" t="s">
        <v>20</v>
      </c>
      <c r="B15" s="44"/>
      <c r="C15" s="40"/>
      <c r="D15" s="10" t="s">
        <v>25</v>
      </c>
      <c r="E15" s="51" t="s">
        <v>3</v>
      </c>
      <c r="F15" s="44"/>
      <c r="G15" s="59" t="e">
        <f>(H19*C21)</f>
        <v>#DIV/0!</v>
      </c>
      <c r="H15" s="42" t="s">
        <v>29</v>
      </c>
      <c r="I15" s="42"/>
      <c r="K15" s="48" t="s">
        <v>74</v>
      </c>
      <c r="L15" s="61" t="e">
        <f>AVERAGE(G11:G13)/10</f>
        <v>#DIV/0!</v>
      </c>
      <c r="N15" s="48" t="s">
        <v>101</v>
      </c>
      <c r="O15" s="110" t="e">
        <f>MAX(O26:O500)</f>
        <v>#DIV/0!</v>
      </c>
    </row>
    <row r="16" spans="1:48" ht="15" customHeight="1" x14ac:dyDescent="0.2">
      <c r="A16" s="50" t="s">
        <v>21</v>
      </c>
      <c r="B16" s="44"/>
      <c r="C16" s="40"/>
      <c r="D16" s="62" t="s">
        <v>25</v>
      </c>
      <c r="E16" s="50" t="s">
        <v>6</v>
      </c>
      <c r="F16" s="44"/>
      <c r="G16" s="59" t="e">
        <f>(G18/G15)</f>
        <v>#DIV/0!</v>
      </c>
      <c r="H16" s="42" t="s">
        <v>30</v>
      </c>
      <c r="I16" s="42"/>
      <c r="K16" s="48" t="s">
        <v>73</v>
      </c>
      <c r="L16" s="61" t="e">
        <f>AVERAGE(C18:C20)</f>
        <v>#DIV/0!</v>
      </c>
      <c r="N16" s="60" t="s">
        <v>102</v>
      </c>
      <c r="O16" s="108" t="e">
        <f>SLOPE(O33:O38,M33:M38)*100</f>
        <v>#DIV/0!</v>
      </c>
      <c r="P16" s="58"/>
      <c r="Q16" s="57"/>
    </row>
    <row r="17" spans="1:17" ht="15" customHeight="1" x14ac:dyDescent="0.2">
      <c r="A17" s="50" t="s">
        <v>22</v>
      </c>
      <c r="B17" s="44"/>
      <c r="C17" s="40"/>
      <c r="D17" s="10" t="s">
        <v>25</v>
      </c>
      <c r="E17" s="50" t="s">
        <v>4</v>
      </c>
      <c r="F17" s="44"/>
      <c r="G17" s="59" t="e">
        <f>(G16/((G20+100)))*100</f>
        <v>#DIV/0!</v>
      </c>
      <c r="H17" s="42" t="s">
        <v>30</v>
      </c>
      <c r="I17" s="42"/>
      <c r="K17" s="48" t="s">
        <v>72</v>
      </c>
      <c r="L17" s="47">
        <f>G18</f>
        <v>0</v>
      </c>
      <c r="M17" s="12"/>
      <c r="N17" s="48" t="s">
        <v>71</v>
      </c>
      <c r="O17" s="22" t="e">
        <f>SLOPE(L33:L38,M33:M38)*-1</f>
        <v>#DIV/0!</v>
      </c>
      <c r="P17" s="58"/>
      <c r="Q17" s="57"/>
    </row>
    <row r="18" spans="1:17" ht="15" customHeight="1" x14ac:dyDescent="0.2">
      <c r="A18" s="51" t="s">
        <v>70</v>
      </c>
      <c r="B18" s="44"/>
      <c r="C18" s="40"/>
      <c r="D18" s="10" t="s">
        <v>25</v>
      </c>
      <c r="E18" s="51" t="s">
        <v>2</v>
      </c>
      <c r="F18" s="44"/>
      <c r="G18" s="40"/>
      <c r="H18" s="13" t="s">
        <v>26</v>
      </c>
      <c r="K18" s="48" t="s">
        <v>69</v>
      </c>
      <c r="L18" s="47" t="e">
        <f>G16</f>
        <v>#DIV/0!</v>
      </c>
      <c r="M18" s="12"/>
      <c r="N18" s="56" t="s">
        <v>67</v>
      </c>
      <c r="O18" s="55">
        <f>G19</f>
        <v>0</v>
      </c>
      <c r="P18" s="54"/>
      <c r="Q18" s="54"/>
    </row>
    <row r="19" spans="1:17" ht="15" customHeight="1" x14ac:dyDescent="0.2">
      <c r="A19" s="51" t="s">
        <v>68</v>
      </c>
      <c r="B19" s="44"/>
      <c r="C19" s="40"/>
      <c r="D19" s="10" t="s">
        <v>25</v>
      </c>
      <c r="E19" s="53" t="s">
        <v>67</v>
      </c>
      <c r="F19" s="44"/>
      <c r="G19" s="40"/>
      <c r="H19" s="52" t="e">
        <f>(((AVERAGE(C9:C17)/2)^2)*PI())</f>
        <v>#DIV/0!</v>
      </c>
      <c r="I19" s="52"/>
      <c r="K19" s="48" t="s">
        <v>66</v>
      </c>
      <c r="L19" s="47" t="e">
        <f>G17</f>
        <v>#DIV/0!</v>
      </c>
      <c r="M19" s="12"/>
      <c r="P19" s="41"/>
      <c r="Q19" s="41"/>
    </row>
    <row r="20" spans="1:17" ht="15" customHeight="1" x14ac:dyDescent="0.2">
      <c r="A20" s="51" t="s">
        <v>65</v>
      </c>
      <c r="B20" s="44"/>
      <c r="C20" s="40"/>
      <c r="D20" s="10" t="s">
        <v>25</v>
      </c>
      <c r="E20" s="50" t="s">
        <v>9</v>
      </c>
      <c r="F20" s="44"/>
      <c r="G20" s="40"/>
      <c r="H20" s="49" t="s">
        <v>27</v>
      </c>
      <c r="I20" s="49"/>
      <c r="K20" s="48" t="s">
        <v>64</v>
      </c>
      <c r="L20" s="47">
        <f>G20</f>
        <v>0</v>
      </c>
      <c r="M20" s="12"/>
      <c r="P20" s="41"/>
      <c r="Q20" s="41"/>
    </row>
    <row r="21" spans="1:17" ht="15" customHeight="1" x14ac:dyDescent="0.2">
      <c r="A21" s="10" t="s">
        <v>63</v>
      </c>
      <c r="C21" s="46" t="e">
        <f>+AVERAGE(C18:C20)</f>
        <v>#DIV/0!</v>
      </c>
      <c r="D21" s="10" t="s">
        <v>25</v>
      </c>
      <c r="E21" s="45" t="s">
        <v>62</v>
      </c>
      <c r="F21" s="44"/>
      <c r="G21" s="43" t="e">
        <f>H19</f>
        <v>#DIV/0!</v>
      </c>
      <c r="H21" s="42" t="s">
        <v>61</v>
      </c>
      <c r="I21" s="42"/>
      <c r="P21" s="41"/>
      <c r="Q21" s="41"/>
    </row>
    <row r="22" spans="1:17" ht="15" customHeight="1" x14ac:dyDescent="0.2">
      <c r="A22" s="10" t="s">
        <v>38</v>
      </c>
      <c r="C22" s="109"/>
      <c r="D22" s="10" t="s">
        <v>105</v>
      </c>
      <c r="E22" s="10" t="s">
        <v>60</v>
      </c>
      <c r="G22" s="10" t="e">
        <f>((G11+G12+G13)/3)/10</f>
        <v>#DIV/0!</v>
      </c>
      <c r="K22" s="39" t="s">
        <v>59</v>
      </c>
      <c r="P22" s="15"/>
      <c r="Q22" s="15"/>
    </row>
    <row r="23" spans="1:17" ht="15" customHeight="1" x14ac:dyDescent="0.2">
      <c r="A23" s="38" t="s">
        <v>58</v>
      </c>
      <c r="B23" s="38" t="s">
        <v>5</v>
      </c>
      <c r="C23" s="38" t="s">
        <v>5</v>
      </c>
      <c r="D23" s="35" t="s">
        <v>23</v>
      </c>
      <c r="E23" s="37" t="s">
        <v>24</v>
      </c>
      <c r="F23" s="36" t="s">
        <v>24</v>
      </c>
      <c r="K23" s="35" t="s">
        <v>57</v>
      </c>
      <c r="L23" s="131" t="s">
        <v>5</v>
      </c>
      <c r="M23" s="132"/>
      <c r="N23" s="35" t="s">
        <v>24</v>
      </c>
      <c r="O23" s="35" t="s">
        <v>24</v>
      </c>
      <c r="P23" s="15"/>
      <c r="Q23" s="15"/>
    </row>
    <row r="24" spans="1:17" ht="15" customHeight="1" x14ac:dyDescent="0.2">
      <c r="A24" s="34" t="s">
        <v>56</v>
      </c>
      <c r="B24" s="33" t="s">
        <v>55</v>
      </c>
      <c r="C24" s="32" t="s">
        <v>54</v>
      </c>
      <c r="D24" s="32" t="s">
        <v>54</v>
      </c>
      <c r="E24" s="33" t="s">
        <v>53</v>
      </c>
      <c r="F24" s="32" t="s">
        <v>36</v>
      </c>
      <c r="K24" s="31" t="s">
        <v>52</v>
      </c>
      <c r="L24" s="133" t="s">
        <v>51</v>
      </c>
      <c r="M24" s="135" t="s">
        <v>50</v>
      </c>
      <c r="N24" s="31" t="s">
        <v>104</v>
      </c>
      <c r="O24" s="31" t="s">
        <v>104</v>
      </c>
      <c r="P24" s="15"/>
      <c r="Q24" s="15"/>
    </row>
    <row r="25" spans="1:17" ht="15" customHeight="1" x14ac:dyDescent="0.2">
      <c r="A25" s="30" t="s">
        <v>31</v>
      </c>
      <c r="B25" s="30" t="s">
        <v>49</v>
      </c>
      <c r="C25" s="30" t="s">
        <v>49</v>
      </c>
      <c r="D25" s="30" t="s">
        <v>8</v>
      </c>
      <c r="E25" s="30" t="s">
        <v>8</v>
      </c>
      <c r="F25" s="30" t="s">
        <v>8</v>
      </c>
      <c r="K25" s="28" t="s">
        <v>103</v>
      </c>
      <c r="L25" s="134"/>
      <c r="M25" s="136"/>
      <c r="N25" s="29" t="e">
        <f>G9</f>
        <v>#DIV/0!</v>
      </c>
      <c r="O25" s="28" t="s">
        <v>36</v>
      </c>
      <c r="P25" s="15"/>
      <c r="Q25" s="15"/>
    </row>
    <row r="26" spans="1:17" ht="15" customHeight="1" x14ac:dyDescent="0.2">
      <c r="A26" s="26"/>
      <c r="B26" s="26"/>
      <c r="C26" s="26"/>
      <c r="D26" s="24" t="e">
        <f t="shared" ref="D26:D58" si="0">((((A26*1000)/G$14)))</f>
        <v>#DIV/0!</v>
      </c>
      <c r="E26" s="25" t="e">
        <f t="shared" ref="E26:E58" si="1">IF((C$21/G$22)&gt;2.5,(D26/(0.88+(0.222*(C$21/G$22)))),D26*1)</f>
        <v>#DIV/0!</v>
      </c>
      <c r="F26" s="24" t="e">
        <f t="shared" ref="F26:F58" si="2">E26*((AVERAGE(G$11:G$13)/50)^0.2)</f>
        <v>#DIV/0!</v>
      </c>
      <c r="H26" s="10"/>
      <c r="K26" s="112">
        <f t="shared" ref="K26:K58" si="3">+A26</f>
        <v>0</v>
      </c>
      <c r="L26" s="23">
        <f t="shared" ref="L26:M58" si="4">+(B26/10^6)*100</f>
        <v>0</v>
      </c>
      <c r="M26" s="23">
        <f t="shared" si="4"/>
        <v>0</v>
      </c>
      <c r="N26" s="111" t="e">
        <f t="shared" ref="N26:O58" si="5">E26</f>
        <v>#DIV/0!</v>
      </c>
      <c r="O26" s="111" t="e">
        <f t="shared" si="5"/>
        <v>#DIV/0!</v>
      </c>
      <c r="P26" s="15"/>
      <c r="Q26" s="15"/>
    </row>
    <row r="27" spans="1:17" ht="15" customHeight="1" x14ac:dyDescent="0.2">
      <c r="A27" s="26"/>
      <c r="B27" s="26"/>
      <c r="C27" s="26"/>
      <c r="D27" s="24" t="e">
        <f t="shared" si="0"/>
        <v>#DIV/0!</v>
      </c>
      <c r="E27" s="25" t="e">
        <f t="shared" si="1"/>
        <v>#DIV/0!</v>
      </c>
      <c r="F27" s="24" t="e">
        <f t="shared" si="2"/>
        <v>#DIV/0!</v>
      </c>
      <c r="H27" s="10"/>
      <c r="J27" s="27"/>
      <c r="K27" s="112">
        <f t="shared" si="3"/>
        <v>0</v>
      </c>
      <c r="L27" s="23">
        <f t="shared" si="4"/>
        <v>0</v>
      </c>
      <c r="M27" s="23">
        <f t="shared" si="4"/>
        <v>0</v>
      </c>
      <c r="N27" s="111" t="e">
        <f t="shared" si="5"/>
        <v>#DIV/0!</v>
      </c>
      <c r="O27" s="111" t="e">
        <f t="shared" si="5"/>
        <v>#DIV/0!</v>
      </c>
      <c r="P27" s="15"/>
      <c r="Q27" s="15"/>
    </row>
    <row r="28" spans="1:17" ht="15" customHeight="1" x14ac:dyDescent="0.2">
      <c r="A28" s="26"/>
      <c r="B28" s="26"/>
      <c r="C28" s="26"/>
      <c r="D28" s="24" t="e">
        <f t="shared" si="0"/>
        <v>#DIV/0!</v>
      </c>
      <c r="E28" s="25" t="e">
        <f t="shared" si="1"/>
        <v>#DIV/0!</v>
      </c>
      <c r="F28" s="24" t="e">
        <f t="shared" si="2"/>
        <v>#DIV/0!</v>
      </c>
      <c r="H28" s="10"/>
      <c r="K28" s="112">
        <f t="shared" si="3"/>
        <v>0</v>
      </c>
      <c r="L28" s="23">
        <f t="shared" si="4"/>
        <v>0</v>
      </c>
      <c r="M28" s="23">
        <f t="shared" si="4"/>
        <v>0</v>
      </c>
      <c r="N28" s="111" t="e">
        <f t="shared" si="5"/>
        <v>#DIV/0!</v>
      </c>
      <c r="O28" s="111" t="e">
        <f t="shared" si="5"/>
        <v>#DIV/0!</v>
      </c>
      <c r="P28" s="15"/>
      <c r="Q28" s="15"/>
    </row>
    <row r="29" spans="1:17" ht="15" customHeight="1" x14ac:dyDescent="0.2">
      <c r="A29" s="26"/>
      <c r="B29" s="26"/>
      <c r="C29" s="26"/>
      <c r="D29" s="24" t="e">
        <f t="shared" si="0"/>
        <v>#DIV/0!</v>
      </c>
      <c r="E29" s="25" t="e">
        <f t="shared" si="1"/>
        <v>#DIV/0!</v>
      </c>
      <c r="F29" s="24" t="e">
        <f t="shared" si="2"/>
        <v>#DIV/0!</v>
      </c>
      <c r="H29" s="10"/>
      <c r="K29" s="112">
        <f t="shared" si="3"/>
        <v>0</v>
      </c>
      <c r="L29" s="23">
        <f t="shared" si="4"/>
        <v>0</v>
      </c>
      <c r="M29" s="23">
        <f t="shared" si="4"/>
        <v>0</v>
      </c>
      <c r="N29" s="111" t="e">
        <f t="shared" si="5"/>
        <v>#DIV/0!</v>
      </c>
      <c r="O29" s="111" t="e">
        <f t="shared" si="5"/>
        <v>#DIV/0!</v>
      </c>
    </row>
    <row r="30" spans="1:17" ht="15" customHeight="1" x14ac:dyDescent="0.2">
      <c r="A30" s="26"/>
      <c r="B30" s="26"/>
      <c r="C30" s="26"/>
      <c r="D30" s="24" t="e">
        <f t="shared" si="0"/>
        <v>#DIV/0!</v>
      </c>
      <c r="E30" s="25" t="e">
        <f t="shared" si="1"/>
        <v>#DIV/0!</v>
      </c>
      <c r="F30" s="24" t="e">
        <f t="shared" si="2"/>
        <v>#DIV/0!</v>
      </c>
      <c r="H30" s="10"/>
      <c r="K30" s="112">
        <f t="shared" si="3"/>
        <v>0</v>
      </c>
      <c r="L30" s="23">
        <f t="shared" si="4"/>
        <v>0</v>
      </c>
      <c r="M30" s="23">
        <f t="shared" si="4"/>
        <v>0</v>
      </c>
      <c r="N30" s="111" t="e">
        <f t="shared" si="5"/>
        <v>#DIV/0!</v>
      </c>
      <c r="O30" s="111" t="e">
        <f t="shared" si="5"/>
        <v>#DIV/0!</v>
      </c>
    </row>
    <row r="31" spans="1:17" ht="15" customHeight="1" x14ac:dyDescent="0.2">
      <c r="A31" s="26"/>
      <c r="B31" s="26"/>
      <c r="C31" s="26"/>
      <c r="D31" s="24" t="e">
        <f t="shared" si="0"/>
        <v>#DIV/0!</v>
      </c>
      <c r="E31" s="25" t="e">
        <f t="shared" si="1"/>
        <v>#DIV/0!</v>
      </c>
      <c r="F31" s="24" t="e">
        <f t="shared" si="2"/>
        <v>#DIV/0!</v>
      </c>
      <c r="H31" s="10"/>
      <c r="K31" s="112">
        <f t="shared" si="3"/>
        <v>0</v>
      </c>
      <c r="L31" s="23">
        <f t="shared" si="4"/>
        <v>0</v>
      </c>
      <c r="M31" s="23">
        <f t="shared" si="4"/>
        <v>0</v>
      </c>
      <c r="N31" s="111" t="e">
        <f t="shared" si="5"/>
        <v>#DIV/0!</v>
      </c>
      <c r="O31" s="111" t="e">
        <f t="shared" si="5"/>
        <v>#DIV/0!</v>
      </c>
    </row>
    <row r="32" spans="1:17" ht="15" customHeight="1" x14ac:dyDescent="0.2">
      <c r="A32" s="26"/>
      <c r="B32" s="26"/>
      <c r="C32" s="26"/>
      <c r="D32" s="24" t="e">
        <f t="shared" si="0"/>
        <v>#DIV/0!</v>
      </c>
      <c r="E32" s="25" t="e">
        <f t="shared" si="1"/>
        <v>#DIV/0!</v>
      </c>
      <c r="F32" s="24" t="e">
        <f t="shared" si="2"/>
        <v>#DIV/0!</v>
      </c>
      <c r="H32" s="10"/>
      <c r="K32" s="112">
        <f t="shared" si="3"/>
        <v>0</v>
      </c>
      <c r="L32" s="23">
        <f t="shared" si="4"/>
        <v>0</v>
      </c>
      <c r="M32" s="23">
        <f t="shared" si="4"/>
        <v>0</v>
      </c>
      <c r="N32" s="111" t="e">
        <f t="shared" si="5"/>
        <v>#DIV/0!</v>
      </c>
      <c r="O32" s="111" t="e">
        <f t="shared" si="5"/>
        <v>#DIV/0!</v>
      </c>
    </row>
    <row r="33" spans="1:15" ht="15" customHeight="1" x14ac:dyDescent="0.2">
      <c r="A33" s="26"/>
      <c r="B33" s="26"/>
      <c r="C33" s="26"/>
      <c r="D33" s="24" t="e">
        <f t="shared" si="0"/>
        <v>#DIV/0!</v>
      </c>
      <c r="E33" s="25" t="e">
        <f t="shared" si="1"/>
        <v>#DIV/0!</v>
      </c>
      <c r="F33" s="24" t="e">
        <f t="shared" si="2"/>
        <v>#DIV/0!</v>
      </c>
      <c r="H33" s="10"/>
      <c r="K33" s="112">
        <f t="shared" si="3"/>
        <v>0</v>
      </c>
      <c r="L33" s="23">
        <f t="shared" si="4"/>
        <v>0</v>
      </c>
      <c r="M33" s="23">
        <f t="shared" si="4"/>
        <v>0</v>
      </c>
      <c r="N33" s="111" t="e">
        <f t="shared" si="5"/>
        <v>#DIV/0!</v>
      </c>
      <c r="O33" s="111" t="e">
        <f t="shared" si="5"/>
        <v>#DIV/0!</v>
      </c>
    </row>
    <row r="34" spans="1:15" ht="15" customHeight="1" x14ac:dyDescent="0.2">
      <c r="A34" s="26"/>
      <c r="B34" s="26"/>
      <c r="C34" s="26"/>
      <c r="D34" s="24" t="e">
        <f t="shared" si="0"/>
        <v>#DIV/0!</v>
      </c>
      <c r="E34" s="25" t="e">
        <f t="shared" si="1"/>
        <v>#DIV/0!</v>
      </c>
      <c r="F34" s="24" t="e">
        <f t="shared" si="2"/>
        <v>#DIV/0!</v>
      </c>
      <c r="H34" s="10"/>
      <c r="K34" s="112">
        <f t="shared" si="3"/>
        <v>0</v>
      </c>
      <c r="L34" s="23">
        <f t="shared" si="4"/>
        <v>0</v>
      </c>
      <c r="M34" s="23">
        <f t="shared" si="4"/>
        <v>0</v>
      </c>
      <c r="N34" s="111" t="e">
        <f t="shared" si="5"/>
        <v>#DIV/0!</v>
      </c>
      <c r="O34" s="111" t="e">
        <f t="shared" si="5"/>
        <v>#DIV/0!</v>
      </c>
    </row>
    <row r="35" spans="1:15" ht="15" customHeight="1" x14ac:dyDescent="0.2">
      <c r="A35" s="26"/>
      <c r="B35" s="26"/>
      <c r="C35" s="26"/>
      <c r="D35" s="24" t="e">
        <f t="shared" si="0"/>
        <v>#DIV/0!</v>
      </c>
      <c r="E35" s="25" t="e">
        <f t="shared" si="1"/>
        <v>#DIV/0!</v>
      </c>
      <c r="F35" s="24" t="e">
        <f t="shared" si="2"/>
        <v>#DIV/0!</v>
      </c>
      <c r="H35" s="10"/>
      <c r="K35" s="112">
        <f t="shared" si="3"/>
        <v>0</v>
      </c>
      <c r="L35" s="23">
        <f t="shared" si="4"/>
        <v>0</v>
      </c>
      <c r="M35" s="23">
        <f t="shared" si="4"/>
        <v>0</v>
      </c>
      <c r="N35" s="111" t="e">
        <f t="shared" si="5"/>
        <v>#DIV/0!</v>
      </c>
      <c r="O35" s="111" t="e">
        <f t="shared" si="5"/>
        <v>#DIV/0!</v>
      </c>
    </row>
    <row r="36" spans="1:15" ht="15" customHeight="1" x14ac:dyDescent="0.2">
      <c r="A36" s="26"/>
      <c r="B36" s="26"/>
      <c r="C36" s="26"/>
      <c r="D36" s="24" t="e">
        <f t="shared" si="0"/>
        <v>#DIV/0!</v>
      </c>
      <c r="E36" s="25" t="e">
        <f t="shared" si="1"/>
        <v>#DIV/0!</v>
      </c>
      <c r="F36" s="24" t="e">
        <f t="shared" si="2"/>
        <v>#DIV/0!</v>
      </c>
      <c r="H36" s="10"/>
      <c r="K36" s="112">
        <f t="shared" si="3"/>
        <v>0</v>
      </c>
      <c r="L36" s="23">
        <f t="shared" si="4"/>
        <v>0</v>
      </c>
      <c r="M36" s="23">
        <f t="shared" si="4"/>
        <v>0</v>
      </c>
      <c r="N36" s="111" t="e">
        <f t="shared" si="5"/>
        <v>#DIV/0!</v>
      </c>
      <c r="O36" s="111" t="e">
        <f t="shared" si="5"/>
        <v>#DIV/0!</v>
      </c>
    </row>
    <row r="37" spans="1:15" ht="15" customHeight="1" x14ac:dyDescent="0.2">
      <c r="A37" s="26"/>
      <c r="B37" s="26"/>
      <c r="C37" s="26"/>
      <c r="D37" s="24" t="e">
        <f t="shared" si="0"/>
        <v>#DIV/0!</v>
      </c>
      <c r="E37" s="25" t="e">
        <f t="shared" si="1"/>
        <v>#DIV/0!</v>
      </c>
      <c r="F37" s="24" t="e">
        <f t="shared" si="2"/>
        <v>#DIV/0!</v>
      </c>
      <c r="H37" s="10"/>
      <c r="K37" s="112">
        <f t="shared" si="3"/>
        <v>0</v>
      </c>
      <c r="L37" s="23">
        <f t="shared" si="4"/>
        <v>0</v>
      </c>
      <c r="M37" s="23">
        <f t="shared" si="4"/>
        <v>0</v>
      </c>
      <c r="N37" s="111" t="e">
        <f t="shared" si="5"/>
        <v>#DIV/0!</v>
      </c>
      <c r="O37" s="111" t="e">
        <f t="shared" si="5"/>
        <v>#DIV/0!</v>
      </c>
    </row>
    <row r="38" spans="1:15" ht="15" customHeight="1" x14ac:dyDescent="0.2">
      <c r="A38" s="26"/>
      <c r="B38" s="26"/>
      <c r="C38" s="26"/>
      <c r="D38" s="24" t="e">
        <f t="shared" si="0"/>
        <v>#DIV/0!</v>
      </c>
      <c r="E38" s="25" t="e">
        <f t="shared" si="1"/>
        <v>#DIV/0!</v>
      </c>
      <c r="F38" s="24" t="e">
        <f t="shared" si="2"/>
        <v>#DIV/0!</v>
      </c>
      <c r="H38" s="10"/>
      <c r="K38" s="112">
        <f t="shared" si="3"/>
        <v>0</v>
      </c>
      <c r="L38" s="23">
        <f t="shared" si="4"/>
        <v>0</v>
      </c>
      <c r="M38" s="23">
        <f t="shared" si="4"/>
        <v>0</v>
      </c>
      <c r="N38" s="111" t="e">
        <f t="shared" si="5"/>
        <v>#DIV/0!</v>
      </c>
      <c r="O38" s="111" t="e">
        <f t="shared" si="5"/>
        <v>#DIV/0!</v>
      </c>
    </row>
    <row r="39" spans="1:15" ht="15" customHeight="1" x14ac:dyDescent="0.2">
      <c r="A39" s="26"/>
      <c r="B39" s="26"/>
      <c r="C39" s="26"/>
      <c r="D39" s="24" t="e">
        <f t="shared" si="0"/>
        <v>#DIV/0!</v>
      </c>
      <c r="E39" s="25" t="e">
        <f t="shared" si="1"/>
        <v>#DIV/0!</v>
      </c>
      <c r="F39" s="24" t="e">
        <f t="shared" si="2"/>
        <v>#DIV/0!</v>
      </c>
      <c r="H39" s="10"/>
      <c r="K39" s="112">
        <f t="shared" si="3"/>
        <v>0</v>
      </c>
      <c r="L39" s="23">
        <f t="shared" si="4"/>
        <v>0</v>
      </c>
      <c r="M39" s="23">
        <f t="shared" si="4"/>
        <v>0</v>
      </c>
      <c r="N39" s="111" t="e">
        <f t="shared" si="5"/>
        <v>#DIV/0!</v>
      </c>
      <c r="O39" s="111" t="e">
        <f t="shared" si="5"/>
        <v>#DIV/0!</v>
      </c>
    </row>
    <row r="40" spans="1:15" ht="15" customHeight="1" x14ac:dyDescent="0.2">
      <c r="A40" s="26"/>
      <c r="B40" s="26"/>
      <c r="C40" s="26"/>
      <c r="D40" s="24" t="e">
        <f t="shared" si="0"/>
        <v>#DIV/0!</v>
      </c>
      <c r="E40" s="25" t="e">
        <f t="shared" si="1"/>
        <v>#DIV/0!</v>
      </c>
      <c r="F40" s="24" t="e">
        <f t="shared" si="2"/>
        <v>#DIV/0!</v>
      </c>
      <c r="H40" s="10"/>
      <c r="K40" s="112">
        <f t="shared" si="3"/>
        <v>0</v>
      </c>
      <c r="L40" s="23">
        <f t="shared" si="4"/>
        <v>0</v>
      </c>
      <c r="M40" s="23">
        <f t="shared" si="4"/>
        <v>0</v>
      </c>
      <c r="N40" s="111" t="e">
        <f t="shared" si="5"/>
        <v>#DIV/0!</v>
      </c>
      <c r="O40" s="111" t="e">
        <f t="shared" si="5"/>
        <v>#DIV/0!</v>
      </c>
    </row>
    <row r="41" spans="1:15" ht="15" customHeight="1" x14ac:dyDescent="0.2">
      <c r="A41" s="26"/>
      <c r="B41" s="26"/>
      <c r="C41" s="26"/>
      <c r="D41" s="24" t="e">
        <f t="shared" si="0"/>
        <v>#DIV/0!</v>
      </c>
      <c r="E41" s="25" t="e">
        <f t="shared" si="1"/>
        <v>#DIV/0!</v>
      </c>
      <c r="F41" s="24" t="e">
        <f t="shared" si="2"/>
        <v>#DIV/0!</v>
      </c>
      <c r="H41" s="10"/>
      <c r="K41" s="112">
        <f t="shared" si="3"/>
        <v>0</v>
      </c>
      <c r="L41" s="23">
        <f t="shared" si="4"/>
        <v>0</v>
      </c>
      <c r="M41" s="23">
        <f t="shared" si="4"/>
        <v>0</v>
      </c>
      <c r="N41" s="111" t="e">
        <f t="shared" si="5"/>
        <v>#DIV/0!</v>
      </c>
      <c r="O41" s="111" t="e">
        <f t="shared" si="5"/>
        <v>#DIV/0!</v>
      </c>
    </row>
    <row r="42" spans="1:15" ht="15" customHeight="1" x14ac:dyDescent="0.2">
      <c r="A42" s="26"/>
      <c r="B42" s="26"/>
      <c r="C42" s="26"/>
      <c r="D42" s="24" t="e">
        <f t="shared" si="0"/>
        <v>#DIV/0!</v>
      </c>
      <c r="E42" s="25" t="e">
        <f t="shared" si="1"/>
        <v>#DIV/0!</v>
      </c>
      <c r="F42" s="24" t="e">
        <f t="shared" si="2"/>
        <v>#DIV/0!</v>
      </c>
      <c r="H42" s="10"/>
      <c r="K42" s="112">
        <f t="shared" si="3"/>
        <v>0</v>
      </c>
      <c r="L42" s="23">
        <f t="shared" si="4"/>
        <v>0</v>
      </c>
      <c r="M42" s="23">
        <f t="shared" si="4"/>
        <v>0</v>
      </c>
      <c r="N42" s="111" t="e">
        <f t="shared" si="5"/>
        <v>#DIV/0!</v>
      </c>
      <c r="O42" s="111" t="e">
        <f t="shared" si="5"/>
        <v>#DIV/0!</v>
      </c>
    </row>
    <row r="43" spans="1:15" ht="15" customHeight="1" x14ac:dyDescent="0.2">
      <c r="A43" s="26"/>
      <c r="B43" s="26"/>
      <c r="C43" s="26"/>
      <c r="D43" s="24" t="e">
        <f t="shared" si="0"/>
        <v>#DIV/0!</v>
      </c>
      <c r="E43" s="25" t="e">
        <f t="shared" si="1"/>
        <v>#DIV/0!</v>
      </c>
      <c r="F43" s="24" t="e">
        <f t="shared" si="2"/>
        <v>#DIV/0!</v>
      </c>
      <c r="H43" s="10"/>
      <c r="K43" s="112">
        <f t="shared" si="3"/>
        <v>0</v>
      </c>
      <c r="L43" s="23">
        <f t="shared" si="4"/>
        <v>0</v>
      </c>
      <c r="M43" s="23">
        <f t="shared" si="4"/>
        <v>0</v>
      </c>
      <c r="N43" s="111" t="e">
        <f t="shared" si="5"/>
        <v>#DIV/0!</v>
      </c>
      <c r="O43" s="111" t="e">
        <f t="shared" si="5"/>
        <v>#DIV/0!</v>
      </c>
    </row>
    <row r="44" spans="1:15" ht="15" customHeight="1" x14ac:dyDescent="0.2">
      <c r="A44" s="26"/>
      <c r="B44" s="26"/>
      <c r="C44" s="26"/>
      <c r="D44" s="24" t="e">
        <f t="shared" si="0"/>
        <v>#DIV/0!</v>
      </c>
      <c r="E44" s="25" t="e">
        <f t="shared" si="1"/>
        <v>#DIV/0!</v>
      </c>
      <c r="F44" s="24" t="e">
        <f t="shared" si="2"/>
        <v>#DIV/0!</v>
      </c>
      <c r="H44" s="10"/>
      <c r="K44" s="112">
        <f t="shared" si="3"/>
        <v>0</v>
      </c>
      <c r="L44" s="23">
        <f t="shared" si="4"/>
        <v>0</v>
      </c>
      <c r="M44" s="23">
        <f t="shared" si="4"/>
        <v>0</v>
      </c>
      <c r="N44" s="111" t="e">
        <f t="shared" si="5"/>
        <v>#DIV/0!</v>
      </c>
      <c r="O44" s="111" t="e">
        <f t="shared" si="5"/>
        <v>#DIV/0!</v>
      </c>
    </row>
    <row r="45" spans="1:15" ht="15" customHeight="1" x14ac:dyDescent="0.2">
      <c r="A45" s="26"/>
      <c r="B45" s="26"/>
      <c r="C45" s="26"/>
      <c r="D45" s="24" t="e">
        <f t="shared" si="0"/>
        <v>#DIV/0!</v>
      </c>
      <c r="E45" s="25" t="e">
        <f t="shared" si="1"/>
        <v>#DIV/0!</v>
      </c>
      <c r="F45" s="24" t="e">
        <f t="shared" si="2"/>
        <v>#DIV/0!</v>
      </c>
      <c r="H45" s="10"/>
      <c r="K45" s="112">
        <f t="shared" si="3"/>
        <v>0</v>
      </c>
      <c r="L45" s="23">
        <f t="shared" si="4"/>
        <v>0</v>
      </c>
      <c r="M45" s="23">
        <f t="shared" si="4"/>
        <v>0</v>
      </c>
      <c r="N45" s="111" t="e">
        <f t="shared" si="5"/>
        <v>#DIV/0!</v>
      </c>
      <c r="O45" s="111" t="e">
        <f t="shared" si="5"/>
        <v>#DIV/0!</v>
      </c>
    </row>
    <row r="46" spans="1:15" ht="15" customHeight="1" x14ac:dyDescent="0.2">
      <c r="A46" s="26"/>
      <c r="B46" s="26"/>
      <c r="C46" s="26"/>
      <c r="D46" s="24" t="e">
        <f t="shared" si="0"/>
        <v>#DIV/0!</v>
      </c>
      <c r="E46" s="25" t="e">
        <f t="shared" si="1"/>
        <v>#DIV/0!</v>
      </c>
      <c r="F46" s="24" t="e">
        <f t="shared" si="2"/>
        <v>#DIV/0!</v>
      </c>
      <c r="H46" s="10"/>
      <c r="K46" s="112">
        <f t="shared" si="3"/>
        <v>0</v>
      </c>
      <c r="L46" s="23">
        <f t="shared" si="4"/>
        <v>0</v>
      </c>
      <c r="M46" s="23">
        <f t="shared" si="4"/>
        <v>0</v>
      </c>
      <c r="N46" s="111" t="e">
        <f t="shared" si="5"/>
        <v>#DIV/0!</v>
      </c>
      <c r="O46" s="111" t="e">
        <f t="shared" si="5"/>
        <v>#DIV/0!</v>
      </c>
    </row>
    <row r="47" spans="1:15" ht="15" customHeight="1" x14ac:dyDescent="0.2">
      <c r="A47" s="26"/>
      <c r="B47" s="26"/>
      <c r="C47" s="26"/>
      <c r="D47" s="24" t="e">
        <f t="shared" si="0"/>
        <v>#DIV/0!</v>
      </c>
      <c r="E47" s="25" t="e">
        <f t="shared" si="1"/>
        <v>#DIV/0!</v>
      </c>
      <c r="F47" s="24" t="e">
        <f t="shared" si="2"/>
        <v>#DIV/0!</v>
      </c>
      <c r="H47" s="10"/>
      <c r="K47" s="112">
        <f t="shared" si="3"/>
        <v>0</v>
      </c>
      <c r="L47" s="23">
        <f t="shared" si="4"/>
        <v>0</v>
      </c>
      <c r="M47" s="23">
        <f t="shared" si="4"/>
        <v>0</v>
      </c>
      <c r="N47" s="111" t="e">
        <f t="shared" si="5"/>
        <v>#DIV/0!</v>
      </c>
      <c r="O47" s="111" t="e">
        <f t="shared" si="5"/>
        <v>#DIV/0!</v>
      </c>
    </row>
    <row r="48" spans="1:15" ht="15" customHeight="1" x14ac:dyDescent="0.2">
      <c r="A48" s="26"/>
      <c r="B48" s="26"/>
      <c r="C48" s="26"/>
      <c r="D48" s="24" t="e">
        <f t="shared" si="0"/>
        <v>#DIV/0!</v>
      </c>
      <c r="E48" s="25" t="e">
        <f t="shared" si="1"/>
        <v>#DIV/0!</v>
      </c>
      <c r="F48" s="24" t="e">
        <f t="shared" si="2"/>
        <v>#DIV/0!</v>
      </c>
      <c r="H48" s="10"/>
      <c r="K48" s="112">
        <f t="shared" si="3"/>
        <v>0</v>
      </c>
      <c r="L48" s="23">
        <f t="shared" si="4"/>
        <v>0</v>
      </c>
      <c r="M48" s="23">
        <f t="shared" si="4"/>
        <v>0</v>
      </c>
      <c r="N48" s="111" t="e">
        <f t="shared" si="5"/>
        <v>#DIV/0!</v>
      </c>
      <c r="O48" s="111" t="e">
        <f t="shared" si="5"/>
        <v>#DIV/0!</v>
      </c>
    </row>
    <row r="49" spans="1:28" ht="15" customHeight="1" x14ac:dyDescent="0.2">
      <c r="A49" s="26"/>
      <c r="B49" s="26"/>
      <c r="C49" s="26"/>
      <c r="D49" s="24" t="e">
        <f t="shared" si="0"/>
        <v>#DIV/0!</v>
      </c>
      <c r="E49" s="25" t="e">
        <f t="shared" si="1"/>
        <v>#DIV/0!</v>
      </c>
      <c r="F49" s="24" t="e">
        <f t="shared" si="2"/>
        <v>#DIV/0!</v>
      </c>
      <c r="H49" s="10"/>
      <c r="K49" s="112">
        <f t="shared" si="3"/>
        <v>0</v>
      </c>
      <c r="L49" s="23">
        <f t="shared" si="4"/>
        <v>0</v>
      </c>
      <c r="M49" s="23">
        <f t="shared" si="4"/>
        <v>0</v>
      </c>
      <c r="N49" s="111" t="e">
        <f t="shared" si="5"/>
        <v>#DIV/0!</v>
      </c>
      <c r="O49" s="111" t="e">
        <f t="shared" si="5"/>
        <v>#DIV/0!</v>
      </c>
    </row>
    <row r="50" spans="1:28" ht="15" customHeight="1" x14ac:dyDescent="0.2">
      <c r="A50" s="26"/>
      <c r="B50" s="26"/>
      <c r="C50" s="26"/>
      <c r="D50" s="24" t="e">
        <f t="shared" si="0"/>
        <v>#DIV/0!</v>
      </c>
      <c r="E50" s="25" t="e">
        <f t="shared" si="1"/>
        <v>#DIV/0!</v>
      </c>
      <c r="F50" s="24" t="e">
        <f t="shared" si="2"/>
        <v>#DIV/0!</v>
      </c>
      <c r="H50" s="10"/>
      <c r="K50" s="112">
        <f t="shared" si="3"/>
        <v>0</v>
      </c>
      <c r="L50" s="23">
        <f t="shared" si="4"/>
        <v>0</v>
      </c>
      <c r="M50" s="23">
        <f t="shared" si="4"/>
        <v>0</v>
      </c>
      <c r="N50" s="111" t="e">
        <f t="shared" si="5"/>
        <v>#DIV/0!</v>
      </c>
      <c r="O50" s="111" t="e">
        <f t="shared" si="5"/>
        <v>#DIV/0!</v>
      </c>
    </row>
    <row r="51" spans="1:28" ht="15" customHeight="1" x14ac:dyDescent="0.2">
      <c r="A51" s="26"/>
      <c r="B51" s="26"/>
      <c r="C51" s="26"/>
      <c r="D51" s="24" t="e">
        <f t="shared" si="0"/>
        <v>#DIV/0!</v>
      </c>
      <c r="E51" s="25" t="e">
        <f t="shared" si="1"/>
        <v>#DIV/0!</v>
      </c>
      <c r="F51" s="24" t="e">
        <f t="shared" si="2"/>
        <v>#DIV/0!</v>
      </c>
      <c r="H51" s="10"/>
      <c r="K51" s="112">
        <f t="shared" si="3"/>
        <v>0</v>
      </c>
      <c r="L51" s="23">
        <f t="shared" si="4"/>
        <v>0</v>
      </c>
      <c r="M51" s="23">
        <f t="shared" si="4"/>
        <v>0</v>
      </c>
      <c r="N51" s="111" t="e">
        <f t="shared" si="5"/>
        <v>#DIV/0!</v>
      </c>
      <c r="O51" s="111" t="e">
        <f t="shared" si="5"/>
        <v>#DIV/0!</v>
      </c>
    </row>
    <row r="52" spans="1:28" ht="15" customHeight="1" x14ac:dyDescent="0.2">
      <c r="A52" s="26"/>
      <c r="B52" s="26"/>
      <c r="C52" s="26"/>
      <c r="D52" s="24" t="e">
        <f t="shared" si="0"/>
        <v>#DIV/0!</v>
      </c>
      <c r="E52" s="25" t="e">
        <f t="shared" si="1"/>
        <v>#DIV/0!</v>
      </c>
      <c r="F52" s="24" t="e">
        <f t="shared" si="2"/>
        <v>#DIV/0!</v>
      </c>
      <c r="H52" s="10"/>
      <c r="K52" s="112">
        <f t="shared" si="3"/>
        <v>0</v>
      </c>
      <c r="L52" s="23">
        <f t="shared" si="4"/>
        <v>0</v>
      </c>
      <c r="M52" s="23">
        <f t="shared" si="4"/>
        <v>0</v>
      </c>
      <c r="N52" s="111" t="e">
        <f t="shared" si="5"/>
        <v>#DIV/0!</v>
      </c>
      <c r="O52" s="111" t="e">
        <f t="shared" si="5"/>
        <v>#DIV/0!</v>
      </c>
    </row>
    <row r="53" spans="1:28" ht="15" customHeight="1" x14ac:dyDescent="0.2">
      <c r="A53" s="26"/>
      <c r="B53" s="26"/>
      <c r="C53" s="26"/>
      <c r="D53" s="24" t="e">
        <f t="shared" si="0"/>
        <v>#DIV/0!</v>
      </c>
      <c r="E53" s="25" t="e">
        <f t="shared" si="1"/>
        <v>#DIV/0!</v>
      </c>
      <c r="F53" s="24" t="e">
        <f t="shared" si="2"/>
        <v>#DIV/0!</v>
      </c>
      <c r="H53" s="10"/>
      <c r="K53" s="112">
        <f t="shared" si="3"/>
        <v>0</v>
      </c>
      <c r="L53" s="23">
        <f t="shared" si="4"/>
        <v>0</v>
      </c>
      <c r="M53" s="23">
        <f t="shared" si="4"/>
        <v>0</v>
      </c>
      <c r="N53" s="111" t="e">
        <f t="shared" si="5"/>
        <v>#DIV/0!</v>
      </c>
      <c r="O53" s="111" t="e">
        <f t="shared" si="5"/>
        <v>#DIV/0!</v>
      </c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</row>
    <row r="54" spans="1:28" ht="15" customHeight="1" x14ac:dyDescent="0.2">
      <c r="A54" s="26"/>
      <c r="B54" s="26"/>
      <c r="C54" s="26"/>
      <c r="D54" s="24" t="e">
        <f t="shared" si="0"/>
        <v>#DIV/0!</v>
      </c>
      <c r="E54" s="25" t="e">
        <f t="shared" si="1"/>
        <v>#DIV/0!</v>
      </c>
      <c r="F54" s="24" t="e">
        <f t="shared" si="2"/>
        <v>#DIV/0!</v>
      </c>
      <c r="H54" s="10"/>
      <c r="K54" s="112">
        <f t="shared" si="3"/>
        <v>0</v>
      </c>
      <c r="L54" s="23">
        <f t="shared" si="4"/>
        <v>0</v>
      </c>
      <c r="M54" s="23">
        <f t="shared" si="4"/>
        <v>0</v>
      </c>
      <c r="N54" s="111" t="e">
        <f t="shared" si="5"/>
        <v>#DIV/0!</v>
      </c>
      <c r="O54" s="111" t="e">
        <f t="shared" si="5"/>
        <v>#DIV/0!</v>
      </c>
    </row>
    <row r="55" spans="1:28" ht="15" customHeight="1" x14ac:dyDescent="0.2">
      <c r="A55" s="26"/>
      <c r="B55" s="26"/>
      <c r="C55" s="26"/>
      <c r="D55" s="24" t="e">
        <f t="shared" si="0"/>
        <v>#DIV/0!</v>
      </c>
      <c r="E55" s="25" t="e">
        <f t="shared" si="1"/>
        <v>#DIV/0!</v>
      </c>
      <c r="F55" s="24" t="e">
        <f t="shared" si="2"/>
        <v>#DIV/0!</v>
      </c>
      <c r="H55" s="10"/>
      <c r="K55" s="112">
        <f t="shared" si="3"/>
        <v>0</v>
      </c>
      <c r="L55" s="23">
        <f t="shared" si="4"/>
        <v>0</v>
      </c>
      <c r="M55" s="23">
        <f t="shared" si="4"/>
        <v>0</v>
      </c>
      <c r="N55" s="111" t="e">
        <f t="shared" si="5"/>
        <v>#DIV/0!</v>
      </c>
      <c r="O55" s="111" t="e">
        <f t="shared" si="5"/>
        <v>#DIV/0!</v>
      </c>
    </row>
    <row r="56" spans="1:28" ht="15" customHeight="1" x14ac:dyDescent="0.2">
      <c r="A56" s="26"/>
      <c r="B56" s="26"/>
      <c r="C56" s="26"/>
      <c r="D56" s="24" t="e">
        <f t="shared" si="0"/>
        <v>#DIV/0!</v>
      </c>
      <c r="E56" s="25" t="e">
        <f t="shared" si="1"/>
        <v>#DIV/0!</v>
      </c>
      <c r="F56" s="24" t="e">
        <f t="shared" si="2"/>
        <v>#DIV/0!</v>
      </c>
      <c r="H56" s="10"/>
      <c r="K56" s="112">
        <f t="shared" si="3"/>
        <v>0</v>
      </c>
      <c r="L56" s="23">
        <f t="shared" si="4"/>
        <v>0</v>
      </c>
      <c r="M56" s="23">
        <f t="shared" si="4"/>
        <v>0</v>
      </c>
      <c r="N56" s="111" t="e">
        <f t="shared" si="5"/>
        <v>#DIV/0!</v>
      </c>
      <c r="O56" s="111" t="e">
        <f t="shared" si="5"/>
        <v>#DIV/0!</v>
      </c>
    </row>
    <row r="57" spans="1:28" ht="15" customHeight="1" x14ac:dyDescent="0.2">
      <c r="A57" s="26"/>
      <c r="B57" s="26"/>
      <c r="C57" s="26"/>
      <c r="D57" s="24" t="e">
        <f t="shared" si="0"/>
        <v>#DIV/0!</v>
      </c>
      <c r="E57" s="25" t="e">
        <f t="shared" si="1"/>
        <v>#DIV/0!</v>
      </c>
      <c r="F57" s="24" t="e">
        <f t="shared" si="2"/>
        <v>#DIV/0!</v>
      </c>
      <c r="H57" s="10"/>
      <c r="K57" s="112">
        <f t="shared" si="3"/>
        <v>0</v>
      </c>
      <c r="L57" s="23">
        <f t="shared" si="4"/>
        <v>0</v>
      </c>
      <c r="M57" s="23">
        <f t="shared" si="4"/>
        <v>0</v>
      </c>
      <c r="N57" s="111" t="e">
        <f t="shared" si="5"/>
        <v>#DIV/0!</v>
      </c>
      <c r="O57" s="111" t="e">
        <f t="shared" si="5"/>
        <v>#DIV/0!</v>
      </c>
    </row>
    <row r="58" spans="1:28" ht="15" customHeight="1" x14ac:dyDescent="0.2">
      <c r="A58" s="26"/>
      <c r="B58" s="26"/>
      <c r="C58" s="26"/>
      <c r="D58" s="24" t="e">
        <f t="shared" si="0"/>
        <v>#DIV/0!</v>
      </c>
      <c r="E58" s="25" t="e">
        <f t="shared" si="1"/>
        <v>#DIV/0!</v>
      </c>
      <c r="F58" s="24" t="e">
        <f t="shared" si="2"/>
        <v>#DIV/0!</v>
      </c>
      <c r="H58" s="10"/>
      <c r="K58" s="112">
        <f t="shared" si="3"/>
        <v>0</v>
      </c>
      <c r="L58" s="23">
        <f t="shared" si="4"/>
        <v>0</v>
      </c>
      <c r="M58" s="23">
        <f t="shared" si="4"/>
        <v>0</v>
      </c>
      <c r="N58" s="111" t="e">
        <f t="shared" si="5"/>
        <v>#DIV/0!</v>
      </c>
      <c r="O58" s="111" t="e">
        <f t="shared" si="5"/>
        <v>#DIV/0!</v>
      </c>
    </row>
    <row r="59" spans="1:28" ht="15" customHeight="1" x14ac:dyDescent="0.2">
      <c r="A59" s="19"/>
      <c r="B59" s="19"/>
      <c r="C59" s="19"/>
      <c r="D59" s="17"/>
      <c r="E59" s="18"/>
      <c r="F59" s="17"/>
      <c r="K59" s="13"/>
      <c r="L59" s="13"/>
      <c r="M59" s="13"/>
      <c r="N59" s="13"/>
      <c r="O59" s="13"/>
      <c r="P59" s="13"/>
    </row>
    <row r="60" spans="1:28" ht="15" customHeight="1" x14ac:dyDescent="0.2">
      <c r="A60" s="19"/>
      <c r="B60" s="19"/>
      <c r="C60" s="19"/>
      <c r="D60" s="17"/>
      <c r="E60" s="18"/>
      <c r="F60" s="17"/>
      <c r="K60" s="20" t="s">
        <v>48</v>
      </c>
      <c r="L60" s="13"/>
      <c r="M60" s="13"/>
      <c r="N60" s="13"/>
      <c r="O60" s="13"/>
      <c r="P60" s="13"/>
    </row>
    <row r="61" spans="1:28" ht="15" customHeight="1" x14ac:dyDescent="0.2">
      <c r="A61" s="19"/>
      <c r="B61" s="19"/>
      <c r="C61" s="19"/>
      <c r="D61" s="17"/>
      <c r="E61" s="18"/>
      <c r="F61" s="17"/>
      <c r="K61" s="21" t="s">
        <v>98</v>
      </c>
      <c r="L61" s="13"/>
      <c r="M61" s="13"/>
      <c r="N61" s="13"/>
      <c r="O61" s="13"/>
      <c r="P61" s="13"/>
    </row>
    <row r="62" spans="1:28" ht="15" customHeight="1" x14ac:dyDescent="0.2">
      <c r="A62" s="19"/>
      <c r="B62" s="19"/>
      <c r="C62" s="19"/>
      <c r="D62" s="17"/>
      <c r="E62" s="18"/>
      <c r="F62" s="17"/>
      <c r="J62" s="13"/>
      <c r="K62" s="21" t="s">
        <v>47</v>
      </c>
      <c r="L62" s="13"/>
      <c r="M62" s="13"/>
      <c r="N62" s="13"/>
      <c r="O62" s="13"/>
      <c r="P62" s="13"/>
    </row>
    <row r="63" spans="1:28" ht="15" customHeight="1" x14ac:dyDescent="0.2">
      <c r="A63" s="19"/>
      <c r="B63" s="19"/>
      <c r="C63" s="19"/>
      <c r="D63" s="17"/>
      <c r="E63" s="18"/>
      <c r="F63" s="17"/>
      <c r="J63" s="13"/>
      <c r="K63" s="16" t="s">
        <v>39</v>
      </c>
      <c r="L63" s="13"/>
      <c r="M63" s="13"/>
      <c r="N63" s="13"/>
      <c r="O63" s="13"/>
      <c r="P63" s="13"/>
    </row>
    <row r="64" spans="1:28" ht="15" customHeight="1" x14ac:dyDescent="0.2">
      <c r="A64" s="19"/>
      <c r="B64" s="19"/>
      <c r="C64" s="19"/>
      <c r="D64" s="17"/>
      <c r="E64" s="18"/>
      <c r="F64" s="17"/>
      <c r="J64" s="13"/>
      <c r="L64" s="13"/>
      <c r="M64" s="13"/>
      <c r="N64" s="13"/>
      <c r="O64" s="13"/>
      <c r="P64" s="13"/>
    </row>
    <row r="65" spans="1:16" ht="15" customHeight="1" x14ac:dyDescent="0.2">
      <c r="A65" s="19"/>
      <c r="B65" s="19"/>
      <c r="C65" s="19"/>
      <c r="D65" s="17"/>
      <c r="E65" s="18"/>
      <c r="F65" s="17"/>
      <c r="J65" s="13"/>
      <c r="K65" s="20" t="s">
        <v>46</v>
      </c>
      <c r="L65" s="13"/>
      <c r="M65" s="13"/>
      <c r="N65" s="13"/>
      <c r="O65" s="13"/>
      <c r="P65" s="13"/>
    </row>
    <row r="66" spans="1:16" ht="15" customHeight="1" x14ac:dyDescent="0.2">
      <c r="A66" s="19"/>
      <c r="B66" s="19"/>
      <c r="C66" s="19"/>
      <c r="D66" s="17"/>
      <c r="E66" s="18"/>
      <c r="F66" s="17"/>
      <c r="J66" s="13"/>
      <c r="K66" s="16" t="str">
        <f>+CONCATENATE("a. Velocidad de ensayo: ",C22, D22)</f>
        <v>a. Velocidad de ensayo:   MPa/s</v>
      </c>
      <c r="M66" s="14"/>
      <c r="N66" s="14"/>
      <c r="O66" s="15"/>
      <c r="P66" s="13"/>
    </row>
    <row r="67" spans="1:16" ht="15" customHeight="1" x14ac:dyDescent="0.25">
      <c r="A67" s="19"/>
      <c r="B67" s="19"/>
      <c r="C67" s="19"/>
      <c r="D67" s="17"/>
      <c r="E67" s="18"/>
      <c r="F67" s="17"/>
      <c r="J67" s="13"/>
      <c r="K67" s="16" t="s">
        <v>107</v>
      </c>
      <c r="M67" s="14"/>
      <c r="N67" s="14"/>
      <c r="O67" s="15"/>
      <c r="P67" s="13"/>
    </row>
    <row r="68" spans="1:16" ht="15" customHeight="1" x14ac:dyDescent="0.2">
      <c r="J68" s="13"/>
      <c r="M68" s="14"/>
      <c r="N68" s="14"/>
      <c r="P68" s="13"/>
    </row>
    <row r="69" spans="1:16" ht="15" customHeight="1" x14ac:dyDescent="0.2">
      <c r="J69" s="13"/>
      <c r="M69" s="14"/>
      <c r="N69" s="14"/>
    </row>
    <row r="70" spans="1:16" ht="15" customHeight="1" x14ac:dyDescent="0.2">
      <c r="J70" s="13"/>
      <c r="M70" s="14"/>
      <c r="N70" s="14"/>
    </row>
    <row r="71" spans="1:16" ht="15" customHeight="1" x14ac:dyDescent="0.2">
      <c r="J71" s="13"/>
    </row>
    <row r="72" spans="1:16" ht="15" customHeight="1" x14ac:dyDescent="0.2">
      <c r="J72" s="13"/>
    </row>
    <row r="73" spans="1:16" ht="15" customHeight="1" x14ac:dyDescent="0.2">
      <c r="J73" s="13"/>
    </row>
    <row r="74" spans="1:16" ht="15" customHeight="1" x14ac:dyDescent="0.2">
      <c r="J74" s="13"/>
    </row>
    <row r="75" spans="1:16" ht="15" customHeight="1" x14ac:dyDescent="0.2">
      <c r="J75" s="13"/>
    </row>
    <row r="76" spans="1:16" ht="15" customHeight="1" x14ac:dyDescent="0.2">
      <c r="J76" s="13"/>
    </row>
    <row r="77" spans="1:16" ht="15" customHeight="1" x14ac:dyDescent="0.2"/>
    <row r="78" spans="1:16" ht="15" customHeight="1" x14ac:dyDescent="0.2"/>
    <row r="79" spans="1:16" ht="15" customHeight="1" x14ac:dyDescent="0.2"/>
    <row r="80" spans="1:16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" customHeight="1" x14ac:dyDescent="0.2"/>
    <row r="610" ht="1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" customHeight="1" x14ac:dyDescent="0.2"/>
    <row r="664" ht="1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" customHeight="1" x14ac:dyDescent="0.2"/>
    <row r="718" ht="1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" customHeight="1" x14ac:dyDescent="0.2"/>
    <row r="772" ht="1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" customHeight="1" x14ac:dyDescent="0.2"/>
    <row r="826" ht="1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</sheetData>
  <sheetProtection formatCells="0" formatColumns="0" formatRows="0"/>
  <mergeCells count="10">
    <mergeCell ref="Q53:AB53"/>
    <mergeCell ref="Q1:AB1"/>
    <mergeCell ref="L6:O6"/>
    <mergeCell ref="L7:O7"/>
    <mergeCell ref="AD8:AE8"/>
    <mergeCell ref="AD9:AE9"/>
    <mergeCell ref="AD11:AE13"/>
    <mergeCell ref="L23:M23"/>
    <mergeCell ref="L24:L25"/>
    <mergeCell ref="M24:M25"/>
  </mergeCells>
  <conditionalFormatting sqref="C2">
    <cfRule type="cellIs" dxfId="12" priority="6" operator="greaterThan">
      <formula>0</formula>
    </cfRule>
  </conditionalFormatting>
  <conditionalFormatting sqref="C3:C7">
    <cfRule type="cellIs" dxfId="11" priority="5" operator="greaterThan">
      <formula>0</formula>
    </cfRule>
  </conditionalFormatting>
  <conditionalFormatting sqref="C9:C20">
    <cfRule type="cellIs" dxfId="10" priority="4" operator="greaterThan">
      <formula>0</formula>
    </cfRule>
  </conditionalFormatting>
  <conditionalFormatting sqref="C22">
    <cfRule type="cellIs" dxfId="9" priority="3" operator="greaterThan">
      <formula>0</formula>
    </cfRule>
  </conditionalFormatting>
  <conditionalFormatting sqref="G18:G20">
    <cfRule type="cellIs" dxfId="8" priority="2" operator="greaterThan">
      <formula>0</formula>
    </cfRule>
  </conditionalFormatting>
  <conditionalFormatting sqref="G7:G8">
    <cfRule type="cellIs" dxfId="7" priority="1" operator="greaterThan">
      <formula>0</formula>
    </cfRule>
  </conditionalFormatting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nsertarFotos">
                <anchor>
                  <from>
                    <xdr:col>29</xdr:col>
                    <xdr:colOff>590550</xdr:colOff>
                    <xdr:row>0</xdr:row>
                    <xdr:rowOff>123825</xdr:rowOff>
                  </from>
                  <to>
                    <xdr:col>30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92D050"/>
  </sheetPr>
  <dimension ref="A1:AV870"/>
  <sheetViews>
    <sheetView tabSelected="1" topLeftCell="H1" zoomScaleNormal="100" workbookViewId="0">
      <selection activeCell="I9" sqref="I9:I10"/>
    </sheetView>
  </sheetViews>
  <sheetFormatPr baseColWidth="10" defaultRowHeight="12" x14ac:dyDescent="0.2"/>
  <cols>
    <col min="1" max="3" width="12.5" style="10" customWidth="1"/>
    <col min="4" max="5" width="13.125" style="10" customWidth="1"/>
    <col min="6" max="6" width="23.625" style="10" customWidth="1"/>
    <col min="7" max="7" width="11" style="10"/>
    <col min="8" max="9" width="11" style="13"/>
    <col min="10" max="10" width="3.25" style="10" customWidth="1"/>
    <col min="11" max="11" width="23.125" style="10" customWidth="1"/>
    <col min="12" max="13" width="11.125" style="10" customWidth="1"/>
    <col min="14" max="14" width="27.25" style="10" customWidth="1"/>
    <col min="15" max="15" width="24" style="10" customWidth="1"/>
    <col min="16" max="16" width="2.5" style="10" customWidth="1"/>
    <col min="17" max="17" width="9.375" style="12" customWidth="1"/>
    <col min="18" max="19" width="11" style="12"/>
    <col min="20" max="20" width="17.875" style="12" customWidth="1"/>
    <col min="21" max="24" width="11" style="12"/>
    <col min="25" max="25" width="5.125" style="12" customWidth="1"/>
    <col min="26" max="26" width="1.5" style="12" customWidth="1"/>
    <col min="27" max="27" width="6.625" style="12" customWidth="1"/>
    <col min="28" max="28" width="9.375" style="12" customWidth="1"/>
    <col min="29" max="29" width="11" style="12"/>
    <col min="30" max="30" width="21.75" style="10" customWidth="1"/>
    <col min="31" max="31" width="10.375" style="10" customWidth="1"/>
    <col min="32" max="32" width="7.25" style="10" customWidth="1"/>
    <col min="33" max="33" width="11" style="11"/>
    <col min="34" max="34" width="10" style="11" customWidth="1"/>
    <col min="35" max="45" width="11" style="11"/>
    <col min="46" max="16384" width="11" style="10"/>
  </cols>
  <sheetData>
    <row r="1" spans="1:48" ht="15" customHeight="1" x14ac:dyDescent="0.2">
      <c r="K1" s="106" t="s">
        <v>97</v>
      </c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</row>
    <row r="2" spans="1:48" ht="15" customHeight="1" x14ac:dyDescent="0.2">
      <c r="A2" s="95" t="s">
        <v>87</v>
      </c>
      <c r="B2" s="44"/>
      <c r="C2" s="107">
        <v>45156</v>
      </c>
      <c r="E2" s="105" t="s">
        <v>32</v>
      </c>
      <c r="F2" s="104"/>
      <c r="G2" s="104"/>
      <c r="H2" s="103"/>
      <c r="I2" s="91"/>
    </row>
    <row r="3" spans="1:48" ht="15" customHeight="1" x14ac:dyDescent="0.2">
      <c r="A3" s="79" t="s">
        <v>85</v>
      </c>
      <c r="B3" s="44"/>
      <c r="C3" s="107">
        <v>45156</v>
      </c>
      <c r="E3" s="102" t="s">
        <v>34</v>
      </c>
      <c r="F3" s="101"/>
      <c r="G3" s="101"/>
      <c r="H3" s="100"/>
      <c r="I3" s="91"/>
      <c r="K3" s="99" t="s">
        <v>0</v>
      </c>
      <c r="L3" s="98" t="str">
        <f>+'Ingreso Datos'!C2</f>
        <v>C1BH-L12-L10-3+760-L</v>
      </c>
      <c r="M3" s="74"/>
      <c r="N3" s="74"/>
      <c r="O3" s="73"/>
      <c r="P3" s="72"/>
      <c r="Q3" s="72"/>
      <c r="AI3" s="84" t="s">
        <v>44</v>
      </c>
      <c r="AJ3" s="97" t="str">
        <f>+L3</f>
        <v>C1BH-L12-L10-3+760-L</v>
      </c>
      <c r="AK3" s="81"/>
      <c r="AL3" s="84" t="s">
        <v>96</v>
      </c>
      <c r="AM3" s="81"/>
      <c r="AN3" s="81" t="str">
        <f>+CONCATENATE(AI3," : ",AJ3)</f>
        <v>PROYECTO : C1BH-L12-L10-3+760-L</v>
      </c>
      <c r="AO3" s="81"/>
      <c r="AP3" s="81"/>
      <c r="AQ3" s="81"/>
      <c r="AR3" s="81"/>
      <c r="AS3" s="81"/>
      <c r="AT3" s="80"/>
      <c r="AU3" s="80"/>
      <c r="AV3" s="96" t="s">
        <v>95</v>
      </c>
    </row>
    <row r="4" spans="1:48" ht="15" customHeight="1" thickBot="1" x14ac:dyDescent="0.25">
      <c r="A4" s="95" t="s">
        <v>1</v>
      </c>
      <c r="B4" s="44"/>
      <c r="C4" s="40" t="s">
        <v>110</v>
      </c>
      <c r="E4" s="94" t="s">
        <v>33</v>
      </c>
      <c r="F4" s="93"/>
      <c r="G4" s="93"/>
      <c r="H4" s="92"/>
      <c r="I4" s="91"/>
      <c r="K4" s="88" t="s">
        <v>94</v>
      </c>
      <c r="L4" s="90" t="str">
        <f>+'Ingreso Datos'!C3</f>
        <v>1.913.481-A</v>
      </c>
      <c r="M4" s="74"/>
      <c r="N4" s="74"/>
      <c r="O4" s="73"/>
      <c r="P4" s="72"/>
      <c r="Q4" s="72"/>
      <c r="AI4" s="84" t="s">
        <v>45</v>
      </c>
      <c r="AJ4" s="89" t="str">
        <f>+L9</f>
        <v>C1BH-L12-L10-3+760-L (7,20-7,40)</v>
      </c>
      <c r="AK4" s="81"/>
      <c r="AL4" s="81"/>
      <c r="AM4" s="81"/>
      <c r="AN4" s="81" t="str">
        <f>+CONCATENATE(AI4," : ",AJ4)</f>
        <v>MUESTRA : C1BH-L12-L10-3+760-L (7,20-7,40)</v>
      </c>
      <c r="AO4" s="81"/>
      <c r="AP4" s="81"/>
      <c r="AQ4" s="81"/>
      <c r="AR4" s="81"/>
      <c r="AS4" s="81"/>
      <c r="AT4" s="80"/>
      <c r="AU4" s="80"/>
      <c r="AV4" s="80"/>
    </row>
    <row r="5" spans="1:48" ht="15" customHeight="1" x14ac:dyDescent="0.2">
      <c r="A5" s="79" t="s">
        <v>93</v>
      </c>
      <c r="B5" s="44"/>
      <c r="C5" s="40" t="s">
        <v>114</v>
      </c>
      <c r="K5" s="88" t="s">
        <v>7</v>
      </c>
      <c r="L5" s="87" t="str">
        <f>+'Ingreso Datos'!C4</f>
        <v>-</v>
      </c>
      <c r="M5" s="74"/>
      <c r="N5" s="74"/>
      <c r="O5" s="73"/>
      <c r="P5" s="72"/>
      <c r="Q5" s="72"/>
      <c r="AD5" s="86" t="s">
        <v>92</v>
      </c>
      <c r="AE5" s="85" t="s">
        <v>91</v>
      </c>
      <c r="AH5" s="11" t="str">
        <f>CONCATENATE("PROYECTO: ",L3)</f>
        <v>PROYECTO: C1BH-L12-L10-3+760-L</v>
      </c>
      <c r="AI5" s="84" t="s">
        <v>90</v>
      </c>
      <c r="AJ5" s="84" t="s">
        <v>89</v>
      </c>
      <c r="AK5" s="81"/>
      <c r="AL5" s="81"/>
      <c r="AM5" s="81"/>
      <c r="AN5" s="81" t="str">
        <f>+CONCATENATE(AI5," : ",AJ5)</f>
        <v>ENSAYO :  COMPRESION UNIAXIAL CON MODULO</v>
      </c>
      <c r="AO5" s="81"/>
      <c r="AP5" s="81"/>
      <c r="AQ5" s="81"/>
      <c r="AR5" s="81"/>
      <c r="AS5" s="81"/>
      <c r="AT5" s="80"/>
      <c r="AU5" s="80"/>
      <c r="AV5" s="80"/>
    </row>
    <row r="6" spans="1:48" ht="15" customHeight="1" thickBot="1" x14ac:dyDescent="0.25">
      <c r="A6" s="79" t="s">
        <v>88</v>
      </c>
      <c r="B6" s="44"/>
      <c r="C6" s="40" t="s">
        <v>112</v>
      </c>
      <c r="K6" s="69" t="s">
        <v>87</v>
      </c>
      <c r="L6" s="118">
        <f>+C2</f>
        <v>45156</v>
      </c>
      <c r="M6" s="119"/>
      <c r="N6" s="119"/>
      <c r="O6" s="120"/>
      <c r="P6" s="72"/>
      <c r="Q6" s="72"/>
      <c r="AD6" s="83" t="s">
        <v>86</v>
      </c>
      <c r="AE6" s="82">
        <v>3</v>
      </c>
      <c r="AH6" s="11" t="str">
        <f>CONCATENATE("MUESTRA: ",L9)</f>
        <v>MUESTRA: C1BH-L12-L10-3+760-L (7,20-7,40)</v>
      </c>
      <c r="AK6" s="81"/>
      <c r="AL6" s="81"/>
      <c r="AM6" s="81"/>
      <c r="AN6" s="81"/>
      <c r="AO6" s="81"/>
      <c r="AP6" s="81"/>
      <c r="AQ6" s="81"/>
      <c r="AR6" s="81"/>
      <c r="AS6" s="81"/>
      <c r="AT6" s="80"/>
      <c r="AU6" s="80"/>
      <c r="AV6" s="80"/>
    </row>
    <row r="7" spans="1:48" ht="15" customHeight="1" thickBot="1" x14ac:dyDescent="0.25">
      <c r="A7" s="79" t="s">
        <v>12</v>
      </c>
      <c r="B7" s="44"/>
      <c r="C7" s="40" t="s">
        <v>113</v>
      </c>
      <c r="E7" s="53" t="s">
        <v>99</v>
      </c>
      <c r="F7" s="44"/>
      <c r="G7" s="40" t="s">
        <v>106</v>
      </c>
      <c r="K7" s="69" t="s">
        <v>85</v>
      </c>
      <c r="L7" s="118">
        <f>+C3</f>
        <v>45156</v>
      </c>
      <c r="M7" s="119"/>
      <c r="N7" s="119"/>
      <c r="O7" s="120"/>
      <c r="P7" s="72"/>
      <c r="Q7" s="72"/>
    </row>
    <row r="8" spans="1:48" ht="15" customHeight="1" x14ac:dyDescent="0.2">
      <c r="E8" s="50" t="s">
        <v>100</v>
      </c>
      <c r="F8" s="44"/>
      <c r="G8" s="40" t="s">
        <v>106</v>
      </c>
      <c r="K8" s="78"/>
      <c r="L8" s="77"/>
      <c r="P8" s="72"/>
      <c r="Q8" s="72"/>
      <c r="AD8" s="121" t="s">
        <v>84</v>
      </c>
      <c r="AE8" s="122"/>
    </row>
    <row r="9" spans="1:48" ht="15" customHeight="1" thickBot="1" x14ac:dyDescent="0.25">
      <c r="A9" s="50" t="s">
        <v>13</v>
      </c>
      <c r="B9" s="44"/>
      <c r="C9" s="40">
        <v>6.12</v>
      </c>
      <c r="D9" s="10" t="s">
        <v>25</v>
      </c>
      <c r="E9" s="45" t="s">
        <v>37</v>
      </c>
      <c r="F9" s="44">
        <f>+ROUND(AVERAGE(C9:C17),1)*10</f>
        <v>61</v>
      </c>
      <c r="G9" s="76" t="str">
        <f>+CONCATENATE("D",F9)</f>
        <v>D61</v>
      </c>
      <c r="K9" s="69" t="s">
        <v>83</v>
      </c>
      <c r="L9" s="75" t="str">
        <f>C4</f>
        <v>C1BH-L12-L10-3+760-L (7,20-7,40)</v>
      </c>
      <c r="M9" s="74"/>
      <c r="N9" s="74"/>
      <c r="O9" s="73"/>
      <c r="P9" s="72"/>
      <c r="Q9" s="72"/>
      <c r="AD9" s="123" t="s">
        <v>82</v>
      </c>
      <c r="AE9" s="124"/>
    </row>
    <row r="10" spans="1:48" ht="15" customHeight="1" thickBot="1" x14ac:dyDescent="0.25">
      <c r="A10" s="50" t="s">
        <v>14</v>
      </c>
      <c r="B10" s="44"/>
      <c r="C10" s="40">
        <v>6.12</v>
      </c>
      <c r="D10" s="10" t="s">
        <v>25</v>
      </c>
      <c r="E10" s="45" t="s">
        <v>35</v>
      </c>
      <c r="F10" s="44"/>
      <c r="G10" s="71">
        <f>C18/AVERAGE(C9:C17)</f>
        <v>2.1094771241830066</v>
      </c>
      <c r="K10" s="69" t="s">
        <v>10</v>
      </c>
      <c r="L10" s="68" t="str">
        <f>C5</f>
        <v>Toba de lapilli lítica</v>
      </c>
      <c r="M10" s="70"/>
      <c r="N10" s="66"/>
      <c r="O10" s="65"/>
      <c r="P10" s="12"/>
    </row>
    <row r="11" spans="1:48" ht="15" customHeight="1" x14ac:dyDescent="0.2">
      <c r="A11" s="50" t="s">
        <v>15</v>
      </c>
      <c r="B11" s="44"/>
      <c r="C11" s="40">
        <v>6.11</v>
      </c>
      <c r="D11" s="10" t="s">
        <v>25</v>
      </c>
      <c r="E11" s="50" t="s">
        <v>81</v>
      </c>
      <c r="F11" s="44"/>
      <c r="G11" s="59">
        <f>(AVERAGE(C9:C11))*10</f>
        <v>61.166666666666671</v>
      </c>
      <c r="H11" s="42" t="s">
        <v>28</v>
      </c>
      <c r="I11" s="42"/>
      <c r="K11" s="69" t="s">
        <v>11</v>
      </c>
      <c r="L11" s="68" t="str">
        <f>C6</f>
        <v>No presenta</v>
      </c>
      <c r="M11" s="67"/>
      <c r="N11" s="66"/>
      <c r="O11" s="65"/>
      <c r="P11" s="12"/>
      <c r="AD11" s="125" t="s">
        <v>80</v>
      </c>
      <c r="AE11" s="126"/>
    </row>
    <row r="12" spans="1:48" ht="15" customHeight="1" x14ac:dyDescent="0.2">
      <c r="A12" s="50" t="s">
        <v>17</v>
      </c>
      <c r="B12" s="44"/>
      <c r="C12" s="40">
        <v>6.12</v>
      </c>
      <c r="D12" s="10" t="s">
        <v>25</v>
      </c>
      <c r="E12" s="50" t="s">
        <v>79</v>
      </c>
      <c r="F12" s="44"/>
      <c r="G12" s="59">
        <f>(AVERAGE(C12:C14))*10</f>
        <v>61.2</v>
      </c>
      <c r="H12" s="42" t="s">
        <v>28</v>
      </c>
      <c r="I12" s="42"/>
      <c r="K12" s="69" t="s">
        <v>12</v>
      </c>
      <c r="L12" s="68" t="str">
        <f>C7</f>
        <v>Oxidación y zeolitización</v>
      </c>
      <c r="M12" s="67"/>
      <c r="N12" s="66"/>
      <c r="O12" s="65"/>
      <c r="P12" s="12"/>
      <c r="AD12" s="127"/>
      <c r="AE12" s="128"/>
    </row>
    <row r="13" spans="1:48" ht="15" customHeight="1" thickBot="1" x14ac:dyDescent="0.25">
      <c r="A13" s="50" t="s">
        <v>18</v>
      </c>
      <c r="B13" s="44"/>
      <c r="C13" s="40">
        <v>6.12</v>
      </c>
      <c r="D13" s="62" t="s">
        <v>25</v>
      </c>
      <c r="E13" s="50" t="s">
        <v>78</v>
      </c>
      <c r="F13" s="44"/>
      <c r="G13" s="59">
        <f>(AVERAGE(C15:C17))*10</f>
        <v>61.233333333333341</v>
      </c>
      <c r="H13" s="42" t="s">
        <v>28</v>
      </c>
      <c r="I13" s="42"/>
      <c r="P13" s="12"/>
      <c r="AD13" s="129"/>
      <c r="AE13" s="130"/>
    </row>
    <row r="14" spans="1:48" ht="15" customHeight="1" x14ac:dyDescent="0.2">
      <c r="A14" s="50" t="s">
        <v>19</v>
      </c>
      <c r="B14" s="44"/>
      <c r="C14" s="40">
        <v>6.12</v>
      </c>
      <c r="D14" s="10" t="s">
        <v>25</v>
      </c>
      <c r="E14" s="50" t="s">
        <v>16</v>
      </c>
      <c r="F14" s="44"/>
      <c r="G14" s="59">
        <f>(((G11/2)^2*PI())+(((G12/2)^2*PI())*4)+((G13/2)^2*PI()))/6</f>
        <v>2941.6619880035482</v>
      </c>
      <c r="H14" s="42" t="s">
        <v>77</v>
      </c>
      <c r="I14" s="42"/>
      <c r="K14" s="64" t="s">
        <v>76</v>
      </c>
      <c r="N14" s="63" t="s">
        <v>75</v>
      </c>
    </row>
    <row r="15" spans="1:48" ht="15" customHeight="1" x14ac:dyDescent="0.2">
      <c r="A15" s="50" t="s">
        <v>20</v>
      </c>
      <c r="B15" s="44"/>
      <c r="C15" s="40">
        <v>6.12</v>
      </c>
      <c r="D15" s="10" t="s">
        <v>25</v>
      </c>
      <c r="E15" s="51" t="s">
        <v>3</v>
      </c>
      <c r="F15" s="44"/>
      <c r="G15" s="59">
        <f>(H19*C21)</f>
        <v>379.37630353797493</v>
      </c>
      <c r="H15" s="42" t="s">
        <v>29</v>
      </c>
      <c r="I15" s="42"/>
      <c r="K15" s="48" t="s">
        <v>74</v>
      </c>
      <c r="L15" s="61">
        <f>AVERAGE(G11:G13)/10</f>
        <v>6.120000000000001</v>
      </c>
      <c r="N15" s="48" t="s">
        <v>101</v>
      </c>
      <c r="O15" s="110">
        <f>MAX(O26:O500)</f>
        <v>30.141049334690916</v>
      </c>
    </row>
    <row r="16" spans="1:48" ht="15" customHeight="1" x14ac:dyDescent="0.2">
      <c r="A16" s="50" t="s">
        <v>21</v>
      </c>
      <c r="B16" s="44"/>
      <c r="C16" s="40">
        <v>6.12</v>
      </c>
      <c r="D16" s="62" t="s">
        <v>25</v>
      </c>
      <c r="E16" s="50" t="s">
        <v>6</v>
      </c>
      <c r="F16" s="44"/>
      <c r="G16" s="59">
        <f>(G18/G15)</f>
        <v>2.5573025804519878</v>
      </c>
      <c r="H16" s="42" t="s">
        <v>30</v>
      </c>
      <c r="I16" s="42"/>
      <c r="K16" s="48" t="s">
        <v>73</v>
      </c>
      <c r="L16" s="61">
        <f>AVERAGE(C18:C20)</f>
        <v>12.896666666666668</v>
      </c>
      <c r="N16" s="60" t="s">
        <v>102</v>
      </c>
      <c r="O16" s="108">
        <f>SLOPE(O35:O40,M35:M40)*100</f>
        <v>2508.8120881117748</v>
      </c>
      <c r="P16" s="58"/>
      <c r="Q16" s="57"/>
    </row>
    <row r="17" spans="1:17" ht="15" customHeight="1" x14ac:dyDescent="0.2">
      <c r="A17" s="50" t="s">
        <v>22</v>
      </c>
      <c r="B17" s="44"/>
      <c r="C17" s="40">
        <v>6.13</v>
      </c>
      <c r="D17" s="10" t="s">
        <v>25</v>
      </c>
      <c r="E17" s="50" t="s">
        <v>4</v>
      </c>
      <c r="F17" s="44"/>
      <c r="G17" s="59">
        <f>(G16/((G20+100)))*100</f>
        <v>2.5192617283538445</v>
      </c>
      <c r="H17" s="42" t="s">
        <v>30</v>
      </c>
      <c r="I17" s="42"/>
      <c r="K17" s="48" t="s">
        <v>72</v>
      </c>
      <c r="L17" s="47">
        <f>G18</f>
        <v>970.18</v>
      </c>
      <c r="M17" s="12"/>
      <c r="N17" s="48" t="s">
        <v>71</v>
      </c>
      <c r="O17" s="22">
        <f>SLOPE(L35:L40,M35:M40)*-1</f>
        <v>9.8197865260597914E-2</v>
      </c>
      <c r="P17" s="58"/>
      <c r="Q17" s="57"/>
    </row>
    <row r="18" spans="1:17" ht="15" customHeight="1" x14ac:dyDescent="0.2">
      <c r="A18" s="51" t="s">
        <v>70</v>
      </c>
      <c r="B18" s="44"/>
      <c r="C18" s="40">
        <v>12.91</v>
      </c>
      <c r="D18" s="10" t="s">
        <v>25</v>
      </c>
      <c r="E18" s="51" t="s">
        <v>2</v>
      </c>
      <c r="F18" s="44"/>
      <c r="G18" s="40">
        <v>970.18</v>
      </c>
      <c r="H18" s="13" t="s">
        <v>26</v>
      </c>
      <c r="K18" s="48" t="s">
        <v>69</v>
      </c>
      <c r="L18" s="47">
        <f>G16</f>
        <v>2.5573025804519878</v>
      </c>
      <c r="M18" s="12"/>
      <c r="N18" s="56" t="s">
        <v>67</v>
      </c>
      <c r="O18" s="55" t="str">
        <f>G19</f>
        <v>Matriz (Tipo A)</v>
      </c>
      <c r="P18" s="54"/>
      <c r="Q18" s="54"/>
    </row>
    <row r="19" spans="1:17" ht="15" customHeight="1" x14ac:dyDescent="0.2">
      <c r="A19" s="51" t="s">
        <v>68</v>
      </c>
      <c r="B19" s="44"/>
      <c r="C19" s="40">
        <v>12.9</v>
      </c>
      <c r="D19" s="10" t="s">
        <v>25</v>
      </c>
      <c r="E19" s="53" t="s">
        <v>67</v>
      </c>
      <c r="F19" s="44"/>
      <c r="G19" s="40" t="s">
        <v>111</v>
      </c>
      <c r="H19" s="52">
        <f>(((AVERAGE(C9:C17)/2)^2)*PI())</f>
        <v>29.416616971153388</v>
      </c>
      <c r="I19" s="52"/>
      <c r="K19" s="48" t="s">
        <v>66</v>
      </c>
      <c r="L19" s="47">
        <f>G17</f>
        <v>2.5192617283538445</v>
      </c>
      <c r="M19" s="12"/>
      <c r="P19" s="41"/>
      <c r="Q19" s="41"/>
    </row>
    <row r="20" spans="1:17" ht="15" customHeight="1" x14ac:dyDescent="0.2">
      <c r="A20" s="51" t="s">
        <v>65</v>
      </c>
      <c r="B20" s="44"/>
      <c r="C20" s="40">
        <v>12.88</v>
      </c>
      <c r="D20" s="10" t="s">
        <v>25</v>
      </c>
      <c r="E20" s="50" t="s">
        <v>9</v>
      </c>
      <c r="F20" s="44"/>
      <c r="G20" s="40">
        <v>1.51</v>
      </c>
      <c r="H20" s="49" t="s">
        <v>27</v>
      </c>
      <c r="I20" s="49"/>
      <c r="K20" s="48" t="s">
        <v>64</v>
      </c>
      <c r="L20" s="47">
        <f>G20</f>
        <v>1.51</v>
      </c>
      <c r="M20" s="12"/>
      <c r="P20" s="41"/>
      <c r="Q20" s="41"/>
    </row>
    <row r="21" spans="1:17" ht="15" customHeight="1" x14ac:dyDescent="0.2">
      <c r="A21" s="10" t="s">
        <v>63</v>
      </c>
      <c r="C21" s="46">
        <f>+AVERAGE(C18:C20)</f>
        <v>12.896666666666668</v>
      </c>
      <c r="D21" s="10" t="s">
        <v>25</v>
      </c>
      <c r="E21" s="45" t="s">
        <v>62</v>
      </c>
      <c r="F21" s="44"/>
      <c r="G21" s="43">
        <f>H19</f>
        <v>29.416616971153388</v>
      </c>
      <c r="H21" s="42" t="s">
        <v>61</v>
      </c>
      <c r="I21" s="42"/>
      <c r="P21" s="41"/>
      <c r="Q21" s="41"/>
    </row>
    <row r="22" spans="1:17" ht="15" customHeight="1" x14ac:dyDescent="0.2">
      <c r="A22" s="10" t="s">
        <v>38</v>
      </c>
      <c r="C22" s="109">
        <v>0.5</v>
      </c>
      <c r="D22" s="10" t="s">
        <v>105</v>
      </c>
      <c r="E22" s="10" t="s">
        <v>60</v>
      </c>
      <c r="G22" s="10">
        <f>((G11+G12+G13)/3)/10</f>
        <v>6.120000000000001</v>
      </c>
      <c r="K22" s="39" t="s">
        <v>59</v>
      </c>
      <c r="P22" s="15"/>
      <c r="Q22" s="15"/>
    </row>
    <row r="23" spans="1:17" ht="15" customHeight="1" x14ac:dyDescent="0.2">
      <c r="A23" s="38" t="s">
        <v>58</v>
      </c>
      <c r="B23" s="38" t="s">
        <v>5</v>
      </c>
      <c r="C23" s="38" t="s">
        <v>5</v>
      </c>
      <c r="D23" s="35" t="s">
        <v>23</v>
      </c>
      <c r="E23" s="37" t="s">
        <v>24</v>
      </c>
      <c r="F23" s="36" t="s">
        <v>24</v>
      </c>
      <c r="K23" s="35" t="s">
        <v>57</v>
      </c>
      <c r="L23" s="131" t="s">
        <v>5</v>
      </c>
      <c r="M23" s="132"/>
      <c r="N23" s="35" t="s">
        <v>24</v>
      </c>
      <c r="O23" s="35" t="s">
        <v>24</v>
      </c>
      <c r="P23" s="15"/>
      <c r="Q23" s="15"/>
    </row>
    <row r="24" spans="1:17" ht="15" customHeight="1" x14ac:dyDescent="0.2">
      <c r="A24" s="34" t="s">
        <v>56</v>
      </c>
      <c r="B24" s="33" t="s">
        <v>55</v>
      </c>
      <c r="C24" s="32" t="s">
        <v>54</v>
      </c>
      <c r="D24" s="32" t="s">
        <v>54</v>
      </c>
      <c r="E24" s="33" t="s">
        <v>53</v>
      </c>
      <c r="F24" s="32" t="s">
        <v>36</v>
      </c>
      <c r="K24" s="31" t="s">
        <v>52</v>
      </c>
      <c r="L24" s="133" t="s">
        <v>51</v>
      </c>
      <c r="M24" s="135" t="s">
        <v>50</v>
      </c>
      <c r="N24" s="31" t="s">
        <v>104</v>
      </c>
      <c r="O24" s="31" t="s">
        <v>104</v>
      </c>
      <c r="P24" s="15"/>
      <c r="Q24" s="15"/>
    </row>
    <row r="25" spans="1:17" ht="15" customHeight="1" x14ac:dyDescent="0.2">
      <c r="A25" s="30" t="s">
        <v>31</v>
      </c>
      <c r="B25" s="30" t="s">
        <v>49</v>
      </c>
      <c r="C25" s="30" t="s">
        <v>49</v>
      </c>
      <c r="D25" s="30" t="s">
        <v>8</v>
      </c>
      <c r="E25" s="30" t="s">
        <v>8</v>
      </c>
      <c r="F25" s="30" t="s">
        <v>8</v>
      </c>
      <c r="K25" s="28" t="s">
        <v>103</v>
      </c>
      <c r="L25" s="134"/>
      <c r="M25" s="136"/>
      <c r="N25" s="29" t="str">
        <f>G9</f>
        <v>D61</v>
      </c>
      <c r="O25" s="28" t="s">
        <v>36</v>
      </c>
      <c r="P25" s="15"/>
      <c r="Q25" s="15"/>
    </row>
    <row r="26" spans="1:17" ht="15" customHeight="1" x14ac:dyDescent="0.2">
      <c r="A26" s="26">
        <v>0</v>
      </c>
      <c r="B26" s="26">
        <v>0</v>
      </c>
      <c r="C26" s="26">
        <v>0</v>
      </c>
      <c r="D26" s="24">
        <f t="shared" ref="D26:D58" si="0">((((A26*1000)/G$14)))</f>
        <v>0</v>
      </c>
      <c r="E26" s="25">
        <f t="shared" ref="E26:E58" si="1">IF((C$21/G$22)&gt;2.5,(D26/(0.88+(0.222*(C$21/G$22)))),D26*1)</f>
        <v>0</v>
      </c>
      <c r="F26" s="24">
        <f t="shared" ref="F26:F58" si="2">E26*((AVERAGE(G$11:G$13)/50)^0.2)</f>
        <v>0</v>
      </c>
      <c r="H26" s="10"/>
      <c r="K26" s="112">
        <f t="shared" ref="K26:K58" si="3">+A26</f>
        <v>0</v>
      </c>
      <c r="L26" s="23">
        <f t="shared" ref="L26:M58" si="4">+(B26/10^6)*100</f>
        <v>0</v>
      </c>
      <c r="M26" s="23">
        <f t="shared" si="4"/>
        <v>0</v>
      </c>
      <c r="N26" s="111">
        <f t="shared" ref="N26:O58" si="5">E26</f>
        <v>0</v>
      </c>
      <c r="O26" s="111">
        <f t="shared" si="5"/>
        <v>0</v>
      </c>
      <c r="P26" s="15"/>
      <c r="Q26" s="15"/>
    </row>
    <row r="27" spans="1:17" ht="15" customHeight="1" x14ac:dyDescent="0.2">
      <c r="A27" s="26">
        <v>10.714</v>
      </c>
      <c r="B27" s="26">
        <v>0.9</v>
      </c>
      <c r="C27" s="26">
        <v>29.3</v>
      </c>
      <c r="D27" s="24">
        <f t="shared" si="0"/>
        <v>3.6421587672863103</v>
      </c>
      <c r="E27" s="25">
        <f t="shared" si="1"/>
        <v>3.6421587672863103</v>
      </c>
      <c r="F27" s="24">
        <f t="shared" si="2"/>
        <v>3.7924088990496818</v>
      </c>
      <c r="H27" s="10"/>
      <c r="J27" s="27"/>
      <c r="K27" s="112">
        <f t="shared" si="3"/>
        <v>10.714</v>
      </c>
      <c r="L27" s="23">
        <f t="shared" si="4"/>
        <v>9.0000000000000006E-5</v>
      </c>
      <c r="M27" s="23">
        <f t="shared" si="4"/>
        <v>2.9299999999999999E-3</v>
      </c>
      <c r="N27" s="111">
        <f t="shared" si="5"/>
        <v>3.6421587672863103</v>
      </c>
      <c r="O27" s="111">
        <f t="shared" si="5"/>
        <v>3.7924088990496818</v>
      </c>
      <c r="P27" s="15"/>
      <c r="Q27" s="15"/>
    </row>
    <row r="28" spans="1:17" ht="15" customHeight="1" x14ac:dyDescent="0.2">
      <c r="A28" s="26">
        <v>13.717000000000001</v>
      </c>
      <c r="B28" s="26">
        <v>-24.4</v>
      </c>
      <c r="C28" s="26">
        <v>173.7</v>
      </c>
      <c r="D28" s="24">
        <f t="shared" si="0"/>
        <v>4.6630102492875043</v>
      </c>
      <c r="E28" s="25">
        <f t="shared" si="1"/>
        <v>4.6630102492875043</v>
      </c>
      <c r="F28" s="24">
        <f t="shared" si="2"/>
        <v>4.8553736110009789</v>
      </c>
      <c r="H28" s="10"/>
      <c r="K28" s="112">
        <f t="shared" si="3"/>
        <v>13.717000000000001</v>
      </c>
      <c r="L28" s="23">
        <f t="shared" si="4"/>
        <v>-2.4399999999999999E-3</v>
      </c>
      <c r="M28" s="23">
        <f t="shared" si="4"/>
        <v>1.737E-2</v>
      </c>
      <c r="N28" s="111">
        <f t="shared" si="5"/>
        <v>4.6630102492875043</v>
      </c>
      <c r="O28" s="111">
        <f t="shared" si="5"/>
        <v>4.8553736110009789</v>
      </c>
      <c r="P28" s="15"/>
      <c r="Q28" s="15"/>
    </row>
    <row r="29" spans="1:17" ht="15" customHeight="1" x14ac:dyDescent="0.2">
      <c r="A29" s="26">
        <v>17.491</v>
      </c>
      <c r="B29" s="26">
        <v>-60.3</v>
      </c>
      <c r="C29" s="26">
        <v>436.9</v>
      </c>
      <c r="D29" s="24">
        <f t="shared" si="0"/>
        <v>5.9459584654288644</v>
      </c>
      <c r="E29" s="25">
        <f t="shared" si="1"/>
        <v>5.9459584654288644</v>
      </c>
      <c r="F29" s="24">
        <f t="shared" si="2"/>
        <v>6.1912473449018091</v>
      </c>
      <c r="H29" s="10"/>
      <c r="K29" s="112">
        <f t="shared" si="3"/>
        <v>17.491</v>
      </c>
      <c r="L29" s="23">
        <f t="shared" si="4"/>
        <v>-6.0299999999999998E-3</v>
      </c>
      <c r="M29" s="23">
        <f t="shared" si="4"/>
        <v>4.369E-2</v>
      </c>
      <c r="N29" s="111">
        <f t="shared" si="5"/>
        <v>5.9459584654288644</v>
      </c>
      <c r="O29" s="111">
        <f t="shared" si="5"/>
        <v>6.1912473449018091</v>
      </c>
    </row>
    <row r="30" spans="1:17" ht="15" customHeight="1" x14ac:dyDescent="0.2">
      <c r="A30" s="26">
        <v>18.587</v>
      </c>
      <c r="B30" s="26">
        <v>-71.2</v>
      </c>
      <c r="C30" s="26">
        <v>563.79999999999995</v>
      </c>
      <c r="D30" s="24">
        <f t="shared" si="0"/>
        <v>6.3185369616903726</v>
      </c>
      <c r="E30" s="25">
        <f t="shared" si="1"/>
        <v>6.3185369616903726</v>
      </c>
      <c r="F30" s="24">
        <f t="shared" si="2"/>
        <v>6.579195837841743</v>
      </c>
      <c r="H30" s="10"/>
      <c r="K30" s="112">
        <f t="shared" si="3"/>
        <v>18.587</v>
      </c>
      <c r="L30" s="23">
        <f t="shared" si="4"/>
        <v>-7.1200000000000013E-3</v>
      </c>
      <c r="M30" s="23">
        <f t="shared" si="4"/>
        <v>5.6379999999999993E-2</v>
      </c>
      <c r="N30" s="111">
        <f t="shared" si="5"/>
        <v>6.3185369616903726</v>
      </c>
      <c r="O30" s="111">
        <f t="shared" si="5"/>
        <v>6.579195837841743</v>
      </c>
    </row>
    <row r="31" spans="1:17" ht="15" customHeight="1" x14ac:dyDescent="0.2">
      <c r="A31" s="26">
        <v>20.088000000000001</v>
      </c>
      <c r="B31" s="26">
        <v>-90.9</v>
      </c>
      <c r="C31" s="26">
        <v>740.7</v>
      </c>
      <c r="D31" s="24">
        <f t="shared" si="0"/>
        <v>6.8287927307492442</v>
      </c>
      <c r="E31" s="25">
        <f t="shared" si="1"/>
        <v>6.8287927307492442</v>
      </c>
      <c r="F31" s="24">
        <f t="shared" si="2"/>
        <v>7.110501210015868</v>
      </c>
      <c r="H31" s="10"/>
      <c r="K31" s="112">
        <f t="shared" si="3"/>
        <v>20.088000000000001</v>
      </c>
      <c r="L31" s="23">
        <f t="shared" si="4"/>
        <v>-9.0900000000000009E-3</v>
      </c>
      <c r="M31" s="23">
        <f t="shared" si="4"/>
        <v>7.4070000000000011E-2</v>
      </c>
      <c r="N31" s="111">
        <f t="shared" si="5"/>
        <v>6.8287927307492442</v>
      </c>
      <c r="O31" s="111">
        <f t="shared" si="5"/>
        <v>7.110501210015868</v>
      </c>
    </row>
    <row r="32" spans="1:17" ht="15" customHeight="1" x14ac:dyDescent="0.2">
      <c r="A32" s="26">
        <v>21.387</v>
      </c>
      <c r="B32" s="26">
        <v>-109.1</v>
      </c>
      <c r="C32" s="26">
        <v>820.6</v>
      </c>
      <c r="D32" s="24">
        <f t="shared" si="0"/>
        <v>7.2703798353511591</v>
      </c>
      <c r="E32" s="25">
        <f t="shared" si="1"/>
        <v>7.2703798353511591</v>
      </c>
      <c r="F32" s="24">
        <f t="shared" si="2"/>
        <v>7.5703051263744205</v>
      </c>
      <c r="H32" s="10"/>
      <c r="K32" s="112">
        <f t="shared" si="3"/>
        <v>21.387</v>
      </c>
      <c r="L32" s="23">
        <f t="shared" si="4"/>
        <v>-1.091E-2</v>
      </c>
      <c r="M32" s="23">
        <f t="shared" si="4"/>
        <v>8.2059999999999994E-2</v>
      </c>
      <c r="N32" s="111">
        <f t="shared" si="5"/>
        <v>7.2703798353511591</v>
      </c>
      <c r="O32" s="111">
        <f t="shared" si="5"/>
        <v>7.5703051263744205</v>
      </c>
    </row>
    <row r="33" spans="1:15" ht="15" customHeight="1" x14ac:dyDescent="0.2">
      <c r="A33" s="26">
        <v>23.943000000000001</v>
      </c>
      <c r="B33" s="26">
        <v>-153.1</v>
      </c>
      <c r="C33" s="26">
        <v>1187.4000000000001</v>
      </c>
      <c r="D33" s="24">
        <f t="shared" si="0"/>
        <v>8.1392764014500774</v>
      </c>
      <c r="E33" s="25">
        <f t="shared" si="1"/>
        <v>8.1392764014500774</v>
      </c>
      <c r="F33" s="24">
        <f t="shared" si="2"/>
        <v>8.4750463197635373</v>
      </c>
      <c r="H33" s="10"/>
      <c r="K33" s="112">
        <f t="shared" si="3"/>
        <v>23.943000000000001</v>
      </c>
      <c r="L33" s="23">
        <f t="shared" si="4"/>
        <v>-1.5309999999999997E-2</v>
      </c>
      <c r="M33" s="23">
        <f t="shared" si="4"/>
        <v>0.11874000000000001</v>
      </c>
      <c r="N33" s="111">
        <f t="shared" si="5"/>
        <v>8.1392764014500774</v>
      </c>
      <c r="O33" s="111">
        <f t="shared" si="5"/>
        <v>8.4750463197635373</v>
      </c>
    </row>
    <row r="34" spans="1:15" ht="15" customHeight="1" x14ac:dyDescent="0.2">
      <c r="A34" s="26">
        <v>27.515000000000001</v>
      </c>
      <c r="B34" s="26">
        <v>-196</v>
      </c>
      <c r="C34" s="26">
        <v>1520.4</v>
      </c>
      <c r="D34" s="24">
        <f t="shared" si="0"/>
        <v>9.3535559531344799</v>
      </c>
      <c r="E34" s="25">
        <f t="shared" si="1"/>
        <v>9.3535559531344799</v>
      </c>
      <c r="F34" s="24">
        <f t="shared" si="2"/>
        <v>9.739418597848795</v>
      </c>
      <c r="H34" s="10"/>
      <c r="K34" s="112">
        <f t="shared" si="3"/>
        <v>27.515000000000001</v>
      </c>
      <c r="L34" s="23">
        <f t="shared" si="4"/>
        <v>-1.9599999999999999E-2</v>
      </c>
      <c r="M34" s="23">
        <f t="shared" si="4"/>
        <v>0.15204000000000001</v>
      </c>
      <c r="N34" s="111">
        <f t="shared" si="5"/>
        <v>9.3535559531344799</v>
      </c>
      <c r="O34" s="111">
        <f t="shared" si="5"/>
        <v>9.739418597848795</v>
      </c>
    </row>
    <row r="35" spans="1:15" ht="15" customHeight="1" x14ac:dyDescent="0.2">
      <c r="A35" s="26">
        <v>28.893999999999998</v>
      </c>
      <c r="B35" s="26">
        <v>-214.8</v>
      </c>
      <c r="C35" s="26">
        <v>1673.7</v>
      </c>
      <c r="D35" s="24">
        <f t="shared" si="0"/>
        <v>9.8223385684124178</v>
      </c>
      <c r="E35" s="25">
        <f t="shared" si="1"/>
        <v>9.8223385684124178</v>
      </c>
      <c r="F35" s="24">
        <f t="shared" si="2"/>
        <v>10.227539922451138</v>
      </c>
      <c r="H35" s="10"/>
      <c r="K35" s="112">
        <f t="shared" si="3"/>
        <v>28.893999999999998</v>
      </c>
      <c r="L35" s="23">
        <f t="shared" si="4"/>
        <v>-2.1480000000000003E-2</v>
      </c>
      <c r="M35" s="23">
        <f t="shared" si="4"/>
        <v>0.16736999999999999</v>
      </c>
      <c r="N35" s="111">
        <f t="shared" si="5"/>
        <v>9.8223385684124178</v>
      </c>
      <c r="O35" s="111">
        <f t="shared" si="5"/>
        <v>10.227539922451138</v>
      </c>
    </row>
    <row r="36" spans="1:15" ht="15" customHeight="1" x14ac:dyDescent="0.2">
      <c r="A36" s="26">
        <v>30.51</v>
      </c>
      <c r="B36" s="26">
        <v>-246.4</v>
      </c>
      <c r="C36" s="26">
        <v>2025.8</v>
      </c>
      <c r="D36" s="24">
        <f t="shared" si="0"/>
        <v>10.371687884068072</v>
      </c>
      <c r="E36" s="25">
        <f t="shared" si="1"/>
        <v>10.371687884068072</v>
      </c>
      <c r="F36" s="24">
        <f t="shared" si="2"/>
        <v>10.799551568975712</v>
      </c>
      <c r="H36" s="10"/>
      <c r="K36" s="112">
        <f t="shared" si="3"/>
        <v>30.51</v>
      </c>
      <c r="L36" s="23">
        <f t="shared" si="4"/>
        <v>-2.4640000000000002E-2</v>
      </c>
      <c r="M36" s="23">
        <f t="shared" si="4"/>
        <v>0.20257999999999998</v>
      </c>
      <c r="N36" s="111">
        <f t="shared" si="5"/>
        <v>10.371687884068072</v>
      </c>
      <c r="O36" s="111">
        <f t="shared" si="5"/>
        <v>10.799551568975712</v>
      </c>
    </row>
    <row r="37" spans="1:15" ht="15" customHeight="1" x14ac:dyDescent="0.2">
      <c r="A37" s="26">
        <v>31.638000000000002</v>
      </c>
      <c r="B37" s="26">
        <v>-262.5</v>
      </c>
      <c r="C37" s="26">
        <v>2071.1999999999998</v>
      </c>
      <c r="D37" s="24">
        <f t="shared" si="0"/>
        <v>10.755144584599989</v>
      </c>
      <c r="E37" s="25">
        <f t="shared" si="1"/>
        <v>10.755144584599989</v>
      </c>
      <c r="F37" s="24">
        <f t="shared" si="2"/>
        <v>11.198827025213163</v>
      </c>
      <c r="H37" s="10"/>
      <c r="K37" s="112">
        <f t="shared" si="3"/>
        <v>31.638000000000002</v>
      </c>
      <c r="L37" s="23">
        <f t="shared" si="4"/>
        <v>-2.6249999999999999E-2</v>
      </c>
      <c r="M37" s="23">
        <f t="shared" si="4"/>
        <v>0.20711999999999997</v>
      </c>
      <c r="N37" s="111">
        <f t="shared" si="5"/>
        <v>10.755144584599989</v>
      </c>
      <c r="O37" s="111">
        <f t="shared" si="5"/>
        <v>11.198827025213163</v>
      </c>
    </row>
    <row r="38" spans="1:15" ht="15" customHeight="1" x14ac:dyDescent="0.2">
      <c r="A38" s="26">
        <v>33.331000000000003</v>
      </c>
      <c r="B38" s="26">
        <v>-276.5</v>
      </c>
      <c r="C38" s="26">
        <v>2315.5</v>
      </c>
      <c r="D38" s="24">
        <f t="shared" si="0"/>
        <v>11.330669579281315</v>
      </c>
      <c r="E38" s="25">
        <f t="shared" si="1"/>
        <v>11.330669579281315</v>
      </c>
      <c r="F38" s="24">
        <f t="shared" si="2"/>
        <v>11.798094177172386</v>
      </c>
      <c r="H38" s="10"/>
      <c r="K38" s="112">
        <f t="shared" si="3"/>
        <v>33.331000000000003</v>
      </c>
      <c r="L38" s="23">
        <f t="shared" si="4"/>
        <v>-2.7650000000000001E-2</v>
      </c>
      <c r="M38" s="23">
        <f t="shared" si="4"/>
        <v>0.23154999999999998</v>
      </c>
      <c r="N38" s="111">
        <f t="shared" si="5"/>
        <v>11.330669579281315</v>
      </c>
      <c r="O38" s="111">
        <f t="shared" si="5"/>
        <v>11.798094177172386</v>
      </c>
    </row>
    <row r="39" spans="1:15" ht="15" customHeight="1" x14ac:dyDescent="0.2">
      <c r="A39" s="26">
        <v>35.909999999999997</v>
      </c>
      <c r="B39" s="26">
        <v>-326.10000000000002</v>
      </c>
      <c r="C39" s="26">
        <v>2712.4</v>
      </c>
      <c r="D39" s="24">
        <f t="shared" si="0"/>
        <v>12.207384854699589</v>
      </c>
      <c r="E39" s="25">
        <f t="shared" si="1"/>
        <v>12.207384854699589</v>
      </c>
      <c r="F39" s="24">
        <f t="shared" si="2"/>
        <v>12.71097662543159</v>
      </c>
      <c r="H39" s="10"/>
      <c r="K39" s="112">
        <f t="shared" si="3"/>
        <v>35.909999999999997</v>
      </c>
      <c r="L39" s="23">
        <f t="shared" si="4"/>
        <v>-3.261E-2</v>
      </c>
      <c r="M39" s="23">
        <f t="shared" si="4"/>
        <v>0.27124000000000004</v>
      </c>
      <c r="N39" s="111">
        <f t="shared" si="5"/>
        <v>12.207384854699589</v>
      </c>
      <c r="O39" s="111">
        <f t="shared" si="5"/>
        <v>12.71097662543159</v>
      </c>
    </row>
    <row r="40" spans="1:15" ht="15" customHeight="1" x14ac:dyDescent="0.2">
      <c r="A40" s="26">
        <v>38.005000000000003</v>
      </c>
      <c r="B40" s="26">
        <v>-339.3</v>
      </c>
      <c r="C40" s="26">
        <v>2981.6</v>
      </c>
      <c r="D40" s="24">
        <f t="shared" si="0"/>
        <v>12.919567290527928</v>
      </c>
      <c r="E40" s="25">
        <f t="shared" si="1"/>
        <v>12.919567290527928</v>
      </c>
      <c r="F40" s="24">
        <f t="shared" si="2"/>
        <v>13.452538753815862</v>
      </c>
      <c r="H40" s="10"/>
      <c r="K40" s="112">
        <f t="shared" si="3"/>
        <v>38.005000000000003</v>
      </c>
      <c r="L40" s="23">
        <f t="shared" si="4"/>
        <v>-3.3930000000000002E-2</v>
      </c>
      <c r="M40" s="23">
        <f t="shared" si="4"/>
        <v>0.29815999999999998</v>
      </c>
      <c r="N40" s="111">
        <f t="shared" si="5"/>
        <v>12.919567290527928</v>
      </c>
      <c r="O40" s="111">
        <f t="shared" si="5"/>
        <v>13.452538753815862</v>
      </c>
    </row>
    <row r="41" spans="1:15" ht="15" customHeight="1" x14ac:dyDescent="0.2">
      <c r="A41" s="26">
        <v>41.027000000000001</v>
      </c>
      <c r="B41" s="26">
        <v>-401.5</v>
      </c>
      <c r="C41" s="26">
        <v>3205.7</v>
      </c>
      <c r="D41" s="24">
        <f t="shared" si="0"/>
        <v>13.946877706314677</v>
      </c>
      <c r="E41" s="25">
        <f t="shared" si="1"/>
        <v>13.946877706314677</v>
      </c>
      <c r="F41" s="24">
        <f t="shared" si="2"/>
        <v>14.522228850225058</v>
      </c>
      <c r="H41" s="10"/>
      <c r="K41" s="112">
        <f t="shared" si="3"/>
        <v>41.027000000000001</v>
      </c>
      <c r="L41" s="23">
        <f t="shared" si="4"/>
        <v>-4.0149999999999998E-2</v>
      </c>
      <c r="M41" s="23">
        <f t="shared" si="4"/>
        <v>0.32056999999999997</v>
      </c>
      <c r="N41" s="111">
        <f t="shared" si="5"/>
        <v>13.946877706314677</v>
      </c>
      <c r="O41" s="111">
        <f t="shared" si="5"/>
        <v>14.522228850225058</v>
      </c>
    </row>
    <row r="42" spans="1:15" ht="15" customHeight="1" x14ac:dyDescent="0.2">
      <c r="A42" s="26">
        <v>42.841000000000001</v>
      </c>
      <c r="B42" s="26">
        <v>-449.7</v>
      </c>
      <c r="C42" s="26">
        <v>3294.6</v>
      </c>
      <c r="D42" s="24">
        <f t="shared" si="0"/>
        <v>14.563535910893487</v>
      </c>
      <c r="E42" s="25">
        <f t="shared" si="1"/>
        <v>14.563535910893487</v>
      </c>
      <c r="F42" s="24">
        <f t="shared" si="2"/>
        <v>15.164326082153016</v>
      </c>
      <c r="H42" s="10"/>
      <c r="K42" s="112">
        <f t="shared" si="3"/>
        <v>42.841000000000001</v>
      </c>
      <c r="L42" s="23">
        <f t="shared" si="4"/>
        <v>-4.4969999999999996E-2</v>
      </c>
      <c r="M42" s="23">
        <f t="shared" si="4"/>
        <v>0.32945999999999998</v>
      </c>
      <c r="N42" s="111">
        <f t="shared" si="5"/>
        <v>14.563535910893487</v>
      </c>
      <c r="O42" s="111">
        <f t="shared" si="5"/>
        <v>15.164326082153016</v>
      </c>
    </row>
    <row r="43" spans="1:15" ht="15" customHeight="1" x14ac:dyDescent="0.2">
      <c r="A43" s="26">
        <v>47.152000000000001</v>
      </c>
      <c r="B43" s="26">
        <v>-529.9</v>
      </c>
      <c r="C43" s="26">
        <v>3321</v>
      </c>
      <c r="D43" s="24">
        <f t="shared" si="0"/>
        <v>16.029033992447648</v>
      </c>
      <c r="E43" s="25">
        <f t="shared" si="1"/>
        <v>16.029033992447648</v>
      </c>
      <c r="F43" s="24">
        <f t="shared" si="2"/>
        <v>16.690280418890293</v>
      </c>
      <c r="H43" s="10"/>
      <c r="K43" s="112">
        <f t="shared" si="3"/>
        <v>47.152000000000001</v>
      </c>
      <c r="L43" s="23">
        <f t="shared" si="4"/>
        <v>-5.2989999999999995E-2</v>
      </c>
      <c r="M43" s="23">
        <f t="shared" si="4"/>
        <v>0.33210000000000001</v>
      </c>
      <c r="N43" s="111">
        <f t="shared" si="5"/>
        <v>16.029033992447648</v>
      </c>
      <c r="O43" s="111">
        <f t="shared" si="5"/>
        <v>16.690280418890293</v>
      </c>
    </row>
    <row r="44" spans="1:15" ht="15" customHeight="1" x14ac:dyDescent="0.2">
      <c r="A44" s="26">
        <v>48.442</v>
      </c>
      <c r="B44" s="26">
        <v>-624.4</v>
      </c>
      <c r="C44" s="26">
        <v>3004.6</v>
      </c>
      <c r="D44" s="24">
        <f t="shared" si="0"/>
        <v>16.46756160209851</v>
      </c>
      <c r="E44" s="25">
        <f t="shared" si="1"/>
        <v>16.46756160209851</v>
      </c>
      <c r="F44" s="24">
        <f t="shared" si="2"/>
        <v>17.146898626821418</v>
      </c>
      <c r="H44" s="10"/>
      <c r="K44" s="112">
        <f t="shared" si="3"/>
        <v>48.442</v>
      </c>
      <c r="L44" s="23">
        <f t="shared" si="4"/>
        <v>-6.2440000000000002E-2</v>
      </c>
      <c r="M44" s="23">
        <f t="shared" si="4"/>
        <v>0.30046</v>
      </c>
      <c r="N44" s="111">
        <f t="shared" si="5"/>
        <v>16.46756160209851</v>
      </c>
      <c r="O44" s="111">
        <f t="shared" si="5"/>
        <v>17.146898626821418</v>
      </c>
    </row>
    <row r="45" spans="1:15" ht="15" customHeight="1" x14ac:dyDescent="0.2">
      <c r="A45" s="26">
        <v>52.027999999999999</v>
      </c>
      <c r="B45" s="26">
        <v>-676.4</v>
      </c>
      <c r="C45" s="26">
        <v>3282.9</v>
      </c>
      <c r="D45" s="24">
        <f t="shared" si="0"/>
        <v>17.686600368151218</v>
      </c>
      <c r="E45" s="25">
        <f t="shared" si="1"/>
        <v>17.686600368151218</v>
      </c>
      <c r="F45" s="24">
        <f t="shared" si="2"/>
        <v>18.416226451349342</v>
      </c>
      <c r="H45" s="10"/>
      <c r="K45" s="112">
        <f t="shared" si="3"/>
        <v>52.027999999999999</v>
      </c>
      <c r="L45" s="23">
        <f t="shared" si="4"/>
        <v>-6.7639999999999992E-2</v>
      </c>
      <c r="M45" s="23">
        <f t="shared" si="4"/>
        <v>0.32829000000000003</v>
      </c>
      <c r="N45" s="111">
        <f t="shared" si="5"/>
        <v>17.686600368151218</v>
      </c>
      <c r="O45" s="111">
        <f t="shared" si="5"/>
        <v>18.416226451349342</v>
      </c>
    </row>
    <row r="46" spans="1:15" ht="15" customHeight="1" x14ac:dyDescent="0.2">
      <c r="A46" s="26">
        <v>53.720999999999997</v>
      </c>
      <c r="B46" s="26">
        <v>-702.9</v>
      </c>
      <c r="C46" s="26">
        <v>3339.1</v>
      </c>
      <c r="D46" s="24">
        <f t="shared" si="0"/>
        <v>18.262125362832542</v>
      </c>
      <c r="E46" s="25">
        <f t="shared" si="1"/>
        <v>18.262125362832542</v>
      </c>
      <c r="F46" s="24">
        <f t="shared" si="2"/>
        <v>19.015493603308563</v>
      </c>
      <c r="H46" s="10"/>
      <c r="K46" s="112">
        <f t="shared" si="3"/>
        <v>53.720999999999997</v>
      </c>
      <c r="L46" s="23">
        <f t="shared" si="4"/>
        <v>-7.0290000000000005E-2</v>
      </c>
      <c r="M46" s="23">
        <f t="shared" si="4"/>
        <v>0.33390999999999998</v>
      </c>
      <c r="N46" s="111">
        <f t="shared" si="5"/>
        <v>18.262125362832542</v>
      </c>
      <c r="O46" s="111">
        <f t="shared" si="5"/>
        <v>19.015493603308563</v>
      </c>
    </row>
    <row r="47" spans="1:15" ht="15" customHeight="1" x14ac:dyDescent="0.2">
      <c r="A47" s="26">
        <v>56.097999999999999</v>
      </c>
      <c r="B47" s="26">
        <v>-777.7</v>
      </c>
      <c r="C47" s="26">
        <v>3533.3</v>
      </c>
      <c r="D47" s="24">
        <f t="shared" si="0"/>
        <v>19.070171973793862</v>
      </c>
      <c r="E47" s="25">
        <f t="shared" si="1"/>
        <v>19.070171973793862</v>
      </c>
      <c r="F47" s="24">
        <f t="shared" si="2"/>
        <v>19.856874595752199</v>
      </c>
      <c r="H47" s="10"/>
      <c r="K47" s="112">
        <f t="shared" si="3"/>
        <v>56.097999999999999</v>
      </c>
      <c r="L47" s="23">
        <f t="shared" si="4"/>
        <v>-7.7770000000000006E-2</v>
      </c>
      <c r="M47" s="23">
        <f t="shared" si="4"/>
        <v>0.35333000000000003</v>
      </c>
      <c r="N47" s="111">
        <f t="shared" si="5"/>
        <v>19.070171973793862</v>
      </c>
      <c r="O47" s="111">
        <f t="shared" si="5"/>
        <v>19.856874595752199</v>
      </c>
    </row>
    <row r="48" spans="1:15" ht="15" customHeight="1" x14ac:dyDescent="0.2">
      <c r="A48" s="26">
        <v>56.944000000000003</v>
      </c>
      <c r="B48" s="26">
        <v>-785.1</v>
      </c>
      <c r="C48" s="26">
        <v>3590.6</v>
      </c>
      <c r="D48" s="24">
        <f t="shared" si="0"/>
        <v>19.3577644991928</v>
      </c>
      <c r="E48" s="25">
        <f t="shared" si="1"/>
        <v>19.3577644991928</v>
      </c>
      <c r="F48" s="24">
        <f t="shared" si="2"/>
        <v>20.156331187930288</v>
      </c>
      <c r="H48" s="10"/>
      <c r="K48" s="112">
        <f t="shared" si="3"/>
        <v>56.944000000000003</v>
      </c>
      <c r="L48" s="23">
        <f t="shared" si="4"/>
        <v>-7.851000000000001E-2</v>
      </c>
      <c r="M48" s="23">
        <f t="shared" si="4"/>
        <v>0.35905999999999999</v>
      </c>
      <c r="N48" s="111">
        <f t="shared" si="5"/>
        <v>19.3577644991928</v>
      </c>
      <c r="O48" s="111">
        <f t="shared" si="5"/>
        <v>20.156331187930288</v>
      </c>
    </row>
    <row r="49" spans="1:28" ht="15" customHeight="1" x14ac:dyDescent="0.2">
      <c r="A49" s="26">
        <v>60.046999999999997</v>
      </c>
      <c r="B49" s="26">
        <v>-859.6</v>
      </c>
      <c r="C49" s="26">
        <v>3594.9</v>
      </c>
      <c r="D49" s="24">
        <f t="shared" si="0"/>
        <v>20.412610369539021</v>
      </c>
      <c r="E49" s="25">
        <f t="shared" si="1"/>
        <v>20.412610369539021</v>
      </c>
      <c r="F49" s="24">
        <f t="shared" si="2"/>
        <v>21.254692660186318</v>
      </c>
      <c r="H49" s="10"/>
      <c r="K49" s="112">
        <f t="shared" si="3"/>
        <v>60.046999999999997</v>
      </c>
      <c r="L49" s="23">
        <f t="shared" si="4"/>
        <v>-8.5959999999999995E-2</v>
      </c>
      <c r="M49" s="23">
        <f t="shared" si="4"/>
        <v>0.35949000000000003</v>
      </c>
      <c r="N49" s="111">
        <f t="shared" si="5"/>
        <v>20.412610369539021</v>
      </c>
      <c r="O49" s="111">
        <f t="shared" si="5"/>
        <v>21.254692660186318</v>
      </c>
    </row>
    <row r="50" spans="1:28" ht="15" customHeight="1" x14ac:dyDescent="0.2">
      <c r="A50" s="26">
        <v>63.271000000000001</v>
      </c>
      <c r="B50" s="26">
        <v>-918.6</v>
      </c>
      <c r="C50" s="26">
        <v>3618.9</v>
      </c>
      <c r="D50" s="24">
        <f t="shared" si="0"/>
        <v>21.508589449782725</v>
      </c>
      <c r="E50" s="25">
        <f t="shared" si="1"/>
        <v>21.508589449782725</v>
      </c>
      <c r="F50" s="24">
        <f t="shared" si="2"/>
        <v>22.395884212411087</v>
      </c>
      <c r="H50" s="10"/>
      <c r="K50" s="112">
        <f t="shared" si="3"/>
        <v>63.271000000000001</v>
      </c>
      <c r="L50" s="23">
        <f t="shared" si="4"/>
        <v>-9.1859999999999997E-2</v>
      </c>
      <c r="M50" s="23">
        <f t="shared" si="4"/>
        <v>0.36188999999999999</v>
      </c>
      <c r="N50" s="111">
        <f t="shared" si="5"/>
        <v>21.508589449782725</v>
      </c>
      <c r="O50" s="111">
        <f t="shared" si="5"/>
        <v>22.395884212411087</v>
      </c>
    </row>
    <row r="51" spans="1:28" ht="15" customHeight="1" x14ac:dyDescent="0.2">
      <c r="A51" s="26">
        <v>65.447000000000003</v>
      </c>
      <c r="B51" s="26">
        <v>-890.7</v>
      </c>
      <c r="C51" s="26">
        <v>3647.3</v>
      </c>
      <c r="D51" s="24">
        <f t="shared" si="0"/>
        <v>22.248307340170538</v>
      </c>
      <c r="E51" s="25">
        <f t="shared" si="1"/>
        <v>22.248307340170538</v>
      </c>
      <c r="F51" s="24">
        <f t="shared" si="2"/>
        <v>23.166117716642198</v>
      </c>
      <c r="H51" s="10"/>
      <c r="K51" s="112">
        <f t="shared" si="3"/>
        <v>65.447000000000003</v>
      </c>
      <c r="L51" s="23">
        <f t="shared" si="4"/>
        <v>-8.9069999999999996E-2</v>
      </c>
      <c r="M51" s="23">
        <f t="shared" si="4"/>
        <v>0.36473</v>
      </c>
      <c r="N51" s="111">
        <f t="shared" si="5"/>
        <v>22.248307340170538</v>
      </c>
      <c r="O51" s="111">
        <f t="shared" si="5"/>
        <v>23.166117716642198</v>
      </c>
    </row>
    <row r="52" spans="1:28" ht="15" customHeight="1" x14ac:dyDescent="0.2">
      <c r="A52" s="26">
        <v>68.671000000000006</v>
      </c>
      <c r="B52" s="26">
        <v>-182.3</v>
      </c>
      <c r="C52" s="26">
        <v>3420.8</v>
      </c>
      <c r="D52" s="24">
        <f t="shared" si="0"/>
        <v>23.344286420414242</v>
      </c>
      <c r="E52" s="25">
        <f t="shared" si="1"/>
        <v>23.344286420414242</v>
      </c>
      <c r="F52" s="24">
        <f t="shared" si="2"/>
        <v>24.307309268866966</v>
      </c>
      <c r="H52" s="10"/>
      <c r="K52" s="112">
        <f t="shared" si="3"/>
        <v>68.671000000000006</v>
      </c>
      <c r="L52" s="23">
        <f t="shared" si="4"/>
        <v>-1.823E-2</v>
      </c>
      <c r="M52" s="23">
        <f t="shared" si="4"/>
        <v>0.34208000000000005</v>
      </c>
      <c r="N52" s="111">
        <f t="shared" si="5"/>
        <v>23.344286420414242</v>
      </c>
      <c r="O52" s="111">
        <f t="shared" si="5"/>
        <v>24.307309268866966</v>
      </c>
    </row>
    <row r="53" spans="1:28" ht="15" customHeight="1" x14ac:dyDescent="0.2">
      <c r="A53" s="26">
        <v>70.483999999999995</v>
      </c>
      <c r="B53" s="26">
        <v>-177.7</v>
      </c>
      <c r="C53" s="26">
        <v>3452.7</v>
      </c>
      <c r="D53" s="24">
        <f t="shared" si="0"/>
        <v>23.960604681109604</v>
      </c>
      <c r="E53" s="25">
        <f t="shared" si="1"/>
        <v>23.960604681109604</v>
      </c>
      <c r="F53" s="24">
        <f t="shared" si="2"/>
        <v>24.949052533191878</v>
      </c>
      <c r="H53" s="10"/>
      <c r="K53" s="112">
        <f t="shared" si="3"/>
        <v>70.483999999999995</v>
      </c>
      <c r="L53" s="23">
        <f t="shared" si="4"/>
        <v>-1.7769999999999998E-2</v>
      </c>
      <c r="M53" s="23">
        <f t="shared" si="4"/>
        <v>0.34527000000000002</v>
      </c>
      <c r="N53" s="111">
        <f t="shared" si="5"/>
        <v>23.960604681109604</v>
      </c>
      <c r="O53" s="111">
        <f t="shared" si="5"/>
        <v>24.949052533191878</v>
      </c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</row>
    <row r="54" spans="1:28" ht="15" customHeight="1" x14ac:dyDescent="0.2">
      <c r="A54" s="26">
        <v>77.012</v>
      </c>
      <c r="B54" s="26">
        <v>-882.3</v>
      </c>
      <c r="C54" s="26">
        <v>3747</v>
      </c>
      <c r="D54" s="24">
        <f t="shared" si="0"/>
        <v>26.179758352273037</v>
      </c>
      <c r="E54" s="25">
        <f t="shared" si="1"/>
        <v>26.179758352273037</v>
      </c>
      <c r="F54" s="24">
        <f t="shared" si="2"/>
        <v>27.259753045885205</v>
      </c>
      <c r="H54" s="10"/>
      <c r="K54" s="112">
        <f t="shared" si="3"/>
        <v>77.012</v>
      </c>
      <c r="L54" s="23">
        <f t="shared" si="4"/>
        <v>-8.8229999999999989E-2</v>
      </c>
      <c r="M54" s="23">
        <f t="shared" si="4"/>
        <v>0.37469999999999998</v>
      </c>
      <c r="N54" s="111">
        <f t="shared" si="5"/>
        <v>26.179758352273037</v>
      </c>
      <c r="O54" s="111">
        <f t="shared" si="5"/>
        <v>27.259753045885205</v>
      </c>
    </row>
    <row r="55" spans="1:28" ht="15" customHeight="1" x14ac:dyDescent="0.2">
      <c r="A55" s="26">
        <v>78.341999999999999</v>
      </c>
      <c r="B55" s="26">
        <v>-1240.4000000000001</v>
      </c>
      <c r="C55" s="26">
        <v>3787.6</v>
      </c>
      <c r="D55" s="24">
        <f t="shared" si="0"/>
        <v>26.631883717261911</v>
      </c>
      <c r="E55" s="25">
        <f t="shared" si="1"/>
        <v>26.631883717261911</v>
      </c>
      <c r="F55" s="24">
        <f t="shared" si="2"/>
        <v>27.730529957938227</v>
      </c>
      <c r="H55" s="10"/>
      <c r="K55" s="112">
        <f t="shared" si="3"/>
        <v>78.341999999999999</v>
      </c>
      <c r="L55" s="23">
        <f t="shared" si="4"/>
        <v>-0.12404</v>
      </c>
      <c r="M55" s="23">
        <f t="shared" si="4"/>
        <v>0.37875999999999999</v>
      </c>
      <c r="N55" s="111">
        <f t="shared" si="5"/>
        <v>26.631883717261911</v>
      </c>
      <c r="O55" s="111">
        <f t="shared" si="5"/>
        <v>27.730529957938227</v>
      </c>
    </row>
    <row r="56" spans="1:28" ht="15" customHeight="1" x14ac:dyDescent="0.2">
      <c r="A56" s="26">
        <v>81.364000000000004</v>
      </c>
      <c r="B56" s="26">
        <v>-2210.8000000000002</v>
      </c>
      <c r="C56" s="26">
        <v>3828.7</v>
      </c>
      <c r="D56" s="24">
        <f t="shared" si="0"/>
        <v>27.659194133048661</v>
      </c>
      <c r="E56" s="25">
        <f t="shared" si="1"/>
        <v>27.659194133048661</v>
      </c>
      <c r="F56" s="24">
        <f t="shared" si="2"/>
        <v>28.800220054347424</v>
      </c>
      <c r="H56" s="10"/>
      <c r="K56" s="112">
        <f t="shared" si="3"/>
        <v>81.364000000000004</v>
      </c>
      <c r="L56" s="23">
        <f t="shared" si="4"/>
        <v>-0.22108000000000003</v>
      </c>
      <c r="M56" s="23">
        <f t="shared" si="4"/>
        <v>0.38286999999999999</v>
      </c>
      <c r="N56" s="111">
        <f t="shared" si="5"/>
        <v>27.659194133048661</v>
      </c>
      <c r="O56" s="111">
        <f t="shared" si="5"/>
        <v>28.800220054347424</v>
      </c>
    </row>
    <row r="57" spans="1:28" ht="15" customHeight="1" x14ac:dyDescent="0.2">
      <c r="A57" s="26">
        <v>84.305000000000007</v>
      </c>
      <c r="B57" s="26">
        <v>-2304.1</v>
      </c>
      <c r="C57" s="26">
        <v>3825.6</v>
      </c>
      <c r="D57" s="24">
        <f t="shared" si="0"/>
        <v>28.658969094275935</v>
      </c>
      <c r="E57" s="25">
        <f t="shared" si="1"/>
        <v>28.658969094275935</v>
      </c>
      <c r="F57" s="24">
        <f t="shared" si="2"/>
        <v>29.841238774909783</v>
      </c>
      <c r="H57" s="10"/>
      <c r="K57" s="112">
        <f t="shared" si="3"/>
        <v>84.305000000000007</v>
      </c>
      <c r="L57" s="23">
        <f t="shared" si="4"/>
        <v>-0.23041</v>
      </c>
      <c r="M57" s="23">
        <f t="shared" si="4"/>
        <v>0.38255999999999996</v>
      </c>
      <c r="N57" s="111">
        <f t="shared" si="5"/>
        <v>28.658969094275935</v>
      </c>
      <c r="O57" s="111">
        <f t="shared" si="5"/>
        <v>29.841238774909783</v>
      </c>
    </row>
    <row r="58" spans="1:28" ht="15" customHeight="1" x14ac:dyDescent="0.2">
      <c r="A58" s="26">
        <v>85.152000000000001</v>
      </c>
      <c r="B58" s="26">
        <v>-2324.9</v>
      </c>
      <c r="C58" s="26">
        <v>3799.5</v>
      </c>
      <c r="D58" s="24">
        <f t="shared" si="0"/>
        <v>28.946901563558324</v>
      </c>
      <c r="E58" s="25">
        <f t="shared" si="1"/>
        <v>28.946901563558324</v>
      </c>
      <c r="F58" s="24">
        <f t="shared" si="2"/>
        <v>30.141049334690916</v>
      </c>
      <c r="H58" s="10"/>
      <c r="K58" s="112">
        <f t="shared" si="3"/>
        <v>85.152000000000001</v>
      </c>
      <c r="L58" s="23">
        <f t="shared" si="4"/>
        <v>-0.23249</v>
      </c>
      <c r="M58" s="23">
        <f t="shared" si="4"/>
        <v>0.37995000000000001</v>
      </c>
      <c r="N58" s="111">
        <f t="shared" si="5"/>
        <v>28.946901563558324</v>
      </c>
      <c r="O58" s="111">
        <f t="shared" si="5"/>
        <v>30.141049334690916</v>
      </c>
    </row>
    <row r="59" spans="1:28" ht="15" customHeight="1" x14ac:dyDescent="0.2">
      <c r="A59" s="19"/>
      <c r="B59" s="19"/>
      <c r="C59" s="19"/>
      <c r="D59" s="17"/>
      <c r="E59" s="18"/>
      <c r="F59" s="17"/>
      <c r="K59" s="13"/>
      <c r="L59" s="13"/>
      <c r="M59" s="13"/>
      <c r="N59" s="13"/>
      <c r="O59" s="13"/>
      <c r="P59" s="13"/>
    </row>
    <row r="60" spans="1:28" ht="15" customHeight="1" x14ac:dyDescent="0.2">
      <c r="A60" s="19"/>
      <c r="B60" s="19"/>
      <c r="C60" s="19"/>
      <c r="D60" s="17"/>
      <c r="E60" s="18"/>
      <c r="F60" s="17"/>
      <c r="K60" s="20" t="s">
        <v>48</v>
      </c>
      <c r="L60" s="13"/>
      <c r="M60" s="13"/>
      <c r="N60" s="13"/>
      <c r="O60" s="13"/>
      <c r="P60" s="13"/>
    </row>
    <row r="61" spans="1:28" ht="15" customHeight="1" x14ac:dyDescent="0.2">
      <c r="A61" s="19"/>
      <c r="B61" s="19"/>
      <c r="C61" s="19"/>
      <c r="D61" s="17"/>
      <c r="E61" s="18"/>
      <c r="F61" s="17"/>
      <c r="K61" s="21" t="s">
        <v>98</v>
      </c>
      <c r="L61" s="13"/>
      <c r="M61" s="13"/>
      <c r="N61" s="13"/>
      <c r="O61" s="13"/>
      <c r="P61" s="13"/>
    </row>
    <row r="62" spans="1:28" ht="15" customHeight="1" x14ac:dyDescent="0.2">
      <c r="A62" s="19"/>
      <c r="B62" s="19"/>
      <c r="C62" s="19"/>
      <c r="D62" s="17"/>
      <c r="E62" s="18"/>
      <c r="F62" s="17"/>
      <c r="J62" s="13"/>
      <c r="K62" s="21" t="s">
        <v>47</v>
      </c>
      <c r="L62" s="13"/>
      <c r="M62" s="13"/>
      <c r="N62" s="13"/>
      <c r="O62" s="13"/>
      <c r="P62" s="13"/>
    </row>
    <row r="63" spans="1:28" ht="15" customHeight="1" x14ac:dyDescent="0.2">
      <c r="A63" s="19"/>
      <c r="B63" s="19"/>
      <c r="C63" s="19"/>
      <c r="D63" s="17"/>
      <c r="E63" s="18"/>
      <c r="F63" s="17"/>
      <c r="J63" s="13"/>
      <c r="K63" s="16" t="s">
        <v>39</v>
      </c>
      <c r="L63" s="13"/>
      <c r="M63" s="13"/>
      <c r="N63" s="13"/>
      <c r="O63" s="13"/>
      <c r="P63" s="13"/>
    </row>
    <row r="64" spans="1:28" ht="15" customHeight="1" x14ac:dyDescent="0.2">
      <c r="A64" s="19"/>
      <c r="B64" s="19"/>
      <c r="C64" s="19"/>
      <c r="D64" s="17"/>
      <c r="E64" s="18"/>
      <c r="F64" s="17"/>
      <c r="J64" s="13"/>
      <c r="L64" s="13"/>
      <c r="M64" s="13"/>
      <c r="N64" s="13"/>
      <c r="O64" s="13"/>
      <c r="P64" s="13"/>
    </row>
    <row r="65" spans="1:16" ht="15" customHeight="1" x14ac:dyDescent="0.2">
      <c r="A65" s="19"/>
      <c r="B65" s="19"/>
      <c r="C65" s="19"/>
      <c r="D65" s="17"/>
      <c r="E65" s="18"/>
      <c r="F65" s="17"/>
      <c r="J65" s="13"/>
      <c r="K65" s="20" t="s">
        <v>46</v>
      </c>
      <c r="L65" s="13"/>
      <c r="M65" s="13"/>
      <c r="N65" s="13"/>
      <c r="O65" s="13"/>
      <c r="P65" s="13"/>
    </row>
    <row r="66" spans="1:16" ht="15" customHeight="1" x14ac:dyDescent="0.2">
      <c r="A66" s="19"/>
      <c r="B66" s="19"/>
      <c r="C66" s="19"/>
      <c r="D66" s="17"/>
      <c r="E66" s="18"/>
      <c r="F66" s="17"/>
      <c r="J66" s="13"/>
      <c r="K66" s="16" t="str">
        <f>+CONCATENATE("a. Velocidad de ensayo: ",C22, D22)</f>
        <v>a. Velocidad de ensayo: 0,5  MPa/s</v>
      </c>
      <c r="M66" s="14"/>
      <c r="N66" s="14"/>
      <c r="O66" s="15"/>
      <c r="P66" s="13"/>
    </row>
    <row r="67" spans="1:16" ht="15" customHeight="1" x14ac:dyDescent="0.25">
      <c r="A67" s="19"/>
      <c r="B67" s="19"/>
      <c r="C67" s="19"/>
      <c r="D67" s="17"/>
      <c r="E67" s="18"/>
      <c r="F67" s="17"/>
      <c r="J67" s="13"/>
      <c r="K67" s="16" t="s">
        <v>116</v>
      </c>
      <c r="M67" s="14"/>
      <c r="N67" s="14"/>
      <c r="O67" s="15"/>
      <c r="P67" s="13"/>
    </row>
    <row r="68" spans="1:16" ht="15" customHeight="1" x14ac:dyDescent="0.2">
      <c r="J68" s="13"/>
      <c r="M68" s="14"/>
      <c r="N68" s="14"/>
      <c r="P68" s="13"/>
    </row>
    <row r="69" spans="1:16" ht="15" customHeight="1" x14ac:dyDescent="0.2">
      <c r="J69" s="13"/>
      <c r="M69" s="14"/>
      <c r="N69" s="14"/>
    </row>
    <row r="70" spans="1:16" ht="15" customHeight="1" x14ac:dyDescent="0.2">
      <c r="J70" s="13"/>
      <c r="M70" s="14"/>
      <c r="N70" s="14"/>
    </row>
    <row r="71" spans="1:16" ht="15" customHeight="1" x14ac:dyDescent="0.2">
      <c r="J71" s="13"/>
    </row>
    <row r="72" spans="1:16" ht="15" customHeight="1" x14ac:dyDescent="0.2">
      <c r="J72" s="13"/>
    </row>
    <row r="73" spans="1:16" ht="15" customHeight="1" x14ac:dyDescent="0.2">
      <c r="J73" s="13"/>
    </row>
    <row r="74" spans="1:16" ht="15" customHeight="1" x14ac:dyDescent="0.2">
      <c r="J74" s="13"/>
    </row>
    <row r="75" spans="1:16" ht="15" customHeight="1" x14ac:dyDescent="0.2">
      <c r="J75" s="13"/>
    </row>
    <row r="76" spans="1:16" ht="15" customHeight="1" x14ac:dyDescent="0.2">
      <c r="J76" s="13"/>
    </row>
    <row r="77" spans="1:16" ht="15" customHeight="1" x14ac:dyDescent="0.2"/>
    <row r="78" spans="1:16" ht="15" customHeight="1" x14ac:dyDescent="0.2"/>
    <row r="79" spans="1:16" ht="15" customHeight="1" x14ac:dyDescent="0.2"/>
    <row r="80" spans="1:16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" customHeight="1" x14ac:dyDescent="0.2"/>
    <row r="610" ht="1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" customHeight="1" x14ac:dyDescent="0.2"/>
    <row r="664" ht="1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" customHeight="1" x14ac:dyDescent="0.2"/>
    <row r="718" ht="1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" customHeight="1" x14ac:dyDescent="0.2"/>
    <row r="772" ht="1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" customHeight="1" x14ac:dyDescent="0.2"/>
    <row r="826" ht="1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</sheetData>
  <sheetProtection formatCells="0" formatColumns="0" formatRows="0"/>
  <mergeCells count="10">
    <mergeCell ref="Q53:AB53"/>
    <mergeCell ref="Q1:AB1"/>
    <mergeCell ref="L6:O6"/>
    <mergeCell ref="L7:O7"/>
    <mergeCell ref="AD8:AE8"/>
    <mergeCell ref="AD9:AE9"/>
    <mergeCell ref="AD11:AE13"/>
    <mergeCell ref="L23:M23"/>
    <mergeCell ref="L24:L25"/>
    <mergeCell ref="M24:M25"/>
  </mergeCells>
  <conditionalFormatting sqref="C2">
    <cfRule type="cellIs" dxfId="6" priority="7" operator="greaterThan">
      <formula>0</formula>
    </cfRule>
  </conditionalFormatting>
  <conditionalFormatting sqref="C3:C7">
    <cfRule type="cellIs" dxfId="5" priority="6" operator="greaterThan">
      <formula>0</formula>
    </cfRule>
  </conditionalFormatting>
  <conditionalFormatting sqref="C9:C20">
    <cfRule type="cellIs" dxfId="4" priority="5" operator="greaterThan">
      <formula>0</formula>
    </cfRule>
  </conditionalFormatting>
  <conditionalFormatting sqref="C22">
    <cfRule type="cellIs" dxfId="3" priority="4" operator="greaterThan">
      <formula>0</formula>
    </cfRule>
  </conditionalFormatting>
  <conditionalFormatting sqref="G18 G20">
    <cfRule type="cellIs" dxfId="2" priority="3" operator="greaterThan">
      <formula>0</formula>
    </cfRule>
  </conditionalFormatting>
  <conditionalFormatting sqref="G7:G8">
    <cfRule type="cellIs" dxfId="1" priority="2" operator="greaterThan">
      <formula>0</formula>
    </cfRule>
  </conditionalFormatting>
  <conditionalFormatting sqref="G19">
    <cfRule type="cellIs" dxfId="0" priority="1" operator="greaterThan">
      <formula>0</formula>
    </cfRule>
  </conditionalFormatting>
  <pageMargins left="0.75" right="0.75" top="1" bottom="1" header="0" footer="0"/>
  <pageSetup paperSize="9" orientation="portrait" r:id="rId1"/>
  <headerFooter alignWithMargins="0"/>
  <ignoredErrors>
    <ignoredError sqref="L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nsertarFotos">
                <anchor>
                  <from>
                    <xdr:col>29</xdr:col>
                    <xdr:colOff>590550</xdr:colOff>
                    <xdr:row>0</xdr:row>
                    <xdr:rowOff>123825</xdr:rowOff>
                  </from>
                  <to>
                    <xdr:col>30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Ingreso Datos</vt:lpstr>
      <vt:lpstr>6</vt:lpstr>
      <vt:lpstr>8 (No cumple por esbeltez)</vt:lpstr>
      <vt:lpstr>9</vt:lpstr>
    </vt:vector>
  </TitlesOfParts>
  <Company>Universidad De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POBLETE OLAVE</dc:creator>
  <cp:lastModifiedBy>user</cp:lastModifiedBy>
  <cp:lastPrinted>2009-11-19T16:40:44Z</cp:lastPrinted>
  <dcterms:created xsi:type="dcterms:W3CDTF">1999-10-13T14:07:43Z</dcterms:created>
  <dcterms:modified xsi:type="dcterms:W3CDTF">2023-08-28T20:50:37Z</dcterms:modified>
</cp:coreProperties>
</file>