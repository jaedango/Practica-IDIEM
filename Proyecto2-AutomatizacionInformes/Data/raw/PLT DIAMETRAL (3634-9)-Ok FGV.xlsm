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slg-secc_laboratorio\2023\03. PROYECTOS\STRABAG SPA\CAMPAÑA DE SONDAJES\C1BH-L12-L10-3+830-R (3634)\03 ENSAYOS\"/>
    </mc:Choice>
  </mc:AlternateContent>
  <bookViews>
    <workbookView xWindow="-120" yWindow="-120" windowWidth="20730" windowHeight="11160" tabRatio="858" activeTab="1"/>
  </bookViews>
  <sheets>
    <sheet name="Ingreso Datos" sheetId="206" r:id="rId1"/>
    <sheet name="9" sheetId="208" r:id="rId2"/>
  </sheets>
  <externalReferences>
    <externalReference r:id="rId3"/>
  </externalReferences>
  <definedNames>
    <definedName name="__123Graph_A" localSheetId="1" hidden="1">'[1]Ensaye Carga Puntual'!#REF!</definedName>
    <definedName name="__123Graph_A" hidden="1">'[1]Ensaye Carga Puntual'!#REF!</definedName>
    <definedName name="__123Graph_C" localSheetId="1" hidden="1">'[1]Ensaye Carga Puntual'!#REF!</definedName>
    <definedName name="__123Graph_C" hidden="1">'[1]Ensaye Carga Puntual'!#REF!</definedName>
    <definedName name="__123Graph_D" localSheetId="1" hidden="1">'[1]Ensaye Carga Puntual'!#REF!</definedName>
    <definedName name="__123Graph_D" hidden="1">'[1]Ensaye Carga Puntual'!#REF!</definedName>
    <definedName name="__123Graph_X" localSheetId="1" hidden="1">'[1]Ensaye Carga Puntual'!#REF!</definedName>
    <definedName name="__123Graph_X" hidden="1">'[1]Ensaye Carga Puntual'!#REF!</definedName>
    <definedName name="_Key1" hidden="1">'[1]Ensaye Carga Puntual'!$A$8:$A$14</definedName>
    <definedName name="_Order1" hidden="1">0</definedName>
    <definedName name="_Regression_Out" localSheetId="1" hidden="1">'[1]Ensaye Carga Puntual'!#REF!</definedName>
    <definedName name="_Regression_Out" hidden="1">'[1]Ensaye Carga Puntual'!#REF!</definedName>
    <definedName name="_Regression_X" localSheetId="1" hidden="1">'[1]Ensaye Carga Puntual'!#REF!</definedName>
    <definedName name="_Regression_X" hidden="1">'[1]Ensaye Carga Puntual'!#REF!</definedName>
    <definedName name="_Regression_Y" localSheetId="1" hidden="1">'[1]Ensaye Carga Puntual'!#REF!</definedName>
    <definedName name="_Regression_Y" hidden="1">'[1]Ensaye Carga Puntual'!#REF!</definedName>
    <definedName name="_Sort" localSheetId="1" hidden="1">'[1]Ensaye Carga Puntual'!#REF!</definedName>
    <definedName name="_Sort" hidden="1">'[1]Ensaye Carga Puntual'!#REF!</definedName>
    <definedName name="_xlnm.Print_Area" localSheetId="1">'9'!$L$1:$R$62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208" l="1"/>
  <c r="P26" i="208" l="1"/>
  <c r="R23" i="208"/>
  <c r="M23" i="208"/>
  <c r="L23" i="208"/>
  <c r="R22" i="208"/>
  <c r="M22" i="208"/>
  <c r="L22" i="208"/>
  <c r="R21" i="208"/>
  <c r="M21" i="208"/>
  <c r="L21" i="208"/>
  <c r="I19" i="208"/>
  <c r="G19" i="208"/>
  <c r="P23" i="208" s="1"/>
  <c r="D19" i="208"/>
  <c r="F19" i="208" s="1"/>
  <c r="I18" i="208"/>
  <c r="G18" i="208"/>
  <c r="P22" i="208" s="1"/>
  <c r="D18" i="208"/>
  <c r="F18" i="208" s="1"/>
  <c r="I17" i="208"/>
  <c r="G17" i="208"/>
  <c r="P21" i="208" s="1"/>
  <c r="D17" i="208"/>
  <c r="E17" i="208" s="1"/>
  <c r="N21" i="208" s="1"/>
  <c r="N14" i="208"/>
  <c r="N13" i="208"/>
  <c r="N12" i="208"/>
  <c r="N11" i="208"/>
  <c r="N8" i="208"/>
  <c r="N7" i="208"/>
  <c r="N5" i="208"/>
  <c r="N4" i="208"/>
  <c r="U3" i="208"/>
  <c r="F17" i="208" l="1"/>
  <c r="O21" i="208" s="1"/>
  <c r="H18" i="208"/>
  <c r="Q22" i="208" s="1"/>
  <c r="O22" i="208"/>
  <c r="O23" i="208"/>
  <c r="H19" i="208"/>
  <c r="Q23" i="208" s="1"/>
  <c r="E19" i="208"/>
  <c r="N23" i="208" s="1"/>
  <c r="E18" i="208"/>
  <c r="N22" i="208" s="1"/>
  <c r="H17" i="208" l="1"/>
  <c r="Q21" i="208" s="1"/>
  <c r="P27" i="208" s="1"/>
  <c r="P28" i="208" s="1"/>
</calcChain>
</file>

<file path=xl/sharedStrings.xml><?xml version="1.0" encoding="utf-8"?>
<sst xmlns="http://schemas.openxmlformats.org/spreadsheetml/2006/main" count="109" uniqueCount="84">
  <si>
    <t>Proyecto</t>
  </si>
  <si>
    <t>Muestra</t>
  </si>
  <si>
    <t>Orden de Trabajo</t>
  </si>
  <si>
    <t>Fecha de Inicio</t>
  </si>
  <si>
    <t>Fecha de Término</t>
  </si>
  <si>
    <t>Referencias</t>
  </si>
  <si>
    <t>Observaciones</t>
  </si>
  <si>
    <t>Tipo de Roca</t>
  </si>
  <si>
    <t>Fracturas / Vetillas</t>
  </si>
  <si>
    <t>Alteraciones</t>
  </si>
  <si>
    <t>FOTOGRAFÍAS</t>
  </si>
  <si>
    <t>[N]</t>
  </si>
  <si>
    <t>DATOS ENSAYO</t>
  </si>
  <si>
    <t>Nº INFORME</t>
  </si>
  <si>
    <t>CANTIDAD DE HOJAS (01 HASTA 30)</t>
  </si>
  <si>
    <t>Hoja Nº</t>
  </si>
  <si>
    <t>Nombre Hoja</t>
  </si>
  <si>
    <t>PROYECTO</t>
  </si>
  <si>
    <t>MUESTRA</t>
  </si>
  <si>
    <t>a. Muestras ensayadas en testigo de roca.</t>
  </si>
  <si>
    <t>1. Determinación de Índice de Resistencia de Carga Puntual basada en ASTM D5731-16</t>
  </si>
  <si>
    <t>mayor a 10.0  [MPa] = Extremadamente Alta.</t>
  </si>
  <si>
    <t>3.0  a 10.0  [MPa] = Muy Alta.</t>
  </si>
  <si>
    <t>1.0  a  3.0  [MPa] = Alta.</t>
  </si>
  <si>
    <t xml:space="preserve"> 0,3  a  1,0  [MPa] = Media.</t>
  </si>
  <si>
    <t xml:space="preserve"> 0,1  a   0,3  [MPa] = Baja.</t>
  </si>
  <si>
    <t xml:space="preserve"> 0,03  a   0,1  [MPa] = Muy Baja.</t>
  </si>
  <si>
    <t>menor a   0,03  [MPa] = Extremadamente Baja.</t>
  </si>
  <si>
    <t>STANDARD TEST METHOD FOR DETERMINATION OF THE POINT LOAD STRENGTH INDEX OF ROCK AND APPLICATION TO ROCK STRENGTH CLASSIFICATIONS</t>
  </si>
  <si>
    <t>Clasificación de Resistencia (*)</t>
  </si>
  <si>
    <t>Índice de  Resistencia para diámetro 50 mm, "Is (50)" [MPa]</t>
  </si>
  <si>
    <t>Contenido de Humedad [%]</t>
  </si>
  <si>
    <t>Resultados:</t>
  </si>
  <si>
    <t>[mm]</t>
  </si>
  <si>
    <t>Puntual (Is50)</t>
  </si>
  <si>
    <t>Corrección (F)</t>
  </si>
  <si>
    <t>Puntual (Is)</t>
  </si>
  <si>
    <t>de Ruptura</t>
  </si>
  <si>
    <t>Índice de Carga</t>
  </si>
  <si>
    <t>Factor de</t>
  </si>
  <si>
    <t>Fuerza</t>
  </si>
  <si>
    <t>Manométrica</t>
  </si>
  <si>
    <t>Presión</t>
  </si>
  <si>
    <t>HUMEDAD</t>
  </si>
  <si>
    <t>ALTERACIONES</t>
  </si>
  <si>
    <t>DESCRIPCIÓN MUESTRA</t>
  </si>
  <si>
    <t>FRAC./VETILL.</t>
  </si>
  <si>
    <t>TIPO DE ROCA</t>
  </si>
  <si>
    <t>FECHA termino</t>
  </si>
  <si>
    <t>FECHA inicio</t>
  </si>
  <si>
    <t>[kN]</t>
  </si>
  <si>
    <t>[MPa]</t>
  </si>
  <si>
    <t>Falla por</t>
  </si>
  <si>
    <t>kN</t>
  </si>
  <si>
    <t>[psi]</t>
  </si>
  <si>
    <t>-</t>
  </si>
  <si>
    <t>INFORME ENSAYO CARGA PUNTUAL DIAMETRAL EN ROCA</t>
  </si>
  <si>
    <t>CAMBIAR SOLO LOS VALORES EN ROJO Y AGREGAR FOTOGRAFIAS (50% VGA)</t>
  </si>
  <si>
    <t>Nº Informe</t>
  </si>
  <si>
    <t>Relación</t>
  </si>
  <si>
    <t xml:space="preserve">Muestra </t>
  </si>
  <si>
    <t>Diámetro (D)</t>
  </si>
  <si>
    <t>Largo (L)</t>
  </si>
  <si>
    <t>Esbeltex</t>
  </si>
  <si>
    <t>(mm)</t>
  </si>
  <si>
    <t>L/D</t>
  </si>
  <si>
    <t>Matriz (Válida)</t>
  </si>
  <si>
    <t>Diámetro</t>
  </si>
  <si>
    <t>Largo</t>
  </si>
  <si>
    <t>(*) Tabla de Clasificación de Resistencia</t>
  </si>
  <si>
    <t>D 5731 - 08</t>
  </si>
  <si>
    <t>2. Determinación de Humedad según DGL-PP-07 basado en ASTM D2216-05</t>
  </si>
  <si>
    <t>Matriz (No válida)</t>
  </si>
  <si>
    <t>Mixta (Válida)</t>
  </si>
  <si>
    <t>Mixta (No válida)</t>
  </si>
  <si>
    <t>Estructura (Válida)</t>
  </si>
  <si>
    <t>Estructura (No válida)</t>
  </si>
  <si>
    <t>C1BH-L12-L10-3+830-R (04,83-05,30)</t>
  </si>
  <si>
    <t xml:space="preserve"> C1BH-L12-L10-3+830-R </t>
  </si>
  <si>
    <t xml:space="preserve">Toba de lapilli lítica </t>
  </si>
  <si>
    <t>Óxidos de hierro</t>
  </si>
  <si>
    <t>1.965.917-A</t>
  </si>
  <si>
    <t>C1BH-L12-L10-3+830-R</t>
  </si>
  <si>
    <t>Óxidación y zeolitización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</si>
</sst>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_)"/>
    <numFmt numFmtId="165" formatCode="0.000"/>
    <numFmt numFmtId="166" formatCode="0_)"/>
    <numFmt numFmtId="167" formatCode="0.0_)"/>
    <numFmt numFmtId="168" formatCode="0.000_)"/>
    <numFmt numFmtId="170" formatCode="dd/mm/yyyy;@"/>
  </numFmts>
  <fonts count="17" x14ac:knownFonts="1">
    <font>
      <sz val="10"/>
      <name val="Courier"/>
    </font>
    <font>
      <b/>
      <sz val="9"/>
      <name val="Arial"/>
      <family val="2"/>
    </font>
    <font>
      <sz val="9"/>
      <name val="Arial"/>
      <family val="2"/>
    </font>
    <font>
      <b/>
      <u/>
      <sz val="9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sz val="8.5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color indexed="4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9"/>
      <color indexed="8"/>
      <name val="Arial"/>
      <family val="2"/>
    </font>
    <font>
      <b/>
      <sz val="8"/>
      <name val="Arial"/>
      <family val="2"/>
    </font>
    <font>
      <sz val="9"/>
      <color rgb="FFFF0000"/>
      <name val="Arial"/>
      <family val="2"/>
    </font>
    <font>
      <sz val="7.5"/>
      <name val="Arial"/>
      <family val="2"/>
    </font>
    <font>
      <sz val="9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2" fillId="0" borderId="12" xfId="0" applyFont="1" applyFill="1" applyBorder="1" applyAlignment="1" applyProtection="1">
      <alignment horizontal="left" vertical="center"/>
    </xf>
    <xf numFmtId="0" fontId="6" fillId="2" borderId="4" xfId="0" applyNumberFormat="1" applyFont="1" applyFill="1" applyBorder="1" applyAlignment="1" applyProtection="1">
      <alignment vertical="center"/>
    </xf>
    <xf numFmtId="0" fontId="6" fillId="2" borderId="2" xfId="0" applyNumberFormat="1" applyFont="1" applyFill="1" applyBorder="1" applyAlignment="1" applyProtection="1">
      <alignment vertical="center"/>
    </xf>
    <xf numFmtId="0" fontId="6" fillId="2" borderId="3" xfId="0" applyNumberFormat="1" applyFont="1" applyFill="1" applyBorder="1" applyAlignment="1" applyProtection="1">
      <alignment vertical="center"/>
    </xf>
    <xf numFmtId="0" fontId="7" fillId="0" borderId="0" xfId="0" applyFont="1" applyAlignment="1">
      <alignment vertical="center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8" fillId="0" borderId="6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2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left"/>
      <protection locked="0"/>
    </xf>
    <xf numFmtId="0" fontId="1" fillId="0" borderId="0" xfId="0" applyFont="1" applyFill="1" applyProtection="1">
      <protection locked="0"/>
    </xf>
    <xf numFmtId="0" fontId="5" fillId="0" borderId="6" xfId="0" applyFont="1" applyFill="1" applyBorder="1" applyProtection="1">
      <protection locked="0"/>
    </xf>
    <xf numFmtId="0" fontId="5" fillId="0" borderId="2" xfId="0" applyFont="1" applyFill="1" applyBorder="1" applyProtection="1">
      <protection locked="0"/>
    </xf>
    <xf numFmtId="0" fontId="2" fillId="0" borderId="2" xfId="0" applyFont="1" applyFill="1" applyBorder="1" applyProtection="1">
      <protection locked="0"/>
    </xf>
    <xf numFmtId="0" fontId="2" fillId="0" borderId="3" xfId="0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left"/>
      <protection locked="0"/>
    </xf>
    <xf numFmtId="0" fontId="4" fillId="3" borderId="6" xfId="0" applyFont="1" applyFill="1" applyBorder="1" applyAlignment="1" applyProtection="1">
      <alignment horizontal="left"/>
      <protection locked="0"/>
    </xf>
    <xf numFmtId="0" fontId="4" fillId="0" borderId="0" xfId="0" applyFont="1" applyFill="1" applyProtection="1">
      <protection locked="0"/>
    </xf>
    <xf numFmtId="0" fontId="2" fillId="0" borderId="12" xfId="0" applyFont="1" applyFill="1" applyBorder="1" applyAlignment="1" applyProtection="1">
      <alignment horizontal="left" vertical="center" indent="1"/>
    </xf>
    <xf numFmtId="0" fontId="2" fillId="0" borderId="2" xfId="0" applyFont="1" applyFill="1" applyBorder="1" applyProtection="1"/>
    <xf numFmtId="0" fontId="2" fillId="0" borderId="1" xfId="0" applyFont="1" applyFill="1" applyBorder="1" applyProtection="1"/>
    <xf numFmtId="0" fontId="2" fillId="0" borderId="13" xfId="0" applyFont="1" applyFill="1" applyBorder="1" applyProtection="1"/>
    <xf numFmtId="0" fontId="2" fillId="0" borderId="3" xfId="0" applyFont="1" applyFill="1" applyBorder="1" applyProtection="1"/>
    <xf numFmtId="16" fontId="4" fillId="3" borderId="6" xfId="0" applyNumberFormat="1" applyFont="1" applyFill="1" applyBorder="1" applyAlignment="1" applyProtection="1">
      <alignment horizontal="left"/>
      <protection locked="0"/>
    </xf>
    <xf numFmtId="0" fontId="2" fillId="0" borderId="4" xfId="0" applyFont="1" applyFill="1" applyBorder="1" applyAlignment="1" applyProtection="1">
      <alignment horizontal="left" vertical="center" indent="1"/>
    </xf>
    <xf numFmtId="3" fontId="2" fillId="0" borderId="0" xfId="0" applyNumberFormat="1" applyFont="1" applyFill="1" applyProtection="1">
      <protection locked="0"/>
    </xf>
    <xf numFmtId="0" fontId="2" fillId="0" borderId="5" xfId="0" applyFont="1" applyFill="1" applyBorder="1" applyProtection="1"/>
    <xf numFmtId="0" fontId="2" fillId="0" borderId="15" xfId="0" applyFont="1" applyFill="1" applyBorder="1" applyProtection="1"/>
    <xf numFmtId="0" fontId="1" fillId="0" borderId="0" xfId="0" applyFont="1" applyFill="1" applyAlignment="1" applyProtection="1">
      <alignment horizontal="left" vertical="center"/>
    </xf>
    <xf numFmtId="0" fontId="2" fillId="0" borderId="0" xfId="0" applyFont="1" applyFill="1" applyAlignment="1" applyProtection="1">
      <alignment horizontal="left" vertical="center" indent="1"/>
    </xf>
    <xf numFmtId="0" fontId="2" fillId="0" borderId="0" xfId="0" applyFont="1" applyFill="1" applyProtection="1"/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164" fontId="2" fillId="0" borderId="4" xfId="0" applyNumberFormat="1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/>
      <protection locked="0"/>
    </xf>
    <xf numFmtId="0" fontId="2" fillId="0" borderId="5" xfId="0" applyFont="1" applyFill="1" applyBorder="1" applyAlignment="1" applyProtection="1">
      <alignment horizontal="center"/>
      <protection locked="0"/>
    </xf>
    <xf numFmtId="0" fontId="15" fillId="0" borderId="14" xfId="0" applyFont="1" applyFill="1" applyBorder="1" applyAlignment="1" applyProtection="1">
      <alignment horizontal="center"/>
      <protection locked="0"/>
    </xf>
    <xf numFmtId="0" fontId="15" fillId="0" borderId="9" xfId="0" applyFont="1" applyFill="1" applyBorder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15" fillId="0" borderId="11" xfId="0" applyFont="1" applyFill="1" applyBorder="1" applyAlignment="1" applyProtection="1">
      <alignment horizontal="center"/>
      <protection locked="0"/>
    </xf>
    <xf numFmtId="0" fontId="15" fillId="0" borderId="11" xfId="0" applyFont="1" applyFill="1" applyBorder="1" applyProtection="1">
      <protection locked="0"/>
    </xf>
    <xf numFmtId="2" fontId="4" fillId="3" borderId="6" xfId="0" applyNumberFormat="1" applyFont="1" applyFill="1" applyBorder="1" applyAlignment="1" applyProtection="1">
      <alignment horizontal="center"/>
      <protection locked="0"/>
    </xf>
    <xf numFmtId="2" fontId="12" fillId="0" borderId="6" xfId="0" applyNumberFormat="1" applyFont="1" applyFill="1" applyBorder="1" applyAlignment="1" applyProtection="1">
      <alignment horizontal="center"/>
    </xf>
    <xf numFmtId="2" fontId="14" fillId="0" borderId="6" xfId="0" applyNumberFormat="1" applyFont="1" applyFill="1" applyBorder="1" applyAlignment="1" applyProtection="1">
      <alignment horizontal="center"/>
      <protection locked="0"/>
    </xf>
    <xf numFmtId="0" fontId="2" fillId="0" borderId="12" xfId="0" applyFont="1" applyFill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3" xfId="0" applyFont="1" applyFill="1" applyBorder="1" applyAlignment="1" applyProtection="1">
      <alignment horizontal="center"/>
    </xf>
    <xf numFmtId="0" fontId="2" fillId="0" borderId="8" xfId="0" applyFont="1" applyFill="1" applyBorder="1" applyAlignment="1" applyProtection="1">
      <alignment horizontal="center"/>
    </xf>
    <xf numFmtId="0" fontId="2" fillId="0" borderId="14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10" fillId="0" borderId="0" xfId="0" applyFont="1" applyFill="1" applyAlignment="1" applyProtection="1">
      <protection locked="0"/>
    </xf>
    <xf numFmtId="0" fontId="2" fillId="0" borderId="7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  <protection locked="0"/>
    </xf>
    <xf numFmtId="1" fontId="4" fillId="0" borderId="0" xfId="0" applyNumberFormat="1" applyFont="1" applyFill="1" applyBorder="1" applyAlignment="1" applyProtection="1">
      <alignment horizontal="center"/>
      <protection locked="0"/>
    </xf>
    <xf numFmtId="2" fontId="12" fillId="0" borderId="0" xfId="0" applyNumberFormat="1" applyFont="1" applyFill="1" applyBorder="1" applyAlignment="1" applyProtection="1">
      <alignment horizontal="center"/>
      <protection locked="0"/>
    </xf>
    <xf numFmtId="164" fontId="2" fillId="0" borderId="6" xfId="0" applyNumberFormat="1" applyFont="1" applyFill="1" applyBorder="1" applyAlignment="1" applyProtection="1">
      <alignment horizontal="center" vertical="center"/>
    </xf>
    <xf numFmtId="2" fontId="2" fillId="0" borderId="6" xfId="0" applyNumberFormat="1" applyFont="1" applyFill="1" applyBorder="1" applyAlignment="1" applyProtection="1">
      <alignment horizontal="center" vertical="center"/>
    </xf>
    <xf numFmtId="167" fontId="4" fillId="0" borderId="0" xfId="0" applyNumberFormat="1" applyFont="1" applyFill="1" applyBorder="1" applyAlignment="1" applyProtection="1">
      <alignment horizontal="center"/>
      <protection locked="0"/>
    </xf>
    <xf numFmtId="164" fontId="9" fillId="0" borderId="0" xfId="0" applyNumberFormat="1" applyFont="1" applyFill="1" applyBorder="1" applyAlignment="1" applyProtection="1">
      <alignment horizontal="center"/>
      <protection locked="0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0" fontId="16" fillId="0" borderId="0" xfId="0" applyFont="1" applyFill="1" applyProtection="1">
      <protection locked="0"/>
    </xf>
    <xf numFmtId="168" fontId="4" fillId="0" borderId="0" xfId="0" applyNumberFormat="1" applyFont="1" applyFill="1" applyBorder="1" applyAlignment="1" applyProtection="1">
      <alignment horizontal="center"/>
      <protection locked="0"/>
    </xf>
    <xf numFmtId="164" fontId="4" fillId="0" borderId="0" xfId="0" applyNumberFormat="1" applyFont="1" applyFill="1" applyBorder="1" applyAlignment="1" applyProtection="1">
      <alignment horizontal="center"/>
      <protection locked="0"/>
    </xf>
    <xf numFmtId="166" fontId="4" fillId="0" borderId="0" xfId="0" applyNumberFormat="1" applyFont="1" applyFill="1" applyBorder="1" applyAlignment="1" applyProtection="1">
      <alignment horizontal="center"/>
      <protection locked="0"/>
    </xf>
    <xf numFmtId="165" fontId="4" fillId="0" borderId="0" xfId="0" applyNumberFormat="1" applyFont="1" applyFill="1" applyBorder="1" applyAlignment="1" applyProtection="1">
      <alignment horizontal="center"/>
      <protection locked="0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3" xfId="0" applyFont="1" applyFill="1" applyBorder="1" applyAlignment="1" applyProtection="1">
      <alignment horizontal="left" vertical="center"/>
    </xf>
    <xf numFmtId="2" fontId="2" fillId="0" borderId="0" xfId="0" applyNumberFormat="1" applyFont="1" applyFill="1" applyBorder="1" applyAlignment="1" applyProtection="1">
      <alignment horizontal="center"/>
      <protection locked="0"/>
    </xf>
    <xf numFmtId="0" fontId="2" fillId="0" borderId="3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/>
      <protection locked="0"/>
    </xf>
    <xf numFmtId="0" fontId="11" fillId="0" borderId="0" xfId="0" applyFont="1" applyFill="1" applyBorder="1" applyAlignment="1" applyProtection="1">
      <alignment horizontal="center"/>
      <protection locked="0"/>
    </xf>
    <xf numFmtId="164" fontId="2" fillId="0" borderId="0" xfId="0" applyNumberFormat="1" applyFont="1" applyFill="1" applyBorder="1" applyAlignment="1" applyProtection="1">
      <alignment horizontal="center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alignment horizontal="center"/>
      <protection locked="0"/>
    </xf>
    <xf numFmtId="2" fontId="2" fillId="0" borderId="0" xfId="0" applyNumberFormat="1" applyFont="1" applyFill="1" applyProtection="1">
      <protection locked="0"/>
    </xf>
    <xf numFmtId="0" fontId="3" fillId="0" borderId="0" xfId="0" applyFont="1" applyFill="1" applyProtection="1">
      <protection locked="0"/>
    </xf>
    <xf numFmtId="0" fontId="2" fillId="0" borderId="0" xfId="0" quotePrefix="1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center"/>
      <protection locked="0"/>
    </xf>
    <xf numFmtId="166" fontId="2" fillId="0" borderId="0" xfId="0" applyNumberFormat="1" applyFont="1" applyFill="1" applyBorder="1" applyAlignment="1" applyProtection="1">
      <alignment horizontal="center"/>
      <protection locked="0"/>
    </xf>
    <xf numFmtId="165" fontId="2" fillId="0" borderId="0" xfId="0" applyNumberFormat="1" applyFont="1" applyFill="1" applyBorder="1" applyAlignment="1" applyProtection="1">
      <alignment horizontal="center"/>
      <protection locked="0"/>
    </xf>
    <xf numFmtId="164" fontId="2" fillId="0" borderId="0" xfId="0" applyNumberFormat="1" applyFont="1" applyFill="1" applyProtection="1">
      <protection locked="0"/>
    </xf>
    <xf numFmtId="0" fontId="16" fillId="4" borderId="0" xfId="0" applyFont="1" applyFill="1" applyProtection="1">
      <protection locked="0"/>
    </xf>
    <xf numFmtId="0" fontId="1" fillId="0" borderId="6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</xf>
    <xf numFmtId="0" fontId="10" fillId="0" borderId="4" xfId="0" applyFont="1" applyFill="1" applyBorder="1" applyAlignment="1" applyProtection="1">
      <alignment horizontal="center"/>
      <protection locked="0"/>
    </xf>
    <xf numFmtId="0" fontId="10" fillId="0" borderId="2" xfId="0" applyFont="1" applyFill="1" applyBorder="1" applyAlignment="1" applyProtection="1">
      <alignment horizontal="center"/>
      <protection locked="0"/>
    </xf>
    <xf numFmtId="0" fontId="10" fillId="0" borderId="3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center"/>
      <protection locked="0"/>
    </xf>
    <xf numFmtId="0" fontId="1" fillId="0" borderId="4" xfId="0" applyFont="1" applyFill="1" applyBorder="1" applyAlignment="1" applyProtection="1">
      <alignment horizontal="left" vertical="center"/>
    </xf>
    <xf numFmtId="0" fontId="1" fillId="0" borderId="3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3" xfId="0" applyFont="1" applyFill="1" applyBorder="1" applyAlignment="1" applyProtection="1">
      <alignment horizontal="left" vertical="center"/>
    </xf>
    <xf numFmtId="0" fontId="13" fillId="0" borderId="12" xfId="0" applyFont="1" applyFill="1" applyBorder="1" applyAlignment="1" applyProtection="1">
      <alignment horizontal="center"/>
      <protection locked="0"/>
    </xf>
    <xf numFmtId="0" fontId="13" fillId="0" borderId="1" xfId="0" applyFont="1" applyFill="1" applyBorder="1" applyAlignment="1" applyProtection="1">
      <alignment horizontal="center"/>
      <protection locked="0"/>
    </xf>
    <xf numFmtId="0" fontId="13" fillId="0" borderId="13" xfId="0" applyFont="1" applyFill="1" applyBorder="1" applyAlignment="1" applyProtection="1">
      <alignment horizontal="center"/>
      <protection locked="0"/>
    </xf>
    <xf numFmtId="0" fontId="11" fillId="0" borderId="8" xfId="0" applyFont="1" applyFill="1" applyBorder="1" applyAlignment="1" applyProtection="1">
      <alignment horizontal="center"/>
      <protection locked="0"/>
    </xf>
    <xf numFmtId="0" fontId="11" fillId="0" borderId="0" xfId="0" applyFont="1" applyFill="1" applyBorder="1" applyAlignment="1" applyProtection="1">
      <alignment horizontal="center"/>
      <protection locked="0"/>
    </xf>
    <xf numFmtId="0" fontId="11" fillId="0" borderId="10" xfId="0" applyFont="1" applyFill="1" applyBorder="1" applyAlignment="1" applyProtection="1">
      <alignment horizontal="center"/>
      <protection locked="0"/>
    </xf>
    <xf numFmtId="0" fontId="11" fillId="0" borderId="7" xfId="0" applyFont="1" applyFill="1" applyBorder="1" applyAlignment="1" applyProtection="1">
      <alignment horizontal="center" vertical="center" wrapText="1"/>
      <protection locked="0"/>
    </xf>
    <xf numFmtId="0" fontId="11" fillId="0" borderId="5" xfId="0" applyFont="1" applyFill="1" applyBorder="1" applyAlignment="1" applyProtection="1">
      <alignment horizontal="center" vertical="center" wrapText="1"/>
      <protection locked="0"/>
    </xf>
    <xf numFmtId="0" fontId="11" fillId="0" borderId="15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0" fillId="0" borderId="0" xfId="0" applyFill="1" applyAlignment="1" applyProtection="1">
      <protection locked="0"/>
    </xf>
    <xf numFmtId="170" fontId="2" fillId="0" borderId="4" xfId="0" applyNumberFormat="1" applyFont="1" applyFill="1" applyBorder="1" applyAlignment="1" applyProtection="1">
      <alignment horizontal="left" vertical="center" indent="1"/>
    </xf>
    <xf numFmtId="170" fontId="2" fillId="0" borderId="7" xfId="0" applyNumberFormat="1" applyFont="1" applyFill="1" applyBorder="1" applyAlignment="1" applyProtection="1">
      <alignment horizontal="left" vertical="center" indent="1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419"/>
              <a:t>Gráfico Tensión - Deformación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Natural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814-44FB-BBCF-9611748F1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322015"/>
        <c:axId val="1"/>
      </c:scatterChart>
      <c:valAx>
        <c:axId val="14223220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419"/>
                  <a:t>Deformación Unitaria, [%]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419"/>
                  <a:t>Presión Axial,  [kg/cm2]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422322015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3.5433070866141736" l="0.59055118110236227" r="0.59055118110236227" t="2.3622047244094491" header="0" footer="0"/>
    <c:pageSetup orientation="portrait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4.1297935103244837E-2"/>
          <c:w val="0"/>
          <c:h val="0.769911504424778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FF0000"/>
                </a:solidFill>
                <a:prstDash val="sysDash"/>
              </a:ln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s-419"/>
                </a:p>
              </c:txPr>
            </c:trendlineLbl>
          </c:trendline>
          <c:xVal>
            <c:numLit>
              <c:formatCode>General</c:formatCode>
              <c:ptCount val="14"/>
              <c:pt idx="0">
                <c:v>4</c:v>
              </c:pt>
              <c:pt idx="1">
                <c:v>5.5</c:v>
              </c:pt>
              <c:pt idx="2">
                <c:v>4.5</c:v>
              </c:pt>
              <c:pt idx="3">
                <c:v>3.5</c:v>
              </c:pt>
              <c:pt idx="4">
                <c:v>5.4</c:v>
              </c:pt>
              <c:pt idx="5">
                <c:v>4.5999999999999899</c:v>
              </c:pt>
              <c:pt idx="6">
                <c:v>3.5</c:v>
              </c:pt>
              <c:pt idx="7">
                <c:v>2.2999999999999901</c:v>
              </c:pt>
              <c:pt idx="8">
                <c:v>1.9</c:v>
              </c:pt>
              <c:pt idx="9">
                <c:v>1.3</c:v>
              </c:pt>
              <c:pt idx="10">
                <c:v>3</c:v>
              </c:pt>
              <c:pt idx="11">
                <c:v>1.7</c:v>
              </c:pt>
              <c:pt idx="12">
                <c:v>2.8</c:v>
              </c:pt>
              <c:pt idx="13">
                <c:v>3</c:v>
              </c:pt>
            </c:numLit>
          </c:xVal>
          <c:yVal>
            <c:numLit>
              <c:formatCode>General</c:formatCode>
              <c:ptCount val="14"/>
              <c:pt idx="0">
                <c:v>39.671500000000002</c:v>
              </c:pt>
              <c:pt idx="1">
                <c:v>21.4601652892561</c:v>
              </c:pt>
              <c:pt idx="2">
                <c:v>32.057777777777702</c:v>
              </c:pt>
              <c:pt idx="3">
                <c:v>51.815836734693796</c:v>
              </c:pt>
              <c:pt idx="4">
                <c:v>28.6936899862825</c:v>
              </c:pt>
              <c:pt idx="5">
                <c:v>30.679111531190902</c:v>
              </c:pt>
              <c:pt idx="6">
                <c:v>35.328979591836699</c:v>
              </c:pt>
              <c:pt idx="7">
                <c:v>68.175803402646494</c:v>
              </c:pt>
              <c:pt idx="8">
                <c:v>91.910803324099703</c:v>
              </c:pt>
              <c:pt idx="9">
                <c:v>102.433136094674</c:v>
              </c:pt>
              <c:pt idx="10">
                <c:v>44.880888888888798</c:v>
              </c:pt>
              <c:pt idx="11">
                <c:v>79.867128027681602</c:v>
              </c:pt>
              <c:pt idx="12">
                <c:v>47.8413265306122</c:v>
              </c:pt>
              <c:pt idx="13">
                <c:v>54.498222222222203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B88-4E13-8105-675DF95BFE70}"/>
            </c:ext>
          </c:extLst>
        </c:ser>
        <c:ser>
          <c:idx val="1"/>
          <c:order val="1"/>
          <c:spPr>
            <a:ln w="317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3"/>
              <c:pt idx="0">
                <c:v>5</c:v>
              </c:pt>
              <c:pt idx="1">
                <c:v>5</c:v>
              </c:pt>
              <c:pt idx="2">
                <c:v>1</c:v>
              </c:pt>
            </c:numLit>
          </c:xVal>
          <c:yVal>
            <c:numLit>
              <c:formatCode>General</c:formatCode>
              <c:ptCount val="3"/>
              <c:pt idx="0">
                <c:v>1</c:v>
              </c:pt>
              <c:pt idx="1">
                <c:v>28.811497220990599</c:v>
              </c:pt>
              <c:pt idx="2">
                <c:v>28.811497220990599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B88-4E13-8105-675DF95BF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322847"/>
        <c:axId val="1"/>
      </c:scatterChart>
      <c:valAx>
        <c:axId val="1422322847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s-419"/>
                  <a:t>Distancia entre Puntas, cm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cross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0"/>
          <c:min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s-419"/>
                  <a:t>Índice de Resistencia, kg/cm²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cross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1422322847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openxmlformats.org/officeDocument/2006/relationships/image" Target="../media/image3.jpeg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7</xdr:row>
      <xdr:rowOff>85725</xdr:rowOff>
    </xdr:from>
    <xdr:to>
      <xdr:col>9</xdr:col>
      <xdr:colOff>304800</xdr:colOff>
      <xdr:row>11</xdr:row>
      <xdr:rowOff>142875</xdr:rowOff>
    </xdr:to>
    <xdr:sp macro="[0]!Módulo1.CrearHojas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315075" y="1219200"/>
          <a:ext cx="1600200" cy="70485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800" b="1" i="0"/>
            <a:t>CREAR HOJAS</a:t>
          </a:r>
        </a:p>
      </xdr:txBody>
    </xdr:sp>
    <xdr:clientData/>
  </xdr:twoCellAnchor>
  <xdr:twoCellAnchor>
    <xdr:from>
      <xdr:col>9</xdr:col>
      <xdr:colOff>714375</xdr:colOff>
      <xdr:row>7</xdr:row>
      <xdr:rowOff>80963</xdr:rowOff>
    </xdr:from>
    <xdr:to>
      <xdr:col>11</xdr:col>
      <xdr:colOff>600075</xdr:colOff>
      <xdr:row>11</xdr:row>
      <xdr:rowOff>147638</xdr:rowOff>
    </xdr:to>
    <xdr:sp macro="[0]!Módulo1.CambiaNombres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324850" y="1214438"/>
          <a:ext cx="1562100" cy="71437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600" b="1" i="1"/>
            <a:t>CAMBIAR</a:t>
          </a:r>
          <a:r>
            <a:rPr lang="es-ES" sz="1600" b="1" i="1" baseline="0"/>
            <a:t> NOMBRE HOJAS</a:t>
          </a:r>
          <a:endParaRPr lang="es-ES" sz="16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58</xdr:row>
      <xdr:rowOff>0</xdr:rowOff>
    </xdr:from>
    <xdr:to>
      <xdr:col>18</xdr:col>
      <xdr:colOff>0</xdr:colOff>
      <xdr:row>58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0</xdr:col>
      <xdr:colOff>0</xdr:colOff>
      <xdr:row>52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440532</xdr:colOff>
      <xdr:row>20</xdr:row>
      <xdr:rowOff>116681</xdr:rowOff>
    </xdr:from>
    <xdr:to>
      <xdr:col>24</xdr:col>
      <xdr:colOff>459582</xdr:colOff>
      <xdr:row>21</xdr:row>
      <xdr:rowOff>97631</xdr:rowOff>
    </xdr:to>
    <xdr:sp macro="" textlink="">
      <xdr:nvSpPr>
        <xdr:cNvPr id="4" name="Text Box 1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16890207" y="4117181"/>
          <a:ext cx="40671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Fotografía  antes de ensayo</a:t>
          </a:r>
        </a:p>
      </xdr:txBody>
    </xdr:sp>
    <xdr:clientData/>
  </xdr:twoCellAnchor>
  <xdr:twoCellAnchor>
    <xdr:from>
      <xdr:col>19</xdr:col>
      <xdr:colOff>409575</xdr:colOff>
      <xdr:row>36</xdr:row>
      <xdr:rowOff>95250</xdr:rowOff>
    </xdr:from>
    <xdr:to>
      <xdr:col>24</xdr:col>
      <xdr:colOff>428625</xdr:colOff>
      <xdr:row>37</xdr:row>
      <xdr:rowOff>104775</xdr:rowOff>
    </xdr:to>
    <xdr:sp macro="" textlink="">
      <xdr:nvSpPr>
        <xdr:cNvPr id="5" name="Text Box 1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16859250" y="7448550"/>
          <a:ext cx="40671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Fotografía después de ensayo</a:t>
          </a:r>
        </a:p>
      </xdr:txBody>
    </xdr:sp>
    <xdr:clientData/>
  </xdr:twoCellAnchor>
  <xdr:twoCellAnchor>
    <xdr:from>
      <xdr:col>24</xdr:col>
      <xdr:colOff>659605</xdr:colOff>
      <xdr:row>36</xdr:row>
      <xdr:rowOff>92869</xdr:rowOff>
    </xdr:from>
    <xdr:to>
      <xdr:col>30</xdr:col>
      <xdr:colOff>154780</xdr:colOff>
      <xdr:row>37</xdr:row>
      <xdr:rowOff>102394</xdr:rowOff>
    </xdr:to>
    <xdr:sp macro="" textlink="">
      <xdr:nvSpPr>
        <xdr:cNvPr id="6" name="Text Box 14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21157405" y="7446169"/>
          <a:ext cx="40481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Fotografía después de ensayo</a:t>
          </a:r>
        </a:p>
      </xdr:txBody>
    </xdr:sp>
    <xdr:clientData/>
  </xdr:twoCellAnchor>
  <xdr:twoCellAnchor>
    <xdr:from>
      <xdr:col>24</xdr:col>
      <xdr:colOff>590550</xdr:colOff>
      <xdr:row>20</xdr:row>
      <xdr:rowOff>102394</xdr:rowOff>
    </xdr:from>
    <xdr:to>
      <xdr:col>30</xdr:col>
      <xdr:colOff>104775</xdr:colOff>
      <xdr:row>21</xdr:row>
      <xdr:rowOff>83344</xdr:rowOff>
    </xdr:to>
    <xdr:sp macro="" textlink="">
      <xdr:nvSpPr>
        <xdr:cNvPr id="7" name="Text Box 1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21088350" y="4102894"/>
          <a:ext cx="40671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Fotografía  antes de ensayo</a:t>
          </a:r>
        </a:p>
      </xdr:txBody>
    </xdr:sp>
    <xdr:clientData/>
  </xdr:twoCellAnchor>
  <xdr:twoCellAnchor editAs="oneCell">
    <xdr:from>
      <xdr:col>19</xdr:col>
      <xdr:colOff>390525</xdr:colOff>
      <xdr:row>5</xdr:row>
      <xdr:rowOff>28575</xdr:rowOff>
    </xdr:from>
    <xdr:to>
      <xdr:col>24</xdr:col>
      <xdr:colOff>466725</xdr:colOff>
      <xdr:row>20</xdr:row>
      <xdr:rowOff>76200</xdr:rowOff>
    </xdr:to>
    <xdr:pic>
      <xdr:nvPicPr>
        <xdr:cNvPr id="8" name="7 Imagen" descr="E-1-B.JP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6840200" y="1028700"/>
          <a:ext cx="4124325" cy="3048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390525</xdr:colOff>
      <xdr:row>21</xdr:row>
      <xdr:rowOff>152400</xdr:rowOff>
    </xdr:from>
    <xdr:to>
      <xdr:col>24</xdr:col>
      <xdr:colOff>466725</xdr:colOff>
      <xdr:row>36</xdr:row>
      <xdr:rowOff>57150</xdr:rowOff>
    </xdr:to>
    <xdr:pic>
      <xdr:nvPicPr>
        <xdr:cNvPr id="9" name="7 Imagen" descr="E-1-B.JP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6840200" y="4352925"/>
          <a:ext cx="4124325" cy="3057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695325</xdr:colOff>
      <xdr:row>5</xdr:row>
      <xdr:rowOff>19050</xdr:rowOff>
    </xdr:from>
    <xdr:to>
      <xdr:col>30</xdr:col>
      <xdr:colOff>238125</xdr:colOff>
      <xdr:row>20</xdr:row>
      <xdr:rowOff>76200</xdr:rowOff>
    </xdr:to>
    <xdr:pic>
      <xdr:nvPicPr>
        <xdr:cNvPr id="10" name="7 Imagen" descr="E-1-B.JPG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1193125" y="1019175"/>
          <a:ext cx="4095750" cy="3057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704850</xdr:colOff>
      <xdr:row>21</xdr:row>
      <xdr:rowOff>142875</xdr:rowOff>
    </xdr:from>
    <xdr:to>
      <xdr:col>30</xdr:col>
      <xdr:colOff>247650</xdr:colOff>
      <xdr:row>36</xdr:row>
      <xdr:rowOff>47625</xdr:rowOff>
    </xdr:to>
    <xdr:pic>
      <xdr:nvPicPr>
        <xdr:cNvPr id="11" name="7 Imagen" descr="E-1-B.JPG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1202650" y="4343400"/>
          <a:ext cx="4095750" cy="3057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695325</xdr:colOff>
      <xdr:row>5</xdr:row>
      <xdr:rowOff>19050</xdr:rowOff>
    </xdr:from>
    <xdr:to>
      <xdr:col>30</xdr:col>
      <xdr:colOff>238125</xdr:colOff>
      <xdr:row>20</xdr:row>
      <xdr:rowOff>72813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5E65A95F-8FF9-4661-93C6-5A0A2ACE21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1193125" y="1019175"/>
          <a:ext cx="4095750" cy="3054138"/>
        </a:xfrm>
        <a:prstGeom prst="rect">
          <a:avLst/>
        </a:prstGeom>
      </xdr:spPr>
    </xdr:pic>
    <xdr:clientData/>
  </xdr:twoCellAnchor>
  <xdr:twoCellAnchor editAs="oneCell">
    <xdr:from>
      <xdr:col>19</xdr:col>
      <xdr:colOff>392643</xdr:colOff>
      <xdr:row>5</xdr:row>
      <xdr:rowOff>28575</xdr:rowOff>
    </xdr:from>
    <xdr:to>
      <xdr:col>24</xdr:col>
      <xdr:colOff>466726</xdr:colOff>
      <xdr:row>20</xdr:row>
      <xdr:rowOff>85726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C7135C2F-79F4-46D2-9402-FA56366FC3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6842318" y="1028700"/>
          <a:ext cx="4122208" cy="3057526"/>
        </a:xfrm>
        <a:prstGeom prst="rect">
          <a:avLst/>
        </a:prstGeom>
      </xdr:spPr>
    </xdr:pic>
    <xdr:clientData/>
  </xdr:twoCellAnchor>
  <xdr:twoCellAnchor editAs="oneCell">
    <xdr:from>
      <xdr:col>24</xdr:col>
      <xdr:colOff>695325</xdr:colOff>
      <xdr:row>21</xdr:row>
      <xdr:rowOff>142875</xdr:rowOff>
    </xdr:from>
    <xdr:to>
      <xdr:col>30</xdr:col>
      <xdr:colOff>247650</xdr:colOff>
      <xdr:row>36</xdr:row>
      <xdr:rowOff>57149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F36F4ADA-7555-4E7C-9BC4-4614A2B7FA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1193125" y="4343400"/>
          <a:ext cx="4105275" cy="3067049"/>
        </a:xfrm>
        <a:prstGeom prst="rect">
          <a:avLst/>
        </a:prstGeom>
      </xdr:spPr>
    </xdr:pic>
    <xdr:clientData/>
  </xdr:twoCellAnchor>
  <xdr:twoCellAnchor editAs="oneCell">
    <xdr:from>
      <xdr:col>19</xdr:col>
      <xdr:colOff>388125</xdr:colOff>
      <xdr:row>21</xdr:row>
      <xdr:rowOff>152399</xdr:rowOff>
    </xdr:from>
    <xdr:to>
      <xdr:col>24</xdr:col>
      <xdr:colOff>466725</xdr:colOff>
      <xdr:row>36</xdr:row>
      <xdr:rowOff>54749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F07FC54-0970-42F7-BB82-9C66EF312F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6837800" y="4352924"/>
          <a:ext cx="4126725" cy="30551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7.83.33\seccion%20laboratorio\Documents%20and%20Settings\geo\Escritorio\Laboratorio\MERVAL4\Carga%20Puntu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saye Carga Puntual"/>
    </sheetNames>
    <sheetDataSet>
      <sheetData sheetId="0">
        <row r="8">
          <cell r="A8">
            <v>4</v>
          </cell>
        </row>
        <row r="9">
          <cell r="A9">
            <v>5.5</v>
          </cell>
        </row>
        <row r="10">
          <cell r="A10">
            <v>4.5</v>
          </cell>
        </row>
        <row r="11">
          <cell r="A11">
            <v>3.5</v>
          </cell>
        </row>
        <row r="12">
          <cell r="A12">
            <v>5.4</v>
          </cell>
        </row>
        <row r="13">
          <cell r="A13">
            <v>4.5999999999999996</v>
          </cell>
        </row>
        <row r="14">
          <cell r="A14">
            <v>3.5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H11"/>
  <sheetViews>
    <sheetView showGridLines="0" workbookViewId="0">
      <selection activeCell="C3" sqref="C3"/>
    </sheetView>
  </sheetViews>
  <sheetFormatPr baseColWidth="10" defaultRowHeight="12.75" x14ac:dyDescent="0.15"/>
  <cols>
    <col min="1" max="1" width="6.125" style="5" customWidth="1"/>
    <col min="2" max="2" width="12.875" style="5" bestFit="1" customWidth="1"/>
    <col min="3" max="3" width="12.375" style="5" customWidth="1"/>
    <col min="4" max="8" width="11.5" style="5" customWidth="1"/>
    <col min="9" max="16384" width="11" style="5"/>
  </cols>
  <sheetData>
    <row r="2" spans="2:8" ht="12.75" customHeight="1" x14ac:dyDescent="0.15">
      <c r="B2" s="1" t="s">
        <v>0</v>
      </c>
      <c r="C2" s="2" t="s">
        <v>82</v>
      </c>
      <c r="D2" s="3"/>
      <c r="E2" s="3"/>
      <c r="F2" s="3"/>
      <c r="G2" s="3"/>
      <c r="H2" s="4"/>
    </row>
    <row r="3" spans="2:8" x14ac:dyDescent="0.15">
      <c r="B3" s="6" t="s">
        <v>13</v>
      </c>
      <c r="C3" s="2" t="s">
        <v>81</v>
      </c>
      <c r="D3" s="3"/>
      <c r="E3" s="3"/>
      <c r="F3" s="3"/>
      <c r="G3" s="3"/>
      <c r="H3" s="4"/>
    </row>
    <row r="4" spans="2:8" x14ac:dyDescent="0.15">
      <c r="B4" s="7" t="s">
        <v>2</v>
      </c>
      <c r="C4" s="2" t="s">
        <v>55</v>
      </c>
      <c r="D4" s="3"/>
      <c r="E4" s="3"/>
      <c r="F4" s="3"/>
      <c r="G4" s="3"/>
      <c r="H4" s="4"/>
    </row>
    <row r="6" spans="2:8" x14ac:dyDescent="0.15">
      <c r="B6" s="90" t="s">
        <v>14</v>
      </c>
      <c r="C6" s="90"/>
      <c r="D6" s="90"/>
    </row>
    <row r="7" spans="2:8" x14ac:dyDescent="0.15">
      <c r="B7" s="91">
        <v>1</v>
      </c>
      <c r="C7" s="91"/>
      <c r="D7" s="91"/>
    </row>
    <row r="10" spans="2:8" x14ac:dyDescent="0.15">
      <c r="B10" s="8" t="s">
        <v>15</v>
      </c>
      <c r="C10" s="8" t="s">
        <v>16</v>
      </c>
    </row>
    <row r="11" spans="2:8" x14ac:dyDescent="0.15">
      <c r="B11" s="9">
        <v>1</v>
      </c>
      <c r="C11" s="10">
        <v>9</v>
      </c>
    </row>
  </sheetData>
  <sheetProtection formatCells="0" formatColumns="0" formatRows="0"/>
  <protectedRanges>
    <protectedRange sqref="C2:H4 B7 B10:D11 G10:H22 B41:H114 D12:D22 D23:H40 B12:C40" name="Rango1"/>
  </protectedRanges>
  <mergeCells count="2">
    <mergeCell ref="B6:D6"/>
    <mergeCell ref="B7:D7"/>
  </mergeCells>
  <dataValidations count="1">
    <dataValidation type="whole" allowBlank="1" showInputMessage="1" showErrorMessage="1" error="ELEGIR ENTRE 01 A 20 HOJAS" promptTitle="CANTIDAD DE ENSAYOS" prompt="INGRESAR LA CANTIDAD DE HOJAS DE CÁLCULO" sqref="B7:D7">
      <formula1>1</formula1>
      <formula2>30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G96"/>
  <sheetViews>
    <sheetView showGridLines="0" tabSelected="1" topLeftCell="I1" zoomScaleNormal="100" workbookViewId="0">
      <selection activeCell="J9" sqref="J9"/>
    </sheetView>
  </sheetViews>
  <sheetFormatPr baseColWidth="10" defaultColWidth="9.625" defaultRowHeight="12" x14ac:dyDescent="0.2"/>
  <cols>
    <col min="1" max="9" width="9.625" style="11"/>
    <col min="10" max="10" width="15.25" style="11" customWidth="1"/>
    <col min="11" max="11" width="9.625" style="11"/>
    <col min="12" max="17" width="12.75" style="11" customWidth="1"/>
    <col min="18" max="18" width="17.25" style="45" customWidth="1"/>
    <col min="19" max="26" width="10.625" style="11" customWidth="1"/>
    <col min="27" max="265" width="9.625" style="11"/>
    <col min="266" max="266" width="15.25" style="11" customWidth="1"/>
    <col min="267" max="267" width="9.625" style="11"/>
    <col min="268" max="273" width="12.75" style="11" customWidth="1"/>
    <col min="274" max="274" width="17.25" style="11" customWidth="1"/>
    <col min="275" max="282" width="10.625" style="11" customWidth="1"/>
    <col min="283" max="521" width="9.625" style="11"/>
    <col min="522" max="522" width="15.25" style="11" customWidth="1"/>
    <col min="523" max="523" width="9.625" style="11"/>
    <col min="524" max="529" width="12.75" style="11" customWidth="1"/>
    <col min="530" max="530" width="17.25" style="11" customWidth="1"/>
    <col min="531" max="538" width="10.625" style="11" customWidth="1"/>
    <col min="539" max="777" width="9.625" style="11"/>
    <col min="778" max="778" width="15.25" style="11" customWidth="1"/>
    <col min="779" max="779" width="9.625" style="11"/>
    <col min="780" max="785" width="12.75" style="11" customWidth="1"/>
    <col min="786" max="786" width="17.25" style="11" customWidth="1"/>
    <col min="787" max="794" width="10.625" style="11" customWidth="1"/>
    <col min="795" max="1033" width="9.625" style="11"/>
    <col min="1034" max="1034" width="15.25" style="11" customWidth="1"/>
    <col min="1035" max="1035" width="9.625" style="11"/>
    <col min="1036" max="1041" width="12.75" style="11" customWidth="1"/>
    <col min="1042" max="1042" width="17.25" style="11" customWidth="1"/>
    <col min="1043" max="1050" width="10.625" style="11" customWidth="1"/>
    <col min="1051" max="1289" width="9.625" style="11"/>
    <col min="1290" max="1290" width="15.25" style="11" customWidth="1"/>
    <col min="1291" max="1291" width="9.625" style="11"/>
    <col min="1292" max="1297" width="12.75" style="11" customWidth="1"/>
    <col min="1298" max="1298" width="17.25" style="11" customWidth="1"/>
    <col min="1299" max="1306" width="10.625" style="11" customWidth="1"/>
    <col min="1307" max="1545" width="9.625" style="11"/>
    <col min="1546" max="1546" width="15.25" style="11" customWidth="1"/>
    <col min="1547" max="1547" width="9.625" style="11"/>
    <col min="1548" max="1553" width="12.75" style="11" customWidth="1"/>
    <col min="1554" max="1554" width="17.25" style="11" customWidth="1"/>
    <col min="1555" max="1562" width="10.625" style="11" customWidth="1"/>
    <col min="1563" max="1801" width="9.625" style="11"/>
    <col min="1802" max="1802" width="15.25" style="11" customWidth="1"/>
    <col min="1803" max="1803" width="9.625" style="11"/>
    <col min="1804" max="1809" width="12.75" style="11" customWidth="1"/>
    <col min="1810" max="1810" width="17.25" style="11" customWidth="1"/>
    <col min="1811" max="1818" width="10.625" style="11" customWidth="1"/>
    <col min="1819" max="2057" width="9.625" style="11"/>
    <col min="2058" max="2058" width="15.25" style="11" customWidth="1"/>
    <col min="2059" max="2059" width="9.625" style="11"/>
    <col min="2060" max="2065" width="12.75" style="11" customWidth="1"/>
    <col min="2066" max="2066" width="17.25" style="11" customWidth="1"/>
    <col min="2067" max="2074" width="10.625" style="11" customWidth="1"/>
    <col min="2075" max="2313" width="9.625" style="11"/>
    <col min="2314" max="2314" width="15.25" style="11" customWidth="1"/>
    <col min="2315" max="2315" width="9.625" style="11"/>
    <col min="2316" max="2321" width="12.75" style="11" customWidth="1"/>
    <col min="2322" max="2322" width="17.25" style="11" customWidth="1"/>
    <col min="2323" max="2330" width="10.625" style="11" customWidth="1"/>
    <col min="2331" max="2569" width="9.625" style="11"/>
    <col min="2570" max="2570" width="15.25" style="11" customWidth="1"/>
    <col min="2571" max="2571" width="9.625" style="11"/>
    <col min="2572" max="2577" width="12.75" style="11" customWidth="1"/>
    <col min="2578" max="2578" width="17.25" style="11" customWidth="1"/>
    <col min="2579" max="2586" width="10.625" style="11" customWidth="1"/>
    <col min="2587" max="2825" width="9.625" style="11"/>
    <col min="2826" max="2826" width="15.25" style="11" customWidth="1"/>
    <col min="2827" max="2827" width="9.625" style="11"/>
    <col min="2828" max="2833" width="12.75" style="11" customWidth="1"/>
    <col min="2834" max="2834" width="17.25" style="11" customWidth="1"/>
    <col min="2835" max="2842" width="10.625" style="11" customWidth="1"/>
    <col min="2843" max="3081" width="9.625" style="11"/>
    <col min="3082" max="3082" width="15.25" style="11" customWidth="1"/>
    <col min="3083" max="3083" width="9.625" style="11"/>
    <col min="3084" max="3089" width="12.75" style="11" customWidth="1"/>
    <col min="3090" max="3090" width="17.25" style="11" customWidth="1"/>
    <col min="3091" max="3098" width="10.625" style="11" customWidth="1"/>
    <col min="3099" max="3337" width="9.625" style="11"/>
    <col min="3338" max="3338" width="15.25" style="11" customWidth="1"/>
    <col min="3339" max="3339" width="9.625" style="11"/>
    <col min="3340" max="3345" width="12.75" style="11" customWidth="1"/>
    <col min="3346" max="3346" width="17.25" style="11" customWidth="1"/>
    <col min="3347" max="3354" width="10.625" style="11" customWidth="1"/>
    <col min="3355" max="3593" width="9.625" style="11"/>
    <col min="3594" max="3594" width="15.25" style="11" customWidth="1"/>
    <col min="3595" max="3595" width="9.625" style="11"/>
    <col min="3596" max="3601" width="12.75" style="11" customWidth="1"/>
    <col min="3602" max="3602" width="17.25" style="11" customWidth="1"/>
    <col min="3603" max="3610" width="10.625" style="11" customWidth="1"/>
    <col min="3611" max="3849" width="9.625" style="11"/>
    <col min="3850" max="3850" width="15.25" style="11" customWidth="1"/>
    <col min="3851" max="3851" width="9.625" style="11"/>
    <col min="3852" max="3857" width="12.75" style="11" customWidth="1"/>
    <col min="3858" max="3858" width="17.25" style="11" customWidth="1"/>
    <col min="3859" max="3866" width="10.625" style="11" customWidth="1"/>
    <col min="3867" max="4105" width="9.625" style="11"/>
    <col min="4106" max="4106" width="15.25" style="11" customWidth="1"/>
    <col min="4107" max="4107" width="9.625" style="11"/>
    <col min="4108" max="4113" width="12.75" style="11" customWidth="1"/>
    <col min="4114" max="4114" width="17.25" style="11" customWidth="1"/>
    <col min="4115" max="4122" width="10.625" style="11" customWidth="1"/>
    <col min="4123" max="4361" width="9.625" style="11"/>
    <col min="4362" max="4362" width="15.25" style="11" customWidth="1"/>
    <col min="4363" max="4363" width="9.625" style="11"/>
    <col min="4364" max="4369" width="12.75" style="11" customWidth="1"/>
    <col min="4370" max="4370" width="17.25" style="11" customWidth="1"/>
    <col min="4371" max="4378" width="10.625" style="11" customWidth="1"/>
    <col min="4379" max="4617" width="9.625" style="11"/>
    <col min="4618" max="4618" width="15.25" style="11" customWidth="1"/>
    <col min="4619" max="4619" width="9.625" style="11"/>
    <col min="4620" max="4625" width="12.75" style="11" customWidth="1"/>
    <col min="4626" max="4626" width="17.25" style="11" customWidth="1"/>
    <col min="4627" max="4634" width="10.625" style="11" customWidth="1"/>
    <col min="4635" max="4873" width="9.625" style="11"/>
    <col min="4874" max="4874" width="15.25" style="11" customWidth="1"/>
    <col min="4875" max="4875" width="9.625" style="11"/>
    <col min="4876" max="4881" width="12.75" style="11" customWidth="1"/>
    <col min="4882" max="4882" width="17.25" style="11" customWidth="1"/>
    <col min="4883" max="4890" width="10.625" style="11" customWidth="1"/>
    <col min="4891" max="5129" width="9.625" style="11"/>
    <col min="5130" max="5130" width="15.25" style="11" customWidth="1"/>
    <col min="5131" max="5131" width="9.625" style="11"/>
    <col min="5132" max="5137" width="12.75" style="11" customWidth="1"/>
    <col min="5138" max="5138" width="17.25" style="11" customWidth="1"/>
    <col min="5139" max="5146" width="10.625" style="11" customWidth="1"/>
    <col min="5147" max="5385" width="9.625" style="11"/>
    <col min="5386" max="5386" width="15.25" style="11" customWidth="1"/>
    <col min="5387" max="5387" width="9.625" style="11"/>
    <col min="5388" max="5393" width="12.75" style="11" customWidth="1"/>
    <col min="5394" max="5394" width="17.25" style="11" customWidth="1"/>
    <col min="5395" max="5402" width="10.625" style="11" customWidth="1"/>
    <col min="5403" max="5641" width="9.625" style="11"/>
    <col min="5642" max="5642" width="15.25" style="11" customWidth="1"/>
    <col min="5643" max="5643" width="9.625" style="11"/>
    <col min="5644" max="5649" width="12.75" style="11" customWidth="1"/>
    <col min="5650" max="5650" width="17.25" style="11" customWidth="1"/>
    <col min="5651" max="5658" width="10.625" style="11" customWidth="1"/>
    <col min="5659" max="5897" width="9.625" style="11"/>
    <col min="5898" max="5898" width="15.25" style="11" customWidth="1"/>
    <col min="5899" max="5899" width="9.625" style="11"/>
    <col min="5900" max="5905" width="12.75" style="11" customWidth="1"/>
    <col min="5906" max="5906" width="17.25" style="11" customWidth="1"/>
    <col min="5907" max="5914" width="10.625" style="11" customWidth="1"/>
    <col min="5915" max="6153" width="9.625" style="11"/>
    <col min="6154" max="6154" width="15.25" style="11" customWidth="1"/>
    <col min="6155" max="6155" width="9.625" style="11"/>
    <col min="6156" max="6161" width="12.75" style="11" customWidth="1"/>
    <col min="6162" max="6162" width="17.25" style="11" customWidth="1"/>
    <col min="6163" max="6170" width="10.625" style="11" customWidth="1"/>
    <col min="6171" max="6409" width="9.625" style="11"/>
    <col min="6410" max="6410" width="15.25" style="11" customWidth="1"/>
    <col min="6411" max="6411" width="9.625" style="11"/>
    <col min="6412" max="6417" width="12.75" style="11" customWidth="1"/>
    <col min="6418" max="6418" width="17.25" style="11" customWidth="1"/>
    <col min="6419" max="6426" width="10.625" style="11" customWidth="1"/>
    <col min="6427" max="6665" width="9.625" style="11"/>
    <col min="6666" max="6666" width="15.25" style="11" customWidth="1"/>
    <col min="6667" max="6667" width="9.625" style="11"/>
    <col min="6668" max="6673" width="12.75" style="11" customWidth="1"/>
    <col min="6674" max="6674" width="17.25" style="11" customWidth="1"/>
    <col min="6675" max="6682" width="10.625" style="11" customWidth="1"/>
    <col min="6683" max="6921" width="9.625" style="11"/>
    <col min="6922" max="6922" width="15.25" style="11" customWidth="1"/>
    <col min="6923" max="6923" width="9.625" style="11"/>
    <col min="6924" max="6929" width="12.75" style="11" customWidth="1"/>
    <col min="6930" max="6930" width="17.25" style="11" customWidth="1"/>
    <col min="6931" max="6938" width="10.625" style="11" customWidth="1"/>
    <col min="6939" max="7177" width="9.625" style="11"/>
    <col min="7178" max="7178" width="15.25" style="11" customWidth="1"/>
    <col min="7179" max="7179" width="9.625" style="11"/>
    <col min="7180" max="7185" width="12.75" style="11" customWidth="1"/>
    <col min="7186" max="7186" width="17.25" style="11" customWidth="1"/>
    <col min="7187" max="7194" width="10.625" style="11" customWidth="1"/>
    <col min="7195" max="7433" width="9.625" style="11"/>
    <col min="7434" max="7434" width="15.25" style="11" customWidth="1"/>
    <col min="7435" max="7435" width="9.625" style="11"/>
    <col min="7436" max="7441" width="12.75" style="11" customWidth="1"/>
    <col min="7442" max="7442" width="17.25" style="11" customWidth="1"/>
    <col min="7443" max="7450" width="10.625" style="11" customWidth="1"/>
    <col min="7451" max="7689" width="9.625" style="11"/>
    <col min="7690" max="7690" width="15.25" style="11" customWidth="1"/>
    <col min="7691" max="7691" width="9.625" style="11"/>
    <col min="7692" max="7697" width="12.75" style="11" customWidth="1"/>
    <col min="7698" max="7698" width="17.25" style="11" customWidth="1"/>
    <col min="7699" max="7706" width="10.625" style="11" customWidth="1"/>
    <col min="7707" max="7945" width="9.625" style="11"/>
    <col min="7946" max="7946" width="15.25" style="11" customWidth="1"/>
    <col min="7947" max="7947" width="9.625" style="11"/>
    <col min="7948" max="7953" width="12.75" style="11" customWidth="1"/>
    <col min="7954" max="7954" width="17.25" style="11" customWidth="1"/>
    <col min="7955" max="7962" width="10.625" style="11" customWidth="1"/>
    <col min="7963" max="8201" width="9.625" style="11"/>
    <col min="8202" max="8202" width="15.25" style="11" customWidth="1"/>
    <col min="8203" max="8203" width="9.625" style="11"/>
    <col min="8204" max="8209" width="12.75" style="11" customWidth="1"/>
    <col min="8210" max="8210" width="17.25" style="11" customWidth="1"/>
    <col min="8211" max="8218" width="10.625" style="11" customWidth="1"/>
    <col min="8219" max="8457" width="9.625" style="11"/>
    <col min="8458" max="8458" width="15.25" style="11" customWidth="1"/>
    <col min="8459" max="8459" width="9.625" style="11"/>
    <col min="8460" max="8465" width="12.75" style="11" customWidth="1"/>
    <col min="8466" max="8466" width="17.25" style="11" customWidth="1"/>
    <col min="8467" max="8474" width="10.625" style="11" customWidth="1"/>
    <col min="8475" max="8713" width="9.625" style="11"/>
    <col min="8714" max="8714" width="15.25" style="11" customWidth="1"/>
    <col min="8715" max="8715" width="9.625" style="11"/>
    <col min="8716" max="8721" width="12.75" style="11" customWidth="1"/>
    <col min="8722" max="8722" width="17.25" style="11" customWidth="1"/>
    <col min="8723" max="8730" width="10.625" style="11" customWidth="1"/>
    <col min="8731" max="8969" width="9.625" style="11"/>
    <col min="8970" max="8970" width="15.25" style="11" customWidth="1"/>
    <col min="8971" max="8971" width="9.625" style="11"/>
    <col min="8972" max="8977" width="12.75" style="11" customWidth="1"/>
    <col min="8978" max="8978" width="17.25" style="11" customWidth="1"/>
    <col min="8979" max="8986" width="10.625" style="11" customWidth="1"/>
    <col min="8987" max="9225" width="9.625" style="11"/>
    <col min="9226" max="9226" width="15.25" style="11" customWidth="1"/>
    <col min="9227" max="9227" width="9.625" style="11"/>
    <col min="9228" max="9233" width="12.75" style="11" customWidth="1"/>
    <col min="9234" max="9234" width="17.25" style="11" customWidth="1"/>
    <col min="9235" max="9242" width="10.625" style="11" customWidth="1"/>
    <col min="9243" max="9481" width="9.625" style="11"/>
    <col min="9482" max="9482" width="15.25" style="11" customWidth="1"/>
    <col min="9483" max="9483" width="9.625" style="11"/>
    <col min="9484" max="9489" width="12.75" style="11" customWidth="1"/>
    <col min="9490" max="9490" width="17.25" style="11" customWidth="1"/>
    <col min="9491" max="9498" width="10.625" style="11" customWidth="1"/>
    <col min="9499" max="9737" width="9.625" style="11"/>
    <col min="9738" max="9738" width="15.25" style="11" customWidth="1"/>
    <col min="9739" max="9739" width="9.625" style="11"/>
    <col min="9740" max="9745" width="12.75" style="11" customWidth="1"/>
    <col min="9746" max="9746" width="17.25" style="11" customWidth="1"/>
    <col min="9747" max="9754" width="10.625" style="11" customWidth="1"/>
    <col min="9755" max="9993" width="9.625" style="11"/>
    <col min="9994" max="9994" width="15.25" style="11" customWidth="1"/>
    <col min="9995" max="9995" width="9.625" style="11"/>
    <col min="9996" max="10001" width="12.75" style="11" customWidth="1"/>
    <col min="10002" max="10002" width="17.25" style="11" customWidth="1"/>
    <col min="10003" max="10010" width="10.625" style="11" customWidth="1"/>
    <col min="10011" max="10249" width="9.625" style="11"/>
    <col min="10250" max="10250" width="15.25" style="11" customWidth="1"/>
    <col min="10251" max="10251" width="9.625" style="11"/>
    <col min="10252" max="10257" width="12.75" style="11" customWidth="1"/>
    <col min="10258" max="10258" width="17.25" style="11" customWidth="1"/>
    <col min="10259" max="10266" width="10.625" style="11" customWidth="1"/>
    <col min="10267" max="10505" width="9.625" style="11"/>
    <col min="10506" max="10506" width="15.25" style="11" customWidth="1"/>
    <col min="10507" max="10507" width="9.625" style="11"/>
    <col min="10508" max="10513" width="12.75" style="11" customWidth="1"/>
    <col min="10514" max="10514" width="17.25" style="11" customWidth="1"/>
    <col min="10515" max="10522" width="10.625" style="11" customWidth="1"/>
    <col min="10523" max="10761" width="9.625" style="11"/>
    <col min="10762" max="10762" width="15.25" style="11" customWidth="1"/>
    <col min="10763" max="10763" width="9.625" style="11"/>
    <col min="10764" max="10769" width="12.75" style="11" customWidth="1"/>
    <col min="10770" max="10770" width="17.25" style="11" customWidth="1"/>
    <col min="10771" max="10778" width="10.625" style="11" customWidth="1"/>
    <col min="10779" max="11017" width="9.625" style="11"/>
    <col min="11018" max="11018" width="15.25" style="11" customWidth="1"/>
    <col min="11019" max="11019" width="9.625" style="11"/>
    <col min="11020" max="11025" width="12.75" style="11" customWidth="1"/>
    <col min="11026" max="11026" width="17.25" style="11" customWidth="1"/>
    <col min="11027" max="11034" width="10.625" style="11" customWidth="1"/>
    <col min="11035" max="11273" width="9.625" style="11"/>
    <col min="11274" max="11274" width="15.25" style="11" customWidth="1"/>
    <col min="11275" max="11275" width="9.625" style="11"/>
    <col min="11276" max="11281" width="12.75" style="11" customWidth="1"/>
    <col min="11282" max="11282" width="17.25" style="11" customWidth="1"/>
    <col min="11283" max="11290" width="10.625" style="11" customWidth="1"/>
    <col min="11291" max="11529" width="9.625" style="11"/>
    <col min="11530" max="11530" width="15.25" style="11" customWidth="1"/>
    <col min="11531" max="11531" width="9.625" style="11"/>
    <col min="11532" max="11537" width="12.75" style="11" customWidth="1"/>
    <col min="11538" max="11538" width="17.25" style="11" customWidth="1"/>
    <col min="11539" max="11546" width="10.625" style="11" customWidth="1"/>
    <col min="11547" max="11785" width="9.625" style="11"/>
    <col min="11786" max="11786" width="15.25" style="11" customWidth="1"/>
    <col min="11787" max="11787" width="9.625" style="11"/>
    <col min="11788" max="11793" width="12.75" style="11" customWidth="1"/>
    <col min="11794" max="11794" width="17.25" style="11" customWidth="1"/>
    <col min="11795" max="11802" width="10.625" style="11" customWidth="1"/>
    <col min="11803" max="12041" width="9.625" style="11"/>
    <col min="12042" max="12042" width="15.25" style="11" customWidth="1"/>
    <col min="12043" max="12043" width="9.625" style="11"/>
    <col min="12044" max="12049" width="12.75" style="11" customWidth="1"/>
    <col min="12050" max="12050" width="17.25" style="11" customWidth="1"/>
    <col min="12051" max="12058" width="10.625" style="11" customWidth="1"/>
    <col min="12059" max="12297" width="9.625" style="11"/>
    <col min="12298" max="12298" width="15.25" style="11" customWidth="1"/>
    <col min="12299" max="12299" width="9.625" style="11"/>
    <col min="12300" max="12305" width="12.75" style="11" customWidth="1"/>
    <col min="12306" max="12306" width="17.25" style="11" customWidth="1"/>
    <col min="12307" max="12314" width="10.625" style="11" customWidth="1"/>
    <col min="12315" max="12553" width="9.625" style="11"/>
    <col min="12554" max="12554" width="15.25" style="11" customWidth="1"/>
    <col min="12555" max="12555" width="9.625" style="11"/>
    <col min="12556" max="12561" width="12.75" style="11" customWidth="1"/>
    <col min="12562" max="12562" width="17.25" style="11" customWidth="1"/>
    <col min="12563" max="12570" width="10.625" style="11" customWidth="1"/>
    <col min="12571" max="12809" width="9.625" style="11"/>
    <col min="12810" max="12810" width="15.25" style="11" customWidth="1"/>
    <col min="12811" max="12811" width="9.625" style="11"/>
    <col min="12812" max="12817" width="12.75" style="11" customWidth="1"/>
    <col min="12818" max="12818" width="17.25" style="11" customWidth="1"/>
    <col min="12819" max="12826" width="10.625" style="11" customWidth="1"/>
    <col min="12827" max="13065" width="9.625" style="11"/>
    <col min="13066" max="13066" width="15.25" style="11" customWidth="1"/>
    <col min="13067" max="13067" width="9.625" style="11"/>
    <col min="13068" max="13073" width="12.75" style="11" customWidth="1"/>
    <col min="13074" max="13074" width="17.25" style="11" customWidth="1"/>
    <col min="13075" max="13082" width="10.625" style="11" customWidth="1"/>
    <col min="13083" max="13321" width="9.625" style="11"/>
    <col min="13322" max="13322" width="15.25" style="11" customWidth="1"/>
    <col min="13323" max="13323" width="9.625" style="11"/>
    <col min="13324" max="13329" width="12.75" style="11" customWidth="1"/>
    <col min="13330" max="13330" width="17.25" style="11" customWidth="1"/>
    <col min="13331" max="13338" width="10.625" style="11" customWidth="1"/>
    <col min="13339" max="13577" width="9.625" style="11"/>
    <col min="13578" max="13578" width="15.25" style="11" customWidth="1"/>
    <col min="13579" max="13579" width="9.625" style="11"/>
    <col min="13580" max="13585" width="12.75" style="11" customWidth="1"/>
    <col min="13586" max="13586" width="17.25" style="11" customWidth="1"/>
    <col min="13587" max="13594" width="10.625" style="11" customWidth="1"/>
    <col min="13595" max="13833" width="9.625" style="11"/>
    <col min="13834" max="13834" width="15.25" style="11" customWidth="1"/>
    <col min="13835" max="13835" width="9.625" style="11"/>
    <col min="13836" max="13841" width="12.75" style="11" customWidth="1"/>
    <col min="13842" max="13842" width="17.25" style="11" customWidth="1"/>
    <col min="13843" max="13850" width="10.625" style="11" customWidth="1"/>
    <col min="13851" max="14089" width="9.625" style="11"/>
    <col min="14090" max="14090" width="15.25" style="11" customWidth="1"/>
    <col min="14091" max="14091" width="9.625" style="11"/>
    <col min="14092" max="14097" width="12.75" style="11" customWidth="1"/>
    <col min="14098" max="14098" width="17.25" style="11" customWidth="1"/>
    <col min="14099" max="14106" width="10.625" style="11" customWidth="1"/>
    <col min="14107" max="14345" width="9.625" style="11"/>
    <col min="14346" max="14346" width="15.25" style="11" customWidth="1"/>
    <col min="14347" max="14347" width="9.625" style="11"/>
    <col min="14348" max="14353" width="12.75" style="11" customWidth="1"/>
    <col min="14354" max="14354" width="17.25" style="11" customWidth="1"/>
    <col min="14355" max="14362" width="10.625" style="11" customWidth="1"/>
    <col min="14363" max="14601" width="9.625" style="11"/>
    <col min="14602" max="14602" width="15.25" style="11" customWidth="1"/>
    <col min="14603" max="14603" width="9.625" style="11"/>
    <col min="14604" max="14609" width="12.75" style="11" customWidth="1"/>
    <col min="14610" max="14610" width="17.25" style="11" customWidth="1"/>
    <col min="14611" max="14618" width="10.625" style="11" customWidth="1"/>
    <col min="14619" max="14857" width="9.625" style="11"/>
    <col min="14858" max="14858" width="15.25" style="11" customWidth="1"/>
    <col min="14859" max="14859" width="9.625" style="11"/>
    <col min="14860" max="14865" width="12.75" style="11" customWidth="1"/>
    <col min="14866" max="14866" width="17.25" style="11" customWidth="1"/>
    <col min="14867" max="14874" width="10.625" style="11" customWidth="1"/>
    <col min="14875" max="15113" width="9.625" style="11"/>
    <col min="15114" max="15114" width="15.25" style="11" customWidth="1"/>
    <col min="15115" max="15115" width="9.625" style="11"/>
    <col min="15116" max="15121" width="12.75" style="11" customWidth="1"/>
    <col min="15122" max="15122" width="17.25" style="11" customWidth="1"/>
    <col min="15123" max="15130" width="10.625" style="11" customWidth="1"/>
    <col min="15131" max="15369" width="9.625" style="11"/>
    <col min="15370" max="15370" width="15.25" style="11" customWidth="1"/>
    <col min="15371" max="15371" width="9.625" style="11"/>
    <col min="15372" max="15377" width="12.75" style="11" customWidth="1"/>
    <col min="15378" max="15378" width="17.25" style="11" customWidth="1"/>
    <col min="15379" max="15386" width="10.625" style="11" customWidth="1"/>
    <col min="15387" max="15625" width="9.625" style="11"/>
    <col min="15626" max="15626" width="15.25" style="11" customWidth="1"/>
    <col min="15627" max="15627" width="9.625" style="11"/>
    <col min="15628" max="15633" width="12.75" style="11" customWidth="1"/>
    <col min="15634" max="15634" width="17.25" style="11" customWidth="1"/>
    <col min="15635" max="15642" width="10.625" style="11" customWidth="1"/>
    <col min="15643" max="15881" width="9.625" style="11"/>
    <col min="15882" max="15882" width="15.25" style="11" customWidth="1"/>
    <col min="15883" max="15883" width="9.625" style="11"/>
    <col min="15884" max="15889" width="12.75" style="11" customWidth="1"/>
    <col min="15890" max="15890" width="17.25" style="11" customWidth="1"/>
    <col min="15891" max="15898" width="10.625" style="11" customWidth="1"/>
    <col min="15899" max="16137" width="9.625" style="11"/>
    <col min="16138" max="16138" width="15.25" style="11" customWidth="1"/>
    <col min="16139" max="16139" width="9.625" style="11"/>
    <col min="16140" max="16145" width="12.75" style="11" customWidth="1"/>
    <col min="16146" max="16146" width="17.25" style="11" customWidth="1"/>
    <col min="16147" max="16154" width="10.625" style="11" customWidth="1"/>
    <col min="16155" max="16384" width="9.625" style="11"/>
  </cols>
  <sheetData>
    <row r="1" spans="1:30" ht="15.75" customHeight="1" x14ac:dyDescent="0.2">
      <c r="L1" s="12" t="s">
        <v>56</v>
      </c>
      <c r="M1" s="12"/>
      <c r="N1" s="13"/>
      <c r="O1" s="13"/>
      <c r="P1" s="13"/>
      <c r="Q1" s="13"/>
      <c r="R1" s="11"/>
    </row>
    <row r="2" spans="1:30" ht="15.75" customHeight="1" x14ac:dyDescent="0.2">
      <c r="A2" s="14" t="s">
        <v>57</v>
      </c>
      <c r="B2" s="15"/>
      <c r="C2" s="16"/>
      <c r="D2" s="17"/>
      <c r="E2" s="16"/>
      <c r="F2" s="16"/>
      <c r="G2" s="16"/>
      <c r="H2" s="17"/>
      <c r="I2" s="18"/>
      <c r="J2" s="18"/>
      <c r="L2" s="12"/>
      <c r="M2" s="12"/>
      <c r="N2" s="13"/>
      <c r="O2" s="13"/>
      <c r="P2" s="13"/>
      <c r="Q2" s="13"/>
      <c r="R2" s="11"/>
    </row>
    <row r="3" spans="1:30" ht="15.75" customHeight="1" x14ac:dyDescent="0.2">
      <c r="R3" s="11"/>
      <c r="S3" s="19"/>
      <c r="T3" s="19"/>
      <c r="U3" s="110" t="str">
        <f>L1</f>
        <v>INFORME ENSAYO CARGA PUNTUAL DIAMETRAL EN ROCA</v>
      </c>
      <c r="V3" s="111"/>
      <c r="W3" s="111"/>
      <c r="X3" s="111"/>
      <c r="Y3" s="111"/>
      <c r="Z3" s="111"/>
      <c r="AA3" s="111"/>
      <c r="AB3" s="111"/>
      <c r="AC3" s="111"/>
      <c r="AD3" s="111"/>
    </row>
    <row r="4" spans="1:30" ht="15.75" customHeight="1" x14ac:dyDescent="0.2">
      <c r="A4" s="20" t="s">
        <v>17</v>
      </c>
      <c r="B4" s="20"/>
      <c r="C4" s="21" t="s">
        <v>78</v>
      </c>
      <c r="D4" s="20"/>
      <c r="E4" s="22"/>
      <c r="L4" s="96" t="s">
        <v>0</v>
      </c>
      <c r="M4" s="97"/>
      <c r="N4" s="23" t="str">
        <f>C4</f>
        <v xml:space="preserve"> C1BH-L12-L10-3+830-R </v>
      </c>
      <c r="O4" s="24"/>
      <c r="P4" s="25"/>
      <c r="Q4" s="25"/>
      <c r="R4" s="26"/>
    </row>
    <row r="5" spans="1:30" ht="15.75" customHeight="1" x14ac:dyDescent="0.2">
      <c r="A5" s="20" t="s">
        <v>58</v>
      </c>
      <c r="B5" s="20"/>
      <c r="C5" s="21" t="str">
        <f>'Ingreso Datos'!C3</f>
        <v>1.965.917-A</v>
      </c>
      <c r="D5" s="20"/>
      <c r="E5" s="22"/>
      <c r="L5" s="96" t="s">
        <v>58</v>
      </c>
      <c r="M5" s="97"/>
      <c r="N5" s="23" t="str">
        <f>C5</f>
        <v>1.965.917-A</v>
      </c>
      <c r="O5" s="24"/>
      <c r="P5" s="24"/>
      <c r="Q5" s="24"/>
      <c r="R5" s="27"/>
      <c r="S5" s="19"/>
      <c r="T5" s="19"/>
      <c r="U5" s="110" t="s">
        <v>10</v>
      </c>
      <c r="V5" s="111"/>
      <c r="W5" s="111"/>
      <c r="X5" s="111"/>
      <c r="Y5" s="111"/>
      <c r="Z5" s="111"/>
      <c r="AA5" s="111"/>
      <c r="AB5" s="111"/>
      <c r="AC5" s="111"/>
      <c r="AD5" s="111"/>
    </row>
    <row r="6" spans="1:30" ht="15.75" customHeight="1" x14ac:dyDescent="0.2">
      <c r="A6" s="20" t="s">
        <v>49</v>
      </c>
      <c r="B6" s="20"/>
      <c r="C6" s="28">
        <v>45429</v>
      </c>
      <c r="D6" s="20"/>
      <c r="E6" s="22"/>
      <c r="L6" s="96" t="s">
        <v>2</v>
      </c>
      <c r="M6" s="97"/>
      <c r="N6" s="29" t="s">
        <v>55</v>
      </c>
      <c r="O6" s="24"/>
      <c r="P6" s="25"/>
      <c r="Q6" s="25"/>
      <c r="R6" s="26"/>
    </row>
    <row r="7" spans="1:30" ht="15.75" customHeight="1" x14ac:dyDescent="0.2">
      <c r="A7" s="20" t="s">
        <v>48</v>
      </c>
      <c r="B7" s="20"/>
      <c r="C7" s="28">
        <v>45429</v>
      </c>
      <c r="D7" s="20"/>
      <c r="E7" s="22"/>
      <c r="H7" s="30"/>
      <c r="I7" s="30"/>
      <c r="J7" s="30"/>
      <c r="L7" s="96" t="s">
        <v>3</v>
      </c>
      <c r="M7" s="97"/>
      <c r="N7" s="112">
        <f>C6</f>
        <v>45429</v>
      </c>
      <c r="O7" s="24"/>
      <c r="P7" s="24"/>
      <c r="Q7" s="24"/>
      <c r="R7" s="27"/>
    </row>
    <row r="8" spans="1:30" ht="15.75" customHeight="1" x14ac:dyDescent="0.2">
      <c r="A8" s="20" t="s">
        <v>18</v>
      </c>
      <c r="B8" s="20"/>
      <c r="C8" s="21" t="s">
        <v>77</v>
      </c>
      <c r="D8" s="20"/>
      <c r="E8" s="22"/>
      <c r="L8" s="96" t="s">
        <v>4</v>
      </c>
      <c r="M8" s="97"/>
      <c r="N8" s="113">
        <f>C7</f>
        <v>45429</v>
      </c>
      <c r="O8" s="24"/>
      <c r="P8" s="31"/>
      <c r="Q8" s="31"/>
      <c r="R8" s="32"/>
    </row>
    <row r="9" spans="1:30" ht="15.75" customHeight="1" x14ac:dyDescent="0.2">
      <c r="A9" s="20" t="s">
        <v>47</v>
      </c>
      <c r="B9" s="20"/>
      <c r="C9" s="21" t="s">
        <v>79</v>
      </c>
      <c r="D9" s="20"/>
      <c r="E9" s="22"/>
      <c r="L9" s="33"/>
      <c r="M9" s="33"/>
      <c r="N9" s="34"/>
      <c r="O9" s="35"/>
      <c r="P9" s="35"/>
      <c r="Q9" s="35"/>
      <c r="R9" s="36"/>
    </row>
    <row r="10" spans="1:30" ht="15.75" customHeight="1" x14ac:dyDescent="0.2">
      <c r="A10" s="37" t="s">
        <v>46</v>
      </c>
      <c r="B10" s="37"/>
      <c r="C10" s="21" t="s">
        <v>80</v>
      </c>
      <c r="D10" s="37"/>
      <c r="E10" s="38"/>
      <c r="F10" s="39"/>
      <c r="G10" s="39"/>
      <c r="H10" s="39"/>
      <c r="I10" s="39"/>
      <c r="J10" s="39"/>
      <c r="L10" s="33" t="s">
        <v>45</v>
      </c>
      <c r="M10" s="33"/>
      <c r="N10" s="34"/>
      <c r="O10" s="35"/>
      <c r="P10" s="35"/>
      <c r="Q10" s="35"/>
      <c r="R10" s="36"/>
    </row>
    <row r="11" spans="1:30" ht="15.75" customHeight="1" x14ac:dyDescent="0.2">
      <c r="A11" s="37" t="s">
        <v>44</v>
      </c>
      <c r="B11" s="37"/>
      <c r="C11" s="21" t="s">
        <v>83</v>
      </c>
      <c r="D11" s="37"/>
      <c r="E11" s="39"/>
      <c r="F11" s="39"/>
      <c r="G11" s="39"/>
      <c r="H11" s="39"/>
      <c r="I11" s="39"/>
      <c r="J11" s="39"/>
      <c r="L11" s="96" t="s">
        <v>1</v>
      </c>
      <c r="M11" s="97"/>
      <c r="N11" s="40" t="str">
        <f>+C8</f>
        <v>C1BH-L12-L10-3+830-R (04,83-05,30)</v>
      </c>
      <c r="O11" s="24"/>
      <c r="P11" s="24"/>
      <c r="Q11" s="24"/>
      <c r="R11" s="27"/>
    </row>
    <row r="12" spans="1:30" ht="15.75" customHeight="1" x14ac:dyDescent="0.2">
      <c r="A12" s="39" t="s">
        <v>43</v>
      </c>
      <c r="B12" s="39"/>
      <c r="C12" s="41">
        <v>0.88</v>
      </c>
      <c r="D12" s="39"/>
      <c r="E12" s="39"/>
      <c r="F12" s="39"/>
      <c r="G12" s="39"/>
      <c r="H12" s="39"/>
      <c r="I12" s="39"/>
      <c r="J12" s="39"/>
      <c r="L12" s="96" t="s">
        <v>7</v>
      </c>
      <c r="M12" s="97"/>
      <c r="N12" s="40" t="str">
        <f>+C9</f>
        <v xml:space="preserve">Toba de lapilli lítica </v>
      </c>
      <c r="O12" s="24"/>
      <c r="P12" s="24"/>
      <c r="Q12" s="24"/>
      <c r="R12" s="27"/>
    </row>
    <row r="13" spans="1:30" ht="15.75" customHeight="1" x14ac:dyDescent="0.2">
      <c r="A13" s="42"/>
      <c r="B13" s="42"/>
      <c r="C13" s="42"/>
      <c r="D13" s="42"/>
      <c r="E13" s="42"/>
      <c r="F13" s="42"/>
      <c r="G13" s="42"/>
      <c r="H13" s="42"/>
      <c r="I13" s="39"/>
      <c r="J13" s="39"/>
      <c r="L13" s="96" t="s">
        <v>8</v>
      </c>
      <c r="M13" s="97"/>
      <c r="N13" s="40" t="str">
        <f>+C10</f>
        <v>Óxidos de hierro</v>
      </c>
      <c r="O13" s="24"/>
      <c r="P13" s="24"/>
      <c r="Q13" s="24"/>
      <c r="R13" s="27"/>
    </row>
    <row r="14" spans="1:30" ht="15.75" customHeight="1" x14ac:dyDescent="0.2">
      <c r="A14" s="43"/>
      <c r="B14" s="43"/>
      <c r="C14" s="43" t="s">
        <v>42</v>
      </c>
      <c r="D14" s="43" t="s">
        <v>40</v>
      </c>
      <c r="E14" s="43" t="s">
        <v>40</v>
      </c>
      <c r="F14" s="43" t="s">
        <v>38</v>
      </c>
      <c r="G14" s="43" t="s">
        <v>39</v>
      </c>
      <c r="H14" s="44" t="s">
        <v>38</v>
      </c>
      <c r="I14" s="44" t="s">
        <v>59</v>
      </c>
      <c r="J14" s="44" t="s">
        <v>60</v>
      </c>
      <c r="L14" s="96" t="s">
        <v>9</v>
      </c>
      <c r="M14" s="97"/>
      <c r="N14" s="40" t="str">
        <f>+C11</f>
        <v>Óxidación y zeolitización</v>
      </c>
      <c r="O14" s="24"/>
      <c r="P14" s="24"/>
      <c r="Q14" s="24"/>
      <c r="R14" s="27"/>
    </row>
    <row r="15" spans="1:30" ht="15.75" customHeight="1" x14ac:dyDescent="0.2">
      <c r="A15" s="43" t="s">
        <v>61</v>
      </c>
      <c r="B15" s="43" t="s">
        <v>62</v>
      </c>
      <c r="C15" s="43" t="s">
        <v>41</v>
      </c>
      <c r="D15" s="43" t="s">
        <v>37</v>
      </c>
      <c r="E15" s="43" t="s">
        <v>37</v>
      </c>
      <c r="F15" s="43" t="s">
        <v>36</v>
      </c>
      <c r="G15" s="43" t="s">
        <v>35</v>
      </c>
      <c r="H15" s="43" t="s">
        <v>34</v>
      </c>
      <c r="I15" s="43" t="s">
        <v>63</v>
      </c>
      <c r="J15" s="43" t="s">
        <v>52</v>
      </c>
    </row>
    <row r="16" spans="1:30" ht="15.75" customHeight="1" x14ac:dyDescent="0.2">
      <c r="A16" s="46" t="s">
        <v>33</v>
      </c>
      <c r="B16" s="46" t="s">
        <v>64</v>
      </c>
      <c r="C16" s="46" t="s">
        <v>54</v>
      </c>
      <c r="D16" s="46" t="s">
        <v>11</v>
      </c>
      <c r="E16" s="46" t="s">
        <v>53</v>
      </c>
      <c r="F16" s="46" t="s">
        <v>51</v>
      </c>
      <c r="G16" s="47"/>
      <c r="H16" s="46" t="s">
        <v>51</v>
      </c>
      <c r="I16" s="46" t="s">
        <v>65</v>
      </c>
      <c r="J16" s="46"/>
    </row>
    <row r="17" spans="1:33" ht="15.75" customHeight="1" x14ac:dyDescent="0.2">
      <c r="A17" s="48">
        <v>61</v>
      </c>
      <c r="B17" s="48">
        <v>70.67</v>
      </c>
      <c r="C17" s="41">
        <v>179</v>
      </c>
      <c r="D17" s="49">
        <f>(C17*0.0239+0.356)*1000</f>
        <v>4634.1000000000004</v>
      </c>
      <c r="E17" s="49">
        <f>D17/1000</f>
        <v>4.6341000000000001</v>
      </c>
      <c r="F17" s="49">
        <f>D17/(A17^2)</f>
        <v>1.2453910239183017</v>
      </c>
      <c r="G17" s="49">
        <f>(A17/50)^0.45</f>
        <v>1.0936086176103976</v>
      </c>
      <c r="H17" s="49">
        <f>F17*G17</f>
        <v>1.3619703560516916</v>
      </c>
      <c r="I17" s="49">
        <f>B17/A17</f>
        <v>1.1585245901639345</v>
      </c>
      <c r="J17" s="50" t="s">
        <v>74</v>
      </c>
      <c r="L17" s="13" t="s">
        <v>12</v>
      </c>
      <c r="M17" s="13"/>
      <c r="R17" s="11"/>
    </row>
    <row r="18" spans="1:33" ht="15.75" customHeight="1" x14ac:dyDescent="0.2">
      <c r="A18" s="48">
        <v>61.11</v>
      </c>
      <c r="B18" s="48">
        <v>67.47</v>
      </c>
      <c r="C18" s="41">
        <v>313</v>
      </c>
      <c r="D18" s="49">
        <f>(C18*0.0239+0.356)*1000</f>
        <v>7836.7000000000007</v>
      </c>
      <c r="E18" s="49">
        <f>D18/1000</f>
        <v>7.8367000000000004</v>
      </c>
      <c r="F18" s="49">
        <f>D18/(A18^2)</f>
        <v>2.098498457101416</v>
      </c>
      <c r="G18" s="49">
        <f>(A18/50)^0.45</f>
        <v>1.0944956144399078</v>
      </c>
      <c r="H18" s="49">
        <f>F18*G18</f>
        <v>2.2967973582064127</v>
      </c>
      <c r="I18" s="49">
        <f>B18/A18</f>
        <v>1.1040746195385371</v>
      </c>
      <c r="J18" s="50" t="s">
        <v>66</v>
      </c>
      <c r="L18" s="51"/>
      <c r="M18" s="51"/>
      <c r="N18" s="52" t="s">
        <v>40</v>
      </c>
      <c r="O18" s="52" t="s">
        <v>38</v>
      </c>
      <c r="P18" s="52" t="s">
        <v>39</v>
      </c>
      <c r="Q18" s="53" t="s">
        <v>38</v>
      </c>
      <c r="R18" s="53"/>
    </row>
    <row r="19" spans="1:33" ht="15.75" customHeight="1" x14ac:dyDescent="0.2">
      <c r="A19" s="48">
        <v>61.05</v>
      </c>
      <c r="B19" s="48">
        <v>69.56</v>
      </c>
      <c r="C19" s="41">
        <v>249</v>
      </c>
      <c r="D19" s="49">
        <f>(C19*0.0239+0.356)*1000</f>
        <v>6307.1</v>
      </c>
      <c r="E19" s="49">
        <f>D19/1000</f>
        <v>6.3071000000000002</v>
      </c>
      <c r="F19" s="49">
        <f>D19/(A19^2)</f>
        <v>1.6922260656904395</v>
      </c>
      <c r="G19" s="49">
        <f>(A19/50)^0.45</f>
        <v>1.0940119069508205</v>
      </c>
      <c r="H19" s="49">
        <f>F19*G19</f>
        <v>1.8513154651178823</v>
      </c>
      <c r="I19" s="49">
        <f>B19/A19</f>
        <v>1.1393939393939394</v>
      </c>
      <c r="J19" s="50" t="s">
        <v>66</v>
      </c>
      <c r="L19" s="54" t="s">
        <v>67</v>
      </c>
      <c r="M19" s="54" t="s">
        <v>68</v>
      </c>
      <c r="N19" s="55" t="s">
        <v>37</v>
      </c>
      <c r="O19" s="55" t="s">
        <v>36</v>
      </c>
      <c r="P19" s="55" t="s">
        <v>35</v>
      </c>
      <c r="Q19" s="56" t="s">
        <v>34</v>
      </c>
      <c r="R19" s="56" t="s">
        <v>1</v>
      </c>
      <c r="T19" s="57"/>
      <c r="U19" s="57"/>
      <c r="V19" s="57"/>
      <c r="W19" s="57"/>
      <c r="X19" s="57"/>
      <c r="Y19" s="57"/>
    </row>
    <row r="20" spans="1:33" ht="15.75" customHeight="1" x14ac:dyDescent="0.2">
      <c r="L20" s="58" t="s">
        <v>33</v>
      </c>
      <c r="M20" s="58" t="s">
        <v>33</v>
      </c>
      <c r="N20" s="59" t="s">
        <v>50</v>
      </c>
      <c r="O20" s="59" t="s">
        <v>51</v>
      </c>
      <c r="P20" s="59"/>
      <c r="Q20" s="59" t="s">
        <v>51</v>
      </c>
      <c r="R20" s="59" t="s">
        <v>52</v>
      </c>
      <c r="S20" s="60"/>
      <c r="T20" s="61"/>
      <c r="U20" s="62"/>
      <c r="V20" s="62"/>
      <c r="W20" s="62"/>
      <c r="X20" s="62"/>
      <c r="Y20" s="62"/>
      <c r="Z20" s="62"/>
      <c r="AA20" s="62"/>
      <c r="AB20" s="18"/>
      <c r="AC20" s="18"/>
      <c r="AD20" s="18"/>
      <c r="AE20" s="18"/>
      <c r="AF20" s="18"/>
      <c r="AG20" s="18"/>
    </row>
    <row r="21" spans="1:33" ht="15.75" customHeight="1" x14ac:dyDescent="0.2">
      <c r="L21" s="63">
        <f t="shared" ref="L21:M23" si="0">A17</f>
        <v>61</v>
      </c>
      <c r="M21" s="63">
        <f t="shared" si="0"/>
        <v>70.67</v>
      </c>
      <c r="N21" s="63">
        <f t="shared" ref="N21:Q23" si="1">E17</f>
        <v>4.6341000000000001</v>
      </c>
      <c r="O21" s="64">
        <f t="shared" si="1"/>
        <v>1.2453910239183017</v>
      </c>
      <c r="P21" s="64">
        <f t="shared" si="1"/>
        <v>1.0936086176103976</v>
      </c>
      <c r="Q21" s="63">
        <f t="shared" si="1"/>
        <v>1.3619703560516916</v>
      </c>
      <c r="R21" s="63" t="str">
        <f>J17</f>
        <v>Mixta (No válida)</v>
      </c>
      <c r="S21" s="60"/>
      <c r="Z21" s="62"/>
      <c r="AA21" s="62"/>
      <c r="AB21" s="18"/>
      <c r="AC21" s="18"/>
      <c r="AD21" s="18"/>
      <c r="AE21" s="18"/>
      <c r="AF21" s="18"/>
      <c r="AG21" s="18"/>
    </row>
    <row r="22" spans="1:33" ht="15.75" customHeight="1" x14ac:dyDescent="0.2">
      <c r="L22" s="63">
        <f t="shared" si="0"/>
        <v>61.11</v>
      </c>
      <c r="M22" s="63">
        <f t="shared" si="0"/>
        <v>67.47</v>
      </c>
      <c r="N22" s="63">
        <f t="shared" si="1"/>
        <v>7.8367000000000004</v>
      </c>
      <c r="O22" s="64">
        <f t="shared" si="1"/>
        <v>2.098498457101416</v>
      </c>
      <c r="P22" s="64">
        <f t="shared" si="1"/>
        <v>1.0944956144399078</v>
      </c>
      <c r="Q22" s="63">
        <f t="shared" si="1"/>
        <v>2.2967973582064127</v>
      </c>
      <c r="R22" s="63" t="str">
        <f>J18</f>
        <v>Matriz (Válida)</v>
      </c>
      <c r="S22" s="65"/>
      <c r="Z22" s="62"/>
      <c r="AA22" s="62"/>
      <c r="AB22" s="62"/>
      <c r="AC22" s="62"/>
      <c r="AD22" s="62"/>
      <c r="AE22" s="66"/>
      <c r="AF22" s="18"/>
      <c r="AG22" s="18"/>
    </row>
    <row r="23" spans="1:33" ht="15.75" customHeight="1" x14ac:dyDescent="0.2">
      <c r="L23" s="63">
        <f t="shared" si="0"/>
        <v>61.05</v>
      </c>
      <c r="M23" s="63">
        <f t="shared" si="0"/>
        <v>69.56</v>
      </c>
      <c r="N23" s="63">
        <f t="shared" si="1"/>
        <v>6.3071000000000002</v>
      </c>
      <c r="O23" s="64">
        <f t="shared" si="1"/>
        <v>1.6922260656904395</v>
      </c>
      <c r="P23" s="64">
        <f t="shared" si="1"/>
        <v>1.0940119069508205</v>
      </c>
      <c r="Q23" s="63">
        <f t="shared" si="1"/>
        <v>1.8513154651178823</v>
      </c>
      <c r="R23" s="63" t="str">
        <f>J19</f>
        <v>Matriz (Válida)</v>
      </c>
      <c r="S23" s="65"/>
      <c r="Z23" s="18"/>
      <c r="AA23" s="18"/>
      <c r="AB23" s="18"/>
      <c r="AC23" s="67"/>
      <c r="AD23" s="60"/>
      <c r="AE23" s="66"/>
      <c r="AF23" s="18"/>
      <c r="AG23" s="18"/>
    </row>
    <row r="24" spans="1:33" ht="15.75" customHeight="1" x14ac:dyDescent="0.2">
      <c r="J24" s="68"/>
      <c r="R24" s="11"/>
      <c r="S24" s="65"/>
      <c r="Z24" s="69"/>
      <c r="AA24" s="70"/>
      <c r="AB24" s="61"/>
      <c r="AC24" s="67"/>
      <c r="AD24" s="60"/>
      <c r="AE24" s="66"/>
      <c r="AF24" s="18"/>
      <c r="AG24" s="18"/>
    </row>
    <row r="25" spans="1:33" ht="15.75" customHeight="1" x14ac:dyDescent="0.2">
      <c r="J25" s="68"/>
      <c r="L25" s="13" t="s">
        <v>32</v>
      </c>
      <c r="M25" s="13"/>
      <c r="R25" s="11"/>
      <c r="S25" s="65"/>
      <c r="Z25" s="71"/>
      <c r="AA25" s="70"/>
      <c r="AB25" s="72"/>
      <c r="AC25" s="67"/>
      <c r="AD25" s="60"/>
      <c r="AE25" s="70"/>
      <c r="AF25" s="18"/>
      <c r="AG25" s="18"/>
    </row>
    <row r="26" spans="1:33" ht="16.5" customHeight="1" x14ac:dyDescent="0.2">
      <c r="J26" s="68"/>
      <c r="L26" s="6" t="s">
        <v>31</v>
      </c>
      <c r="M26" s="73"/>
      <c r="N26" s="73"/>
      <c r="O26" s="74"/>
      <c r="P26" s="64">
        <f>+C12</f>
        <v>0.88</v>
      </c>
      <c r="Q26" s="75"/>
      <c r="R26" s="11"/>
      <c r="S26" s="65"/>
      <c r="Z26" s="71"/>
      <c r="AA26" s="70"/>
      <c r="AB26" s="72"/>
      <c r="AC26" s="67"/>
      <c r="AD26" s="60"/>
      <c r="AE26" s="70"/>
      <c r="AF26" s="18"/>
      <c r="AG26" s="18"/>
    </row>
    <row r="27" spans="1:33" ht="15.75" customHeight="1" x14ac:dyDescent="0.2">
      <c r="J27" s="68"/>
      <c r="L27" s="98" t="s">
        <v>30</v>
      </c>
      <c r="M27" s="99"/>
      <c r="N27" s="99"/>
      <c r="O27" s="100"/>
      <c r="P27" s="64">
        <f>AVERAGE(Q21:Q23)</f>
        <v>1.836694393125329</v>
      </c>
      <c r="Q27" s="75"/>
      <c r="R27" s="11"/>
      <c r="S27" s="65"/>
      <c r="Z27" s="71"/>
      <c r="AA27" s="70"/>
      <c r="AB27" s="72"/>
      <c r="AC27" s="67"/>
      <c r="AD27" s="60"/>
      <c r="AE27" s="70"/>
      <c r="AF27" s="18"/>
      <c r="AG27" s="18"/>
    </row>
    <row r="28" spans="1:33" ht="15.75" customHeight="1" x14ac:dyDescent="0.2">
      <c r="J28" s="68"/>
      <c r="L28" s="6" t="s">
        <v>29</v>
      </c>
      <c r="M28" s="73"/>
      <c r="N28" s="73"/>
      <c r="O28" s="74"/>
      <c r="P28" s="76" t="str">
        <f>IF(P27&lt;0.03,"Extrem. Baja",IF(P27&lt;0.1,"Muy Baja",IF(P27&lt;0.3,"Baja",IF(P27&lt;1,"Media",IF(P27&lt;3,"Alta",IF(P27&lt;10,"Muy Alta",IF(P27&gt;10,"Extrem. Alta")))))))</f>
        <v>Alta</v>
      </c>
      <c r="Q28" s="39"/>
      <c r="R28" s="11"/>
      <c r="S28" s="65"/>
      <c r="Z28" s="71"/>
      <c r="AA28" s="70"/>
      <c r="AB28" s="72"/>
      <c r="AC28" s="67"/>
      <c r="AD28" s="60"/>
      <c r="AE28" s="70"/>
      <c r="AF28" s="18"/>
      <c r="AG28" s="18"/>
    </row>
    <row r="29" spans="1:33" ht="15.75" customHeight="1" x14ac:dyDescent="0.2">
      <c r="R29" s="11"/>
      <c r="S29" s="65"/>
      <c r="Z29" s="71"/>
      <c r="AA29" s="70"/>
      <c r="AB29" s="72"/>
      <c r="AC29" s="67"/>
      <c r="AD29" s="60"/>
      <c r="AE29" s="70"/>
      <c r="AF29" s="18"/>
      <c r="AG29" s="18"/>
    </row>
    <row r="30" spans="1:33" ht="15.75" customHeight="1" x14ac:dyDescent="0.2">
      <c r="L30" s="101" t="s">
        <v>69</v>
      </c>
      <c r="M30" s="102"/>
      <c r="N30" s="102"/>
      <c r="O30" s="102"/>
      <c r="P30" s="103"/>
      <c r="Q30" s="77"/>
      <c r="R30" s="11"/>
      <c r="S30" s="65"/>
      <c r="Z30" s="71"/>
      <c r="AA30" s="70"/>
      <c r="AB30" s="72"/>
      <c r="AC30" s="67"/>
      <c r="AD30" s="60"/>
      <c r="AE30" s="70"/>
      <c r="AF30" s="18"/>
      <c r="AG30" s="18"/>
    </row>
    <row r="31" spans="1:33" ht="15.75" customHeight="1" x14ac:dyDescent="0.2">
      <c r="L31" s="104" t="s">
        <v>70</v>
      </c>
      <c r="M31" s="105"/>
      <c r="N31" s="105"/>
      <c r="O31" s="105"/>
      <c r="P31" s="106"/>
      <c r="Q31" s="78"/>
      <c r="R31" s="79"/>
      <c r="S31" s="60"/>
      <c r="T31" s="57"/>
      <c r="U31" s="57"/>
      <c r="V31" s="57"/>
      <c r="W31" s="57"/>
      <c r="X31" s="57"/>
      <c r="Y31" s="57"/>
      <c r="Z31" s="60"/>
      <c r="AA31" s="60"/>
      <c r="AB31" s="60"/>
      <c r="AC31" s="60"/>
      <c r="AD31" s="60"/>
      <c r="AE31" s="18"/>
      <c r="AF31" s="18"/>
      <c r="AG31" s="18"/>
    </row>
    <row r="32" spans="1:33" ht="31.5" customHeight="1" x14ac:dyDescent="0.2">
      <c r="L32" s="107" t="s">
        <v>28</v>
      </c>
      <c r="M32" s="108"/>
      <c r="N32" s="108"/>
      <c r="O32" s="108"/>
      <c r="P32" s="109"/>
      <c r="Q32" s="80"/>
      <c r="R32" s="79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</row>
    <row r="33" spans="12:33" ht="15.75" customHeight="1" x14ac:dyDescent="0.2">
      <c r="L33" s="92" t="s">
        <v>27</v>
      </c>
      <c r="M33" s="93"/>
      <c r="N33" s="93"/>
      <c r="O33" s="93"/>
      <c r="P33" s="94"/>
      <c r="Q33" s="81"/>
      <c r="R33" s="79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</row>
    <row r="34" spans="12:33" ht="15.75" customHeight="1" x14ac:dyDescent="0.2">
      <c r="L34" s="92" t="s">
        <v>26</v>
      </c>
      <c r="M34" s="93"/>
      <c r="N34" s="93"/>
      <c r="O34" s="93"/>
      <c r="P34" s="94"/>
      <c r="Q34" s="81"/>
      <c r="R34" s="11"/>
      <c r="T34" s="57"/>
      <c r="U34" s="57"/>
      <c r="V34" s="57"/>
      <c r="W34" s="57"/>
      <c r="X34" s="57"/>
      <c r="Y34" s="57"/>
    </row>
    <row r="35" spans="12:33" ht="13.5" customHeight="1" x14ac:dyDescent="0.2">
      <c r="L35" s="92" t="s">
        <v>25</v>
      </c>
      <c r="M35" s="93"/>
      <c r="N35" s="93"/>
      <c r="O35" s="93"/>
      <c r="P35" s="94"/>
      <c r="Q35" s="81"/>
      <c r="R35" s="11"/>
    </row>
    <row r="36" spans="12:33" ht="13.5" customHeight="1" x14ac:dyDescent="0.2">
      <c r="L36" s="92" t="s">
        <v>24</v>
      </c>
      <c r="M36" s="93"/>
      <c r="N36" s="93"/>
      <c r="O36" s="93"/>
      <c r="P36" s="94"/>
      <c r="Q36" s="81"/>
      <c r="AE36" s="82"/>
    </row>
    <row r="37" spans="12:33" ht="13.5" customHeight="1" x14ac:dyDescent="0.2">
      <c r="L37" s="92" t="s">
        <v>23</v>
      </c>
      <c r="M37" s="93"/>
      <c r="N37" s="93"/>
      <c r="O37" s="93"/>
      <c r="P37" s="94"/>
      <c r="Q37" s="81"/>
      <c r="R37" s="11"/>
    </row>
    <row r="38" spans="12:33" ht="13.5" customHeight="1" x14ac:dyDescent="0.2">
      <c r="L38" s="92" t="s">
        <v>22</v>
      </c>
      <c r="M38" s="93"/>
      <c r="N38" s="93"/>
      <c r="O38" s="93"/>
      <c r="P38" s="94"/>
      <c r="Q38" s="81"/>
      <c r="R38" s="11"/>
    </row>
    <row r="39" spans="12:33" ht="13.5" customHeight="1" x14ac:dyDescent="0.2">
      <c r="L39" s="92" t="s">
        <v>21</v>
      </c>
      <c r="M39" s="93"/>
      <c r="N39" s="93"/>
      <c r="O39" s="93"/>
      <c r="P39" s="94"/>
      <c r="Q39" s="81"/>
      <c r="R39" s="11"/>
    </row>
    <row r="40" spans="12:33" ht="13.5" customHeight="1" x14ac:dyDescent="0.2">
      <c r="R40" s="11"/>
    </row>
    <row r="41" spans="12:33" ht="15.75" customHeight="1" x14ac:dyDescent="0.2">
      <c r="L41" s="83" t="s">
        <v>5</v>
      </c>
      <c r="M41" s="83"/>
      <c r="R41" s="11"/>
      <c r="S41" s="82"/>
    </row>
    <row r="42" spans="12:33" ht="15.75" customHeight="1" x14ac:dyDescent="0.2">
      <c r="L42" s="11" t="s">
        <v>20</v>
      </c>
      <c r="R42" s="11"/>
      <c r="S42" s="82"/>
    </row>
    <row r="43" spans="12:33" ht="15.75" customHeight="1" x14ac:dyDescent="0.2">
      <c r="L43" s="11" t="s">
        <v>71</v>
      </c>
      <c r="R43" s="11"/>
      <c r="S43" s="82"/>
    </row>
    <row r="44" spans="12:33" ht="15.75" customHeight="1" x14ac:dyDescent="0.2">
      <c r="R44" s="11"/>
    </row>
    <row r="45" spans="12:33" ht="15.75" customHeight="1" x14ac:dyDescent="0.2">
      <c r="L45" s="83" t="s">
        <v>6</v>
      </c>
      <c r="M45" s="83"/>
      <c r="R45" s="11"/>
    </row>
    <row r="46" spans="12:33" ht="15.75" customHeight="1" x14ac:dyDescent="0.2">
      <c r="L46" s="11" t="s">
        <v>19</v>
      </c>
      <c r="R46" s="39"/>
    </row>
    <row r="47" spans="12:33" ht="15.75" customHeight="1" x14ac:dyDescent="0.2">
      <c r="R47" s="11"/>
    </row>
    <row r="48" spans="12:33" ht="15.75" customHeight="1" x14ac:dyDescent="0.2">
      <c r="R48" s="11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95"/>
      <c r="AE48" s="95"/>
    </row>
    <row r="49" spans="1:31" ht="15.75" customHeight="1" x14ac:dyDescent="0.2">
      <c r="R49" s="11"/>
      <c r="S49" s="39"/>
      <c r="T49" s="39"/>
      <c r="U49" s="39"/>
      <c r="V49" s="39"/>
      <c r="W49" s="39"/>
      <c r="X49" s="39"/>
      <c r="Y49" s="39"/>
      <c r="Z49" s="39"/>
      <c r="AA49" s="84"/>
      <c r="AB49" s="39"/>
      <c r="AC49" s="39"/>
      <c r="AD49" s="85"/>
      <c r="AE49" s="85"/>
    </row>
    <row r="50" spans="1:31" ht="15.75" customHeight="1" x14ac:dyDescent="0.2">
      <c r="R50" s="11"/>
      <c r="S50" s="39"/>
      <c r="T50" s="39"/>
      <c r="U50" s="39"/>
      <c r="V50" s="39"/>
      <c r="W50" s="39"/>
      <c r="X50" s="39"/>
      <c r="Y50" s="39"/>
      <c r="Z50" s="39"/>
      <c r="AA50" s="39"/>
      <c r="AB50" s="18"/>
      <c r="AC50" s="39"/>
      <c r="AD50" s="85"/>
      <c r="AE50" s="85"/>
    </row>
    <row r="51" spans="1:31" ht="15.75" customHeight="1" x14ac:dyDescent="0.2">
      <c r="R51" s="11"/>
      <c r="S51" s="65"/>
      <c r="T51" s="71"/>
      <c r="U51" s="71"/>
      <c r="V51" s="71"/>
      <c r="W51" s="71"/>
      <c r="X51" s="71"/>
      <c r="Y51" s="86"/>
      <c r="Z51" s="86"/>
      <c r="AA51" s="79"/>
      <c r="AB51" s="87"/>
      <c r="AC51" s="75"/>
      <c r="AD51" s="85"/>
      <c r="AE51" s="66"/>
    </row>
    <row r="52" spans="1:31" ht="15.75" customHeight="1" x14ac:dyDescent="0.2">
      <c r="R52" s="11"/>
      <c r="S52" s="65"/>
      <c r="T52" s="71"/>
      <c r="U52" s="71"/>
      <c r="V52" s="71"/>
      <c r="W52" s="71"/>
      <c r="X52" s="71"/>
      <c r="Y52" s="86"/>
      <c r="Z52" s="86"/>
      <c r="AA52" s="79"/>
      <c r="AB52" s="87"/>
      <c r="AC52" s="75"/>
      <c r="AD52" s="85"/>
      <c r="AE52" s="66"/>
    </row>
    <row r="53" spans="1:31" ht="15.75" customHeight="1" x14ac:dyDescent="0.2">
      <c r="R53" s="11"/>
      <c r="S53" s="65"/>
      <c r="T53" s="71"/>
      <c r="U53" s="71"/>
      <c r="V53" s="71"/>
      <c r="W53" s="71"/>
      <c r="X53" s="71"/>
      <c r="Y53" s="86"/>
      <c r="Z53" s="86"/>
      <c r="AA53" s="79"/>
      <c r="AB53" s="87"/>
      <c r="AC53" s="75"/>
      <c r="AD53" s="85"/>
      <c r="AE53" s="66"/>
    </row>
    <row r="54" spans="1:31" ht="15.75" customHeight="1" x14ac:dyDescent="0.2">
      <c r="R54" s="11"/>
    </row>
    <row r="55" spans="1:31" ht="15.75" customHeight="1" x14ac:dyDescent="0.2">
      <c r="R55" s="11"/>
    </row>
    <row r="56" spans="1:31" ht="15.75" customHeight="1" x14ac:dyDescent="0.2">
      <c r="R56" s="11"/>
    </row>
    <row r="57" spans="1:31" ht="15.75" customHeight="1" x14ac:dyDescent="0.2">
      <c r="R57" s="11"/>
    </row>
    <row r="58" spans="1:31" ht="15.75" customHeight="1" x14ac:dyDescent="0.2">
      <c r="R58" s="11"/>
    </row>
    <row r="59" spans="1:31" ht="15.75" customHeight="1" x14ac:dyDescent="0.2"/>
    <row r="60" spans="1:31" ht="15.75" customHeight="1" x14ac:dyDescent="0.2">
      <c r="R60" s="11"/>
    </row>
    <row r="61" spans="1:31" ht="15.75" customHeight="1" x14ac:dyDescent="0.2"/>
    <row r="62" spans="1:31" ht="15.75" customHeight="1" x14ac:dyDescent="0.2"/>
    <row r="63" spans="1:31" ht="15.75" customHeight="1" x14ac:dyDescent="0.2">
      <c r="O63" s="88"/>
      <c r="P63" s="88"/>
      <c r="Q63" s="88"/>
    </row>
    <row r="64" spans="1:31" ht="15.75" customHeight="1" x14ac:dyDescent="0.2">
      <c r="A64" s="89" t="s">
        <v>66</v>
      </c>
    </row>
    <row r="65" spans="1:1" ht="15.75" customHeight="1" x14ac:dyDescent="0.2">
      <c r="A65" s="89" t="s">
        <v>72</v>
      </c>
    </row>
    <row r="66" spans="1:1" ht="15.75" customHeight="1" x14ac:dyDescent="0.2">
      <c r="A66" s="89" t="s">
        <v>73</v>
      </c>
    </row>
    <row r="67" spans="1:1" ht="15.75" customHeight="1" x14ac:dyDescent="0.2">
      <c r="A67" s="89" t="s">
        <v>74</v>
      </c>
    </row>
    <row r="68" spans="1:1" ht="15.75" customHeight="1" x14ac:dyDescent="0.2">
      <c r="A68" s="89" t="s">
        <v>75</v>
      </c>
    </row>
    <row r="69" spans="1:1" ht="15.75" customHeight="1" x14ac:dyDescent="0.2">
      <c r="A69" s="68" t="s">
        <v>76</v>
      </c>
    </row>
    <row r="70" spans="1:1" ht="15.75" customHeight="1" x14ac:dyDescent="0.2"/>
    <row r="93" spans="18:18" x14ac:dyDescent="0.2">
      <c r="R93" s="11"/>
    </row>
    <row r="94" spans="18:18" x14ac:dyDescent="0.2">
      <c r="R94" s="11"/>
    </row>
    <row r="95" spans="18:18" x14ac:dyDescent="0.2">
      <c r="R95" s="11"/>
    </row>
    <row r="96" spans="18:18" x14ac:dyDescent="0.2">
      <c r="R96" s="11"/>
    </row>
  </sheetData>
  <sheetProtection formatCells="0" formatColumns="0" formatRows="0"/>
  <mergeCells count="23">
    <mergeCell ref="L7:M7"/>
    <mergeCell ref="U3:AD3"/>
    <mergeCell ref="L4:M4"/>
    <mergeCell ref="L5:M5"/>
    <mergeCell ref="U5:AD5"/>
    <mergeCell ref="L6:M6"/>
    <mergeCell ref="L35:P35"/>
    <mergeCell ref="L8:M8"/>
    <mergeCell ref="L11:M11"/>
    <mergeCell ref="L12:M12"/>
    <mergeCell ref="L13:M13"/>
    <mergeCell ref="L14:M14"/>
    <mergeCell ref="L27:O27"/>
    <mergeCell ref="L30:P30"/>
    <mergeCell ref="L31:P31"/>
    <mergeCell ref="L32:P32"/>
    <mergeCell ref="L33:P33"/>
    <mergeCell ref="L34:P34"/>
    <mergeCell ref="L36:P36"/>
    <mergeCell ref="L37:P37"/>
    <mergeCell ref="L38:P38"/>
    <mergeCell ref="L39:P39"/>
    <mergeCell ref="AD48:AE48"/>
  </mergeCells>
  <conditionalFormatting sqref="I17:I19">
    <cfRule type="cellIs" dxfId="0" priority="1" stopIfTrue="1" operator="lessThan">
      <formula>1</formula>
    </cfRule>
  </conditionalFormatting>
  <dataValidations count="1">
    <dataValidation type="list" allowBlank="1" showInputMessage="1" showErrorMessage="1" sqref="J17:J19 JF17:JF19 TB17:TB19 ACX17:ACX19 AMT17:AMT19 AWP17:AWP19 BGL17:BGL19 BQH17:BQH19 CAD17:CAD19 CJZ17:CJZ19 CTV17:CTV19 DDR17:DDR19 DNN17:DNN19 DXJ17:DXJ19 EHF17:EHF19 ERB17:ERB19 FAX17:FAX19 FKT17:FKT19 FUP17:FUP19 GEL17:GEL19 GOH17:GOH19 GYD17:GYD19 HHZ17:HHZ19 HRV17:HRV19 IBR17:IBR19 ILN17:ILN19 IVJ17:IVJ19 JFF17:JFF19 JPB17:JPB19 JYX17:JYX19 KIT17:KIT19 KSP17:KSP19 LCL17:LCL19 LMH17:LMH19 LWD17:LWD19 MFZ17:MFZ19 MPV17:MPV19 MZR17:MZR19 NJN17:NJN19 NTJ17:NTJ19 ODF17:ODF19 ONB17:ONB19 OWX17:OWX19 PGT17:PGT19 PQP17:PQP19 QAL17:QAL19 QKH17:QKH19 QUD17:QUD19 RDZ17:RDZ19 RNV17:RNV19 RXR17:RXR19 SHN17:SHN19 SRJ17:SRJ19 TBF17:TBF19 TLB17:TLB19 TUX17:TUX19 UET17:UET19 UOP17:UOP19 UYL17:UYL19 VIH17:VIH19 VSD17:VSD19 WBZ17:WBZ19 WLV17:WLV19 WVR17:WVR19 J65553:J65555 JF65553:JF65555 TB65553:TB65555 ACX65553:ACX65555 AMT65553:AMT65555 AWP65553:AWP65555 BGL65553:BGL65555 BQH65553:BQH65555 CAD65553:CAD65555 CJZ65553:CJZ65555 CTV65553:CTV65555 DDR65553:DDR65555 DNN65553:DNN65555 DXJ65553:DXJ65555 EHF65553:EHF65555 ERB65553:ERB65555 FAX65553:FAX65555 FKT65553:FKT65555 FUP65553:FUP65555 GEL65553:GEL65555 GOH65553:GOH65555 GYD65553:GYD65555 HHZ65553:HHZ65555 HRV65553:HRV65555 IBR65553:IBR65555 ILN65553:ILN65555 IVJ65553:IVJ65555 JFF65553:JFF65555 JPB65553:JPB65555 JYX65553:JYX65555 KIT65553:KIT65555 KSP65553:KSP65555 LCL65553:LCL65555 LMH65553:LMH65555 LWD65553:LWD65555 MFZ65553:MFZ65555 MPV65553:MPV65555 MZR65553:MZR65555 NJN65553:NJN65555 NTJ65553:NTJ65555 ODF65553:ODF65555 ONB65553:ONB65555 OWX65553:OWX65555 PGT65553:PGT65555 PQP65553:PQP65555 QAL65553:QAL65555 QKH65553:QKH65555 QUD65553:QUD65555 RDZ65553:RDZ65555 RNV65553:RNV65555 RXR65553:RXR65555 SHN65553:SHN65555 SRJ65553:SRJ65555 TBF65553:TBF65555 TLB65553:TLB65555 TUX65553:TUX65555 UET65553:UET65555 UOP65553:UOP65555 UYL65553:UYL65555 VIH65553:VIH65555 VSD65553:VSD65555 WBZ65553:WBZ65555 WLV65553:WLV65555 WVR65553:WVR65555 J131089:J131091 JF131089:JF131091 TB131089:TB131091 ACX131089:ACX131091 AMT131089:AMT131091 AWP131089:AWP131091 BGL131089:BGL131091 BQH131089:BQH131091 CAD131089:CAD131091 CJZ131089:CJZ131091 CTV131089:CTV131091 DDR131089:DDR131091 DNN131089:DNN131091 DXJ131089:DXJ131091 EHF131089:EHF131091 ERB131089:ERB131091 FAX131089:FAX131091 FKT131089:FKT131091 FUP131089:FUP131091 GEL131089:GEL131091 GOH131089:GOH131091 GYD131089:GYD131091 HHZ131089:HHZ131091 HRV131089:HRV131091 IBR131089:IBR131091 ILN131089:ILN131091 IVJ131089:IVJ131091 JFF131089:JFF131091 JPB131089:JPB131091 JYX131089:JYX131091 KIT131089:KIT131091 KSP131089:KSP131091 LCL131089:LCL131091 LMH131089:LMH131091 LWD131089:LWD131091 MFZ131089:MFZ131091 MPV131089:MPV131091 MZR131089:MZR131091 NJN131089:NJN131091 NTJ131089:NTJ131091 ODF131089:ODF131091 ONB131089:ONB131091 OWX131089:OWX131091 PGT131089:PGT131091 PQP131089:PQP131091 QAL131089:QAL131091 QKH131089:QKH131091 QUD131089:QUD131091 RDZ131089:RDZ131091 RNV131089:RNV131091 RXR131089:RXR131091 SHN131089:SHN131091 SRJ131089:SRJ131091 TBF131089:TBF131091 TLB131089:TLB131091 TUX131089:TUX131091 UET131089:UET131091 UOP131089:UOP131091 UYL131089:UYL131091 VIH131089:VIH131091 VSD131089:VSD131091 WBZ131089:WBZ131091 WLV131089:WLV131091 WVR131089:WVR131091 J196625:J196627 JF196625:JF196627 TB196625:TB196627 ACX196625:ACX196627 AMT196625:AMT196627 AWP196625:AWP196627 BGL196625:BGL196627 BQH196625:BQH196627 CAD196625:CAD196627 CJZ196625:CJZ196627 CTV196625:CTV196627 DDR196625:DDR196627 DNN196625:DNN196627 DXJ196625:DXJ196627 EHF196625:EHF196627 ERB196625:ERB196627 FAX196625:FAX196627 FKT196625:FKT196627 FUP196625:FUP196627 GEL196625:GEL196627 GOH196625:GOH196627 GYD196625:GYD196627 HHZ196625:HHZ196627 HRV196625:HRV196627 IBR196625:IBR196627 ILN196625:ILN196627 IVJ196625:IVJ196627 JFF196625:JFF196627 JPB196625:JPB196627 JYX196625:JYX196627 KIT196625:KIT196627 KSP196625:KSP196627 LCL196625:LCL196627 LMH196625:LMH196627 LWD196625:LWD196627 MFZ196625:MFZ196627 MPV196625:MPV196627 MZR196625:MZR196627 NJN196625:NJN196627 NTJ196625:NTJ196627 ODF196625:ODF196627 ONB196625:ONB196627 OWX196625:OWX196627 PGT196625:PGT196627 PQP196625:PQP196627 QAL196625:QAL196627 QKH196625:QKH196627 QUD196625:QUD196627 RDZ196625:RDZ196627 RNV196625:RNV196627 RXR196625:RXR196627 SHN196625:SHN196627 SRJ196625:SRJ196627 TBF196625:TBF196627 TLB196625:TLB196627 TUX196625:TUX196627 UET196625:UET196627 UOP196625:UOP196627 UYL196625:UYL196627 VIH196625:VIH196627 VSD196625:VSD196627 WBZ196625:WBZ196627 WLV196625:WLV196627 WVR196625:WVR196627 J262161:J262163 JF262161:JF262163 TB262161:TB262163 ACX262161:ACX262163 AMT262161:AMT262163 AWP262161:AWP262163 BGL262161:BGL262163 BQH262161:BQH262163 CAD262161:CAD262163 CJZ262161:CJZ262163 CTV262161:CTV262163 DDR262161:DDR262163 DNN262161:DNN262163 DXJ262161:DXJ262163 EHF262161:EHF262163 ERB262161:ERB262163 FAX262161:FAX262163 FKT262161:FKT262163 FUP262161:FUP262163 GEL262161:GEL262163 GOH262161:GOH262163 GYD262161:GYD262163 HHZ262161:HHZ262163 HRV262161:HRV262163 IBR262161:IBR262163 ILN262161:ILN262163 IVJ262161:IVJ262163 JFF262161:JFF262163 JPB262161:JPB262163 JYX262161:JYX262163 KIT262161:KIT262163 KSP262161:KSP262163 LCL262161:LCL262163 LMH262161:LMH262163 LWD262161:LWD262163 MFZ262161:MFZ262163 MPV262161:MPV262163 MZR262161:MZR262163 NJN262161:NJN262163 NTJ262161:NTJ262163 ODF262161:ODF262163 ONB262161:ONB262163 OWX262161:OWX262163 PGT262161:PGT262163 PQP262161:PQP262163 QAL262161:QAL262163 QKH262161:QKH262163 QUD262161:QUD262163 RDZ262161:RDZ262163 RNV262161:RNV262163 RXR262161:RXR262163 SHN262161:SHN262163 SRJ262161:SRJ262163 TBF262161:TBF262163 TLB262161:TLB262163 TUX262161:TUX262163 UET262161:UET262163 UOP262161:UOP262163 UYL262161:UYL262163 VIH262161:VIH262163 VSD262161:VSD262163 WBZ262161:WBZ262163 WLV262161:WLV262163 WVR262161:WVR262163 J327697:J327699 JF327697:JF327699 TB327697:TB327699 ACX327697:ACX327699 AMT327697:AMT327699 AWP327697:AWP327699 BGL327697:BGL327699 BQH327697:BQH327699 CAD327697:CAD327699 CJZ327697:CJZ327699 CTV327697:CTV327699 DDR327697:DDR327699 DNN327697:DNN327699 DXJ327697:DXJ327699 EHF327697:EHF327699 ERB327697:ERB327699 FAX327697:FAX327699 FKT327697:FKT327699 FUP327697:FUP327699 GEL327697:GEL327699 GOH327697:GOH327699 GYD327697:GYD327699 HHZ327697:HHZ327699 HRV327697:HRV327699 IBR327697:IBR327699 ILN327697:ILN327699 IVJ327697:IVJ327699 JFF327697:JFF327699 JPB327697:JPB327699 JYX327697:JYX327699 KIT327697:KIT327699 KSP327697:KSP327699 LCL327697:LCL327699 LMH327697:LMH327699 LWD327697:LWD327699 MFZ327697:MFZ327699 MPV327697:MPV327699 MZR327697:MZR327699 NJN327697:NJN327699 NTJ327697:NTJ327699 ODF327697:ODF327699 ONB327697:ONB327699 OWX327697:OWX327699 PGT327697:PGT327699 PQP327697:PQP327699 QAL327697:QAL327699 QKH327697:QKH327699 QUD327697:QUD327699 RDZ327697:RDZ327699 RNV327697:RNV327699 RXR327697:RXR327699 SHN327697:SHN327699 SRJ327697:SRJ327699 TBF327697:TBF327699 TLB327697:TLB327699 TUX327697:TUX327699 UET327697:UET327699 UOP327697:UOP327699 UYL327697:UYL327699 VIH327697:VIH327699 VSD327697:VSD327699 WBZ327697:WBZ327699 WLV327697:WLV327699 WVR327697:WVR327699 J393233:J393235 JF393233:JF393235 TB393233:TB393235 ACX393233:ACX393235 AMT393233:AMT393235 AWP393233:AWP393235 BGL393233:BGL393235 BQH393233:BQH393235 CAD393233:CAD393235 CJZ393233:CJZ393235 CTV393233:CTV393235 DDR393233:DDR393235 DNN393233:DNN393235 DXJ393233:DXJ393235 EHF393233:EHF393235 ERB393233:ERB393235 FAX393233:FAX393235 FKT393233:FKT393235 FUP393233:FUP393235 GEL393233:GEL393235 GOH393233:GOH393235 GYD393233:GYD393235 HHZ393233:HHZ393235 HRV393233:HRV393235 IBR393233:IBR393235 ILN393233:ILN393235 IVJ393233:IVJ393235 JFF393233:JFF393235 JPB393233:JPB393235 JYX393233:JYX393235 KIT393233:KIT393235 KSP393233:KSP393235 LCL393233:LCL393235 LMH393233:LMH393235 LWD393233:LWD393235 MFZ393233:MFZ393235 MPV393233:MPV393235 MZR393233:MZR393235 NJN393233:NJN393235 NTJ393233:NTJ393235 ODF393233:ODF393235 ONB393233:ONB393235 OWX393233:OWX393235 PGT393233:PGT393235 PQP393233:PQP393235 QAL393233:QAL393235 QKH393233:QKH393235 QUD393233:QUD393235 RDZ393233:RDZ393235 RNV393233:RNV393235 RXR393233:RXR393235 SHN393233:SHN393235 SRJ393233:SRJ393235 TBF393233:TBF393235 TLB393233:TLB393235 TUX393233:TUX393235 UET393233:UET393235 UOP393233:UOP393235 UYL393233:UYL393235 VIH393233:VIH393235 VSD393233:VSD393235 WBZ393233:WBZ393235 WLV393233:WLV393235 WVR393233:WVR393235 J458769:J458771 JF458769:JF458771 TB458769:TB458771 ACX458769:ACX458771 AMT458769:AMT458771 AWP458769:AWP458771 BGL458769:BGL458771 BQH458769:BQH458771 CAD458769:CAD458771 CJZ458769:CJZ458771 CTV458769:CTV458771 DDR458769:DDR458771 DNN458769:DNN458771 DXJ458769:DXJ458771 EHF458769:EHF458771 ERB458769:ERB458771 FAX458769:FAX458771 FKT458769:FKT458771 FUP458769:FUP458771 GEL458769:GEL458771 GOH458769:GOH458771 GYD458769:GYD458771 HHZ458769:HHZ458771 HRV458769:HRV458771 IBR458769:IBR458771 ILN458769:ILN458771 IVJ458769:IVJ458771 JFF458769:JFF458771 JPB458769:JPB458771 JYX458769:JYX458771 KIT458769:KIT458771 KSP458769:KSP458771 LCL458769:LCL458771 LMH458769:LMH458771 LWD458769:LWD458771 MFZ458769:MFZ458771 MPV458769:MPV458771 MZR458769:MZR458771 NJN458769:NJN458771 NTJ458769:NTJ458771 ODF458769:ODF458771 ONB458769:ONB458771 OWX458769:OWX458771 PGT458769:PGT458771 PQP458769:PQP458771 QAL458769:QAL458771 QKH458769:QKH458771 QUD458769:QUD458771 RDZ458769:RDZ458771 RNV458769:RNV458771 RXR458769:RXR458771 SHN458769:SHN458771 SRJ458769:SRJ458771 TBF458769:TBF458771 TLB458769:TLB458771 TUX458769:TUX458771 UET458769:UET458771 UOP458769:UOP458771 UYL458769:UYL458771 VIH458769:VIH458771 VSD458769:VSD458771 WBZ458769:WBZ458771 WLV458769:WLV458771 WVR458769:WVR458771 J524305:J524307 JF524305:JF524307 TB524305:TB524307 ACX524305:ACX524307 AMT524305:AMT524307 AWP524305:AWP524307 BGL524305:BGL524307 BQH524305:BQH524307 CAD524305:CAD524307 CJZ524305:CJZ524307 CTV524305:CTV524307 DDR524305:DDR524307 DNN524305:DNN524307 DXJ524305:DXJ524307 EHF524305:EHF524307 ERB524305:ERB524307 FAX524305:FAX524307 FKT524305:FKT524307 FUP524305:FUP524307 GEL524305:GEL524307 GOH524305:GOH524307 GYD524305:GYD524307 HHZ524305:HHZ524307 HRV524305:HRV524307 IBR524305:IBR524307 ILN524305:ILN524307 IVJ524305:IVJ524307 JFF524305:JFF524307 JPB524305:JPB524307 JYX524305:JYX524307 KIT524305:KIT524307 KSP524305:KSP524307 LCL524305:LCL524307 LMH524305:LMH524307 LWD524305:LWD524307 MFZ524305:MFZ524307 MPV524305:MPV524307 MZR524305:MZR524307 NJN524305:NJN524307 NTJ524305:NTJ524307 ODF524305:ODF524307 ONB524305:ONB524307 OWX524305:OWX524307 PGT524305:PGT524307 PQP524305:PQP524307 QAL524305:QAL524307 QKH524305:QKH524307 QUD524305:QUD524307 RDZ524305:RDZ524307 RNV524305:RNV524307 RXR524305:RXR524307 SHN524305:SHN524307 SRJ524305:SRJ524307 TBF524305:TBF524307 TLB524305:TLB524307 TUX524305:TUX524307 UET524305:UET524307 UOP524305:UOP524307 UYL524305:UYL524307 VIH524305:VIH524307 VSD524305:VSD524307 WBZ524305:WBZ524307 WLV524305:WLV524307 WVR524305:WVR524307 J589841:J589843 JF589841:JF589843 TB589841:TB589843 ACX589841:ACX589843 AMT589841:AMT589843 AWP589841:AWP589843 BGL589841:BGL589843 BQH589841:BQH589843 CAD589841:CAD589843 CJZ589841:CJZ589843 CTV589841:CTV589843 DDR589841:DDR589843 DNN589841:DNN589843 DXJ589841:DXJ589843 EHF589841:EHF589843 ERB589841:ERB589843 FAX589841:FAX589843 FKT589841:FKT589843 FUP589841:FUP589843 GEL589841:GEL589843 GOH589841:GOH589843 GYD589841:GYD589843 HHZ589841:HHZ589843 HRV589841:HRV589843 IBR589841:IBR589843 ILN589841:ILN589843 IVJ589841:IVJ589843 JFF589841:JFF589843 JPB589841:JPB589843 JYX589841:JYX589843 KIT589841:KIT589843 KSP589841:KSP589843 LCL589841:LCL589843 LMH589841:LMH589843 LWD589841:LWD589843 MFZ589841:MFZ589843 MPV589841:MPV589843 MZR589841:MZR589843 NJN589841:NJN589843 NTJ589841:NTJ589843 ODF589841:ODF589843 ONB589841:ONB589843 OWX589841:OWX589843 PGT589841:PGT589843 PQP589841:PQP589843 QAL589841:QAL589843 QKH589841:QKH589843 QUD589841:QUD589843 RDZ589841:RDZ589843 RNV589841:RNV589843 RXR589841:RXR589843 SHN589841:SHN589843 SRJ589841:SRJ589843 TBF589841:TBF589843 TLB589841:TLB589843 TUX589841:TUX589843 UET589841:UET589843 UOP589841:UOP589843 UYL589841:UYL589843 VIH589841:VIH589843 VSD589841:VSD589843 WBZ589841:WBZ589843 WLV589841:WLV589843 WVR589841:WVR589843 J655377:J655379 JF655377:JF655379 TB655377:TB655379 ACX655377:ACX655379 AMT655377:AMT655379 AWP655377:AWP655379 BGL655377:BGL655379 BQH655377:BQH655379 CAD655377:CAD655379 CJZ655377:CJZ655379 CTV655377:CTV655379 DDR655377:DDR655379 DNN655377:DNN655379 DXJ655377:DXJ655379 EHF655377:EHF655379 ERB655377:ERB655379 FAX655377:FAX655379 FKT655377:FKT655379 FUP655377:FUP655379 GEL655377:GEL655379 GOH655377:GOH655379 GYD655377:GYD655379 HHZ655377:HHZ655379 HRV655377:HRV655379 IBR655377:IBR655379 ILN655377:ILN655379 IVJ655377:IVJ655379 JFF655377:JFF655379 JPB655377:JPB655379 JYX655377:JYX655379 KIT655377:KIT655379 KSP655377:KSP655379 LCL655377:LCL655379 LMH655377:LMH655379 LWD655377:LWD655379 MFZ655377:MFZ655379 MPV655377:MPV655379 MZR655377:MZR655379 NJN655377:NJN655379 NTJ655377:NTJ655379 ODF655377:ODF655379 ONB655377:ONB655379 OWX655377:OWX655379 PGT655377:PGT655379 PQP655377:PQP655379 QAL655377:QAL655379 QKH655377:QKH655379 QUD655377:QUD655379 RDZ655377:RDZ655379 RNV655377:RNV655379 RXR655377:RXR655379 SHN655377:SHN655379 SRJ655377:SRJ655379 TBF655377:TBF655379 TLB655377:TLB655379 TUX655377:TUX655379 UET655377:UET655379 UOP655377:UOP655379 UYL655377:UYL655379 VIH655377:VIH655379 VSD655377:VSD655379 WBZ655377:WBZ655379 WLV655377:WLV655379 WVR655377:WVR655379 J720913:J720915 JF720913:JF720915 TB720913:TB720915 ACX720913:ACX720915 AMT720913:AMT720915 AWP720913:AWP720915 BGL720913:BGL720915 BQH720913:BQH720915 CAD720913:CAD720915 CJZ720913:CJZ720915 CTV720913:CTV720915 DDR720913:DDR720915 DNN720913:DNN720915 DXJ720913:DXJ720915 EHF720913:EHF720915 ERB720913:ERB720915 FAX720913:FAX720915 FKT720913:FKT720915 FUP720913:FUP720915 GEL720913:GEL720915 GOH720913:GOH720915 GYD720913:GYD720915 HHZ720913:HHZ720915 HRV720913:HRV720915 IBR720913:IBR720915 ILN720913:ILN720915 IVJ720913:IVJ720915 JFF720913:JFF720915 JPB720913:JPB720915 JYX720913:JYX720915 KIT720913:KIT720915 KSP720913:KSP720915 LCL720913:LCL720915 LMH720913:LMH720915 LWD720913:LWD720915 MFZ720913:MFZ720915 MPV720913:MPV720915 MZR720913:MZR720915 NJN720913:NJN720915 NTJ720913:NTJ720915 ODF720913:ODF720915 ONB720913:ONB720915 OWX720913:OWX720915 PGT720913:PGT720915 PQP720913:PQP720915 QAL720913:QAL720915 QKH720913:QKH720915 QUD720913:QUD720915 RDZ720913:RDZ720915 RNV720913:RNV720915 RXR720913:RXR720915 SHN720913:SHN720915 SRJ720913:SRJ720915 TBF720913:TBF720915 TLB720913:TLB720915 TUX720913:TUX720915 UET720913:UET720915 UOP720913:UOP720915 UYL720913:UYL720915 VIH720913:VIH720915 VSD720913:VSD720915 WBZ720913:WBZ720915 WLV720913:WLV720915 WVR720913:WVR720915 J786449:J786451 JF786449:JF786451 TB786449:TB786451 ACX786449:ACX786451 AMT786449:AMT786451 AWP786449:AWP786451 BGL786449:BGL786451 BQH786449:BQH786451 CAD786449:CAD786451 CJZ786449:CJZ786451 CTV786449:CTV786451 DDR786449:DDR786451 DNN786449:DNN786451 DXJ786449:DXJ786451 EHF786449:EHF786451 ERB786449:ERB786451 FAX786449:FAX786451 FKT786449:FKT786451 FUP786449:FUP786451 GEL786449:GEL786451 GOH786449:GOH786451 GYD786449:GYD786451 HHZ786449:HHZ786451 HRV786449:HRV786451 IBR786449:IBR786451 ILN786449:ILN786451 IVJ786449:IVJ786451 JFF786449:JFF786451 JPB786449:JPB786451 JYX786449:JYX786451 KIT786449:KIT786451 KSP786449:KSP786451 LCL786449:LCL786451 LMH786449:LMH786451 LWD786449:LWD786451 MFZ786449:MFZ786451 MPV786449:MPV786451 MZR786449:MZR786451 NJN786449:NJN786451 NTJ786449:NTJ786451 ODF786449:ODF786451 ONB786449:ONB786451 OWX786449:OWX786451 PGT786449:PGT786451 PQP786449:PQP786451 QAL786449:QAL786451 QKH786449:QKH786451 QUD786449:QUD786451 RDZ786449:RDZ786451 RNV786449:RNV786451 RXR786449:RXR786451 SHN786449:SHN786451 SRJ786449:SRJ786451 TBF786449:TBF786451 TLB786449:TLB786451 TUX786449:TUX786451 UET786449:UET786451 UOP786449:UOP786451 UYL786449:UYL786451 VIH786449:VIH786451 VSD786449:VSD786451 WBZ786449:WBZ786451 WLV786449:WLV786451 WVR786449:WVR786451 J851985:J851987 JF851985:JF851987 TB851985:TB851987 ACX851985:ACX851987 AMT851985:AMT851987 AWP851985:AWP851987 BGL851985:BGL851987 BQH851985:BQH851987 CAD851985:CAD851987 CJZ851985:CJZ851987 CTV851985:CTV851987 DDR851985:DDR851987 DNN851985:DNN851987 DXJ851985:DXJ851987 EHF851985:EHF851987 ERB851985:ERB851987 FAX851985:FAX851987 FKT851985:FKT851987 FUP851985:FUP851987 GEL851985:GEL851987 GOH851985:GOH851987 GYD851985:GYD851987 HHZ851985:HHZ851987 HRV851985:HRV851987 IBR851985:IBR851987 ILN851985:ILN851987 IVJ851985:IVJ851987 JFF851985:JFF851987 JPB851985:JPB851987 JYX851985:JYX851987 KIT851985:KIT851987 KSP851985:KSP851987 LCL851985:LCL851987 LMH851985:LMH851987 LWD851985:LWD851987 MFZ851985:MFZ851987 MPV851985:MPV851987 MZR851985:MZR851987 NJN851985:NJN851987 NTJ851985:NTJ851987 ODF851985:ODF851987 ONB851985:ONB851987 OWX851985:OWX851987 PGT851985:PGT851987 PQP851985:PQP851987 QAL851985:QAL851987 QKH851985:QKH851987 QUD851985:QUD851987 RDZ851985:RDZ851987 RNV851985:RNV851987 RXR851985:RXR851987 SHN851985:SHN851987 SRJ851985:SRJ851987 TBF851985:TBF851987 TLB851985:TLB851987 TUX851985:TUX851987 UET851985:UET851987 UOP851985:UOP851987 UYL851985:UYL851987 VIH851985:VIH851987 VSD851985:VSD851987 WBZ851985:WBZ851987 WLV851985:WLV851987 WVR851985:WVR851987 J917521:J917523 JF917521:JF917523 TB917521:TB917523 ACX917521:ACX917523 AMT917521:AMT917523 AWP917521:AWP917523 BGL917521:BGL917523 BQH917521:BQH917523 CAD917521:CAD917523 CJZ917521:CJZ917523 CTV917521:CTV917523 DDR917521:DDR917523 DNN917521:DNN917523 DXJ917521:DXJ917523 EHF917521:EHF917523 ERB917521:ERB917523 FAX917521:FAX917523 FKT917521:FKT917523 FUP917521:FUP917523 GEL917521:GEL917523 GOH917521:GOH917523 GYD917521:GYD917523 HHZ917521:HHZ917523 HRV917521:HRV917523 IBR917521:IBR917523 ILN917521:ILN917523 IVJ917521:IVJ917523 JFF917521:JFF917523 JPB917521:JPB917523 JYX917521:JYX917523 KIT917521:KIT917523 KSP917521:KSP917523 LCL917521:LCL917523 LMH917521:LMH917523 LWD917521:LWD917523 MFZ917521:MFZ917523 MPV917521:MPV917523 MZR917521:MZR917523 NJN917521:NJN917523 NTJ917521:NTJ917523 ODF917521:ODF917523 ONB917521:ONB917523 OWX917521:OWX917523 PGT917521:PGT917523 PQP917521:PQP917523 QAL917521:QAL917523 QKH917521:QKH917523 QUD917521:QUD917523 RDZ917521:RDZ917523 RNV917521:RNV917523 RXR917521:RXR917523 SHN917521:SHN917523 SRJ917521:SRJ917523 TBF917521:TBF917523 TLB917521:TLB917523 TUX917521:TUX917523 UET917521:UET917523 UOP917521:UOP917523 UYL917521:UYL917523 VIH917521:VIH917523 VSD917521:VSD917523 WBZ917521:WBZ917523 WLV917521:WLV917523 WVR917521:WVR917523 J983057:J983059 JF983057:JF983059 TB983057:TB983059 ACX983057:ACX983059 AMT983057:AMT983059 AWP983057:AWP983059 BGL983057:BGL983059 BQH983057:BQH983059 CAD983057:CAD983059 CJZ983057:CJZ983059 CTV983057:CTV983059 DDR983057:DDR983059 DNN983057:DNN983059 DXJ983057:DXJ983059 EHF983057:EHF983059 ERB983057:ERB983059 FAX983057:FAX983059 FKT983057:FKT983059 FUP983057:FUP983059 GEL983057:GEL983059 GOH983057:GOH983059 GYD983057:GYD983059 HHZ983057:HHZ983059 HRV983057:HRV983059 IBR983057:IBR983059 ILN983057:ILN983059 IVJ983057:IVJ983059 JFF983057:JFF983059 JPB983057:JPB983059 JYX983057:JYX983059 KIT983057:KIT983059 KSP983057:KSP983059 LCL983057:LCL983059 LMH983057:LMH983059 LWD983057:LWD983059 MFZ983057:MFZ983059 MPV983057:MPV983059 MZR983057:MZR983059 NJN983057:NJN983059 NTJ983057:NTJ983059 ODF983057:ODF983059 ONB983057:ONB983059 OWX983057:OWX983059 PGT983057:PGT983059 PQP983057:PQP983059 QAL983057:QAL983059 QKH983057:QKH983059 QUD983057:QUD983059 RDZ983057:RDZ983059 RNV983057:RNV983059 RXR983057:RXR983059 SHN983057:SHN983059 SRJ983057:SRJ983059 TBF983057:TBF983059 TLB983057:TLB983059 TUX983057:TUX983059 UET983057:UET983059 UOP983057:UOP983059 UYL983057:UYL983059 VIH983057:VIH983059 VSD983057:VSD983059 WBZ983057:WBZ983059 WLV983057:WLV983059 WVR983057:WVR983059">
      <formula1>$A$64:$A$69</formula1>
    </dataValidation>
  </dataValidations>
  <pageMargins left="0.78740157480314965" right="0.75" top="1.3779527559055118" bottom="1" header="0" footer="0"/>
  <pageSetup paperSize="9" orientation="portrait" horizontalDpi="300" verticalDpi="300" r:id="rId1"/>
  <headerFooter alignWithMargins="0"/>
  <ignoredErrors>
    <ignoredError sqref="U3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Ingreso Datos</vt:lpstr>
      <vt:lpstr>9</vt:lpstr>
      <vt:lpstr>'9'!Área_de_impresión</vt:lpstr>
    </vt:vector>
  </TitlesOfParts>
  <Company>Universidad De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POBLETE OLAVE</dc:creator>
  <cp:lastModifiedBy>Francisco Gonzalez</cp:lastModifiedBy>
  <cp:lastPrinted>2009-11-19T16:40:44Z</cp:lastPrinted>
  <dcterms:created xsi:type="dcterms:W3CDTF">1999-10-13T14:07:43Z</dcterms:created>
  <dcterms:modified xsi:type="dcterms:W3CDTF">2024-05-30T22:20:19Z</dcterms:modified>
</cp:coreProperties>
</file>