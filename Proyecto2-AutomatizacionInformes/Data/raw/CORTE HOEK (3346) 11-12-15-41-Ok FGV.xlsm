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1BH-L12-L10-3+780-D (3346)\04 ENSAYOS\"/>
    </mc:Choice>
  </mc:AlternateContent>
  <bookViews>
    <workbookView xWindow="0" yWindow="0" windowWidth="20490" windowHeight="7650" tabRatio="858" activeTab="1"/>
  </bookViews>
  <sheets>
    <sheet name="Ingreso Datos" sheetId="206" r:id="rId1"/>
    <sheet name="11" sheetId="208" r:id="rId2"/>
    <sheet name="12" sheetId="216" r:id="rId3"/>
    <sheet name="15" sheetId="217" r:id="rId4"/>
    <sheet name="41" sheetId="223" r:id="rId5"/>
  </sheets>
  <externalReferences>
    <externalReference r:id="rId6"/>
  </externalReferences>
  <definedNames>
    <definedName name="__123Graph_A" hidden="1">'[1]Ensaye Carga Puntual'!#REF!</definedName>
    <definedName name="__123Graph_C" hidden="1">'[1]Ensaye Carga Puntual'!#REF!</definedName>
    <definedName name="__123Graph_D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hidden="1">'[1]Ensaye Carga Puntual'!#REF!</definedName>
    <definedName name="_Regression_X" hidden="1">'[1]Ensaye Carga Puntual'!#REF!</definedName>
    <definedName name="_Regression_Y" hidden="1">'[1]Ensaye Carga Puntual'!#REF!</definedName>
    <definedName name="_Sort" hidden="1">'[1]Ensaye Carga Puntual'!#REF!</definedName>
    <definedName name="_xlnm.Print_Area" localSheetId="1">'11'!$M$3:$V$31</definedName>
    <definedName name="_xlnm.Print_Area" localSheetId="2">'12'!$M$3:$V$31</definedName>
    <definedName name="_xlnm.Print_Area" localSheetId="3">'15'!$M$3:$V$31</definedName>
    <definedName name="_xlnm.Print_Area" localSheetId="4">'41'!$M$3:$V$31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3" i="223" l="1"/>
  <c r="G83" i="223"/>
  <c r="L83" i="223" s="1"/>
  <c r="F83" i="223"/>
  <c r="J83" i="223" s="1"/>
  <c r="I82" i="223"/>
  <c r="G82" i="223"/>
  <c r="L82" i="223" s="1"/>
  <c r="F82" i="223"/>
  <c r="J82" i="223" s="1"/>
  <c r="L81" i="223"/>
  <c r="I81" i="223"/>
  <c r="G81" i="223"/>
  <c r="F81" i="223"/>
  <c r="J81" i="223" s="1"/>
  <c r="I80" i="223"/>
  <c r="G80" i="223"/>
  <c r="L80" i="223" s="1"/>
  <c r="F80" i="223"/>
  <c r="J80" i="223" s="1"/>
  <c r="I79" i="223"/>
  <c r="G79" i="223"/>
  <c r="L79" i="223" s="1"/>
  <c r="F79" i="223"/>
  <c r="J79" i="223" s="1"/>
  <c r="I78" i="223"/>
  <c r="G78" i="223"/>
  <c r="L78" i="223" s="1"/>
  <c r="F78" i="223"/>
  <c r="J78" i="223" s="1"/>
  <c r="I77" i="223"/>
  <c r="G77" i="223"/>
  <c r="L77" i="223" s="1"/>
  <c r="F77" i="223"/>
  <c r="J77" i="223" s="1"/>
  <c r="I76" i="223"/>
  <c r="G76" i="223"/>
  <c r="L76" i="223" s="1"/>
  <c r="F76" i="223"/>
  <c r="J76" i="223" s="1"/>
  <c r="I75" i="223"/>
  <c r="G75" i="223"/>
  <c r="L75" i="223" s="1"/>
  <c r="F75" i="223"/>
  <c r="J75" i="223" s="1"/>
  <c r="I74" i="223"/>
  <c r="G74" i="223"/>
  <c r="L74" i="223" s="1"/>
  <c r="F74" i="223"/>
  <c r="J74" i="223" s="1"/>
  <c r="I73" i="223"/>
  <c r="G73" i="223"/>
  <c r="L73" i="223" s="1"/>
  <c r="F73" i="223"/>
  <c r="J73" i="223" s="1"/>
  <c r="I72" i="223"/>
  <c r="G72" i="223"/>
  <c r="L72" i="223" s="1"/>
  <c r="F72" i="223"/>
  <c r="J72" i="223" s="1"/>
  <c r="I71" i="223"/>
  <c r="G71" i="223"/>
  <c r="L71" i="223" s="1"/>
  <c r="F71" i="223"/>
  <c r="J71" i="223" s="1"/>
  <c r="I70" i="223"/>
  <c r="G70" i="223"/>
  <c r="L70" i="223" s="1"/>
  <c r="F70" i="223"/>
  <c r="J70" i="223" s="1"/>
  <c r="I69" i="223"/>
  <c r="G69" i="223"/>
  <c r="L69" i="223" s="1"/>
  <c r="F69" i="223"/>
  <c r="J69" i="223" s="1"/>
  <c r="I68" i="223"/>
  <c r="G68" i="223"/>
  <c r="L68" i="223" s="1"/>
  <c r="F68" i="223"/>
  <c r="J68" i="223" s="1"/>
  <c r="I67" i="223"/>
  <c r="G67" i="223"/>
  <c r="L67" i="223" s="1"/>
  <c r="F67" i="223"/>
  <c r="J67" i="223" s="1"/>
  <c r="J66" i="223"/>
  <c r="I66" i="223"/>
  <c r="G66" i="223"/>
  <c r="L66" i="223" s="1"/>
  <c r="F66" i="223"/>
  <c r="I65" i="223"/>
  <c r="G65" i="223"/>
  <c r="L65" i="223" s="1"/>
  <c r="F65" i="223"/>
  <c r="J65" i="223" s="1"/>
  <c r="I64" i="223"/>
  <c r="G64" i="223"/>
  <c r="L64" i="223" s="1"/>
  <c r="F64" i="223"/>
  <c r="J64" i="223" s="1"/>
  <c r="I63" i="223"/>
  <c r="G63" i="223"/>
  <c r="L63" i="223" s="1"/>
  <c r="F63" i="223"/>
  <c r="J63" i="223" s="1"/>
  <c r="I62" i="223"/>
  <c r="G62" i="223"/>
  <c r="L62" i="223" s="1"/>
  <c r="F62" i="223"/>
  <c r="J62" i="223" s="1"/>
  <c r="I61" i="223"/>
  <c r="G61" i="223"/>
  <c r="L61" i="223" s="1"/>
  <c r="F61" i="223"/>
  <c r="J61" i="223" s="1"/>
  <c r="I60" i="223"/>
  <c r="G60" i="223"/>
  <c r="L60" i="223" s="1"/>
  <c r="F60" i="223"/>
  <c r="J60" i="223" s="1"/>
  <c r="I59" i="223"/>
  <c r="G59" i="223"/>
  <c r="L59" i="223" s="1"/>
  <c r="F59" i="223"/>
  <c r="J59" i="223" s="1"/>
  <c r="L58" i="223"/>
  <c r="I58" i="223"/>
  <c r="G58" i="223"/>
  <c r="F58" i="223"/>
  <c r="J58" i="223" s="1"/>
  <c r="I57" i="223"/>
  <c r="G57" i="223"/>
  <c r="L57" i="223" s="1"/>
  <c r="F57" i="223"/>
  <c r="J57" i="223" s="1"/>
  <c r="I56" i="223"/>
  <c r="G56" i="223"/>
  <c r="L56" i="223" s="1"/>
  <c r="F56" i="223"/>
  <c r="J56" i="223" s="1"/>
  <c r="I55" i="223"/>
  <c r="G55" i="223"/>
  <c r="L55" i="223" s="1"/>
  <c r="F55" i="223"/>
  <c r="J55" i="223" s="1"/>
  <c r="J54" i="223"/>
  <c r="I54" i="223"/>
  <c r="G54" i="223"/>
  <c r="L54" i="223" s="1"/>
  <c r="F54" i="223"/>
  <c r="I53" i="223"/>
  <c r="G53" i="223"/>
  <c r="L53" i="223" s="1"/>
  <c r="F53" i="223"/>
  <c r="J53" i="223" s="1"/>
  <c r="I52" i="223"/>
  <c r="G52" i="223"/>
  <c r="L52" i="223" s="1"/>
  <c r="F52" i="223"/>
  <c r="J52" i="223" s="1"/>
  <c r="I51" i="223"/>
  <c r="G51" i="223"/>
  <c r="L51" i="223" s="1"/>
  <c r="F51" i="223"/>
  <c r="J51" i="223" s="1"/>
  <c r="I50" i="223"/>
  <c r="G50" i="223"/>
  <c r="L50" i="223" s="1"/>
  <c r="F50" i="223"/>
  <c r="J50" i="223" s="1"/>
  <c r="I49" i="223"/>
  <c r="G49" i="223"/>
  <c r="L49" i="223" s="1"/>
  <c r="F49" i="223"/>
  <c r="J49" i="223" s="1"/>
  <c r="I48" i="223"/>
  <c r="G48" i="223"/>
  <c r="L48" i="223" s="1"/>
  <c r="F48" i="223"/>
  <c r="J48" i="223" s="1"/>
  <c r="I47" i="223"/>
  <c r="G47" i="223"/>
  <c r="L47" i="223" s="1"/>
  <c r="F47" i="223"/>
  <c r="J47" i="223" s="1"/>
  <c r="I46" i="223"/>
  <c r="G46" i="223"/>
  <c r="L46" i="223" s="1"/>
  <c r="F46" i="223"/>
  <c r="J46" i="223" s="1"/>
  <c r="I45" i="223"/>
  <c r="G45" i="223"/>
  <c r="L45" i="223" s="1"/>
  <c r="F45" i="223"/>
  <c r="J45" i="223" s="1"/>
  <c r="I44" i="223"/>
  <c r="G44" i="223"/>
  <c r="L44" i="223" s="1"/>
  <c r="F44" i="223"/>
  <c r="J44" i="223" s="1"/>
  <c r="I43" i="223"/>
  <c r="G43" i="223"/>
  <c r="L43" i="223" s="1"/>
  <c r="F43" i="223"/>
  <c r="J43" i="223" s="1"/>
  <c r="I42" i="223"/>
  <c r="G42" i="223"/>
  <c r="L42" i="223" s="1"/>
  <c r="F42" i="223"/>
  <c r="J42" i="223" s="1"/>
  <c r="I41" i="223"/>
  <c r="G41" i="223"/>
  <c r="L41" i="223" s="1"/>
  <c r="F41" i="223"/>
  <c r="J41" i="223" s="1"/>
  <c r="I40" i="223"/>
  <c r="G40" i="223"/>
  <c r="L40" i="223" s="1"/>
  <c r="F40" i="223"/>
  <c r="J40" i="223" s="1"/>
  <c r="I39" i="223"/>
  <c r="G39" i="223"/>
  <c r="L39" i="223" s="1"/>
  <c r="F39" i="223"/>
  <c r="J39" i="223" s="1"/>
  <c r="I38" i="223"/>
  <c r="G38" i="223"/>
  <c r="L38" i="223" s="1"/>
  <c r="F38" i="223"/>
  <c r="J38" i="223" s="1"/>
  <c r="I37" i="223"/>
  <c r="G37" i="223"/>
  <c r="L37" i="223" s="1"/>
  <c r="F37" i="223"/>
  <c r="J37" i="223" s="1"/>
  <c r="L36" i="223"/>
  <c r="I36" i="223"/>
  <c r="G36" i="223"/>
  <c r="F36" i="223"/>
  <c r="J36" i="223" s="1"/>
  <c r="I35" i="223"/>
  <c r="G35" i="223"/>
  <c r="L35" i="223" s="1"/>
  <c r="F35" i="223"/>
  <c r="J35" i="223" s="1"/>
  <c r="I34" i="223"/>
  <c r="G34" i="223"/>
  <c r="L34" i="223" s="1"/>
  <c r="F34" i="223"/>
  <c r="J34" i="223" s="1"/>
  <c r="I33" i="223"/>
  <c r="G33" i="223"/>
  <c r="L33" i="223" s="1"/>
  <c r="F33" i="223"/>
  <c r="J33" i="223" s="1"/>
  <c r="I32" i="223"/>
  <c r="G32" i="223"/>
  <c r="L32" i="223" s="1"/>
  <c r="F32" i="223"/>
  <c r="J32" i="223" s="1"/>
  <c r="I31" i="223"/>
  <c r="G31" i="223"/>
  <c r="L31" i="223" s="1"/>
  <c r="F31" i="223"/>
  <c r="J31" i="223" s="1"/>
  <c r="I30" i="223"/>
  <c r="G30" i="223"/>
  <c r="L30" i="223" s="1"/>
  <c r="F30" i="223"/>
  <c r="J30" i="223" s="1"/>
  <c r="I29" i="223"/>
  <c r="G29" i="223"/>
  <c r="L29" i="223" s="1"/>
  <c r="F29" i="223"/>
  <c r="J29" i="223" s="1"/>
  <c r="I28" i="223"/>
  <c r="G28" i="223"/>
  <c r="L28" i="223" s="1"/>
  <c r="F28" i="223"/>
  <c r="J28" i="223" s="1"/>
  <c r="I27" i="223"/>
  <c r="G27" i="223"/>
  <c r="L27" i="223" s="1"/>
  <c r="F27" i="223"/>
  <c r="J27" i="223" s="1"/>
  <c r="I26" i="223"/>
  <c r="G26" i="223"/>
  <c r="L26" i="223" s="1"/>
  <c r="F26" i="223"/>
  <c r="J26" i="223" s="1"/>
  <c r="G20" i="223"/>
  <c r="G18" i="223"/>
  <c r="G19" i="223" s="1"/>
  <c r="G15" i="223"/>
  <c r="F12" i="223"/>
  <c r="F11" i="223"/>
  <c r="F10" i="223"/>
  <c r="F9" i="223"/>
  <c r="F7" i="223"/>
  <c r="F6" i="223"/>
  <c r="AK5" i="223"/>
  <c r="F5" i="223"/>
  <c r="B5" i="223"/>
  <c r="F4" i="223"/>
  <c r="N1" i="223"/>
  <c r="I249" i="217"/>
  <c r="G249" i="217"/>
  <c r="L249" i="217" s="1"/>
  <c r="F249" i="217"/>
  <c r="J249" i="217" s="1"/>
  <c r="I248" i="217"/>
  <c r="G248" i="217"/>
  <c r="L248" i="217" s="1"/>
  <c r="F248" i="217"/>
  <c r="J248" i="217" s="1"/>
  <c r="I247" i="217"/>
  <c r="G247" i="217"/>
  <c r="L247" i="217" s="1"/>
  <c r="F247" i="217"/>
  <c r="J247" i="217" s="1"/>
  <c r="I246" i="217"/>
  <c r="G246" i="217"/>
  <c r="L246" i="217" s="1"/>
  <c r="F246" i="217"/>
  <c r="J246" i="217" s="1"/>
  <c r="I245" i="217"/>
  <c r="G245" i="217"/>
  <c r="L245" i="217" s="1"/>
  <c r="F245" i="217"/>
  <c r="J245" i="217" s="1"/>
  <c r="I244" i="217"/>
  <c r="G244" i="217"/>
  <c r="L244" i="217" s="1"/>
  <c r="F244" i="217"/>
  <c r="J244" i="217" s="1"/>
  <c r="I243" i="217"/>
  <c r="G243" i="217"/>
  <c r="L243" i="217" s="1"/>
  <c r="F243" i="217"/>
  <c r="J243" i="217" s="1"/>
  <c r="I242" i="217"/>
  <c r="G242" i="217"/>
  <c r="L242" i="217" s="1"/>
  <c r="F242" i="217"/>
  <c r="J242" i="217" s="1"/>
  <c r="I241" i="217"/>
  <c r="G241" i="217"/>
  <c r="L241" i="217" s="1"/>
  <c r="F241" i="217"/>
  <c r="J241" i="217" s="1"/>
  <c r="I240" i="217"/>
  <c r="G240" i="217"/>
  <c r="L240" i="217" s="1"/>
  <c r="F240" i="217"/>
  <c r="J240" i="217" s="1"/>
  <c r="J239" i="217"/>
  <c r="I239" i="217"/>
  <c r="G239" i="217"/>
  <c r="L239" i="217" s="1"/>
  <c r="F239" i="217"/>
  <c r="I238" i="217"/>
  <c r="G238" i="217"/>
  <c r="L238" i="217" s="1"/>
  <c r="F238" i="217"/>
  <c r="J238" i="217" s="1"/>
  <c r="I237" i="217"/>
  <c r="G237" i="217"/>
  <c r="L237" i="217" s="1"/>
  <c r="F237" i="217"/>
  <c r="J237" i="217" s="1"/>
  <c r="I236" i="217"/>
  <c r="G236" i="217"/>
  <c r="L236" i="217" s="1"/>
  <c r="F236" i="217"/>
  <c r="J236" i="217" s="1"/>
  <c r="I235" i="217"/>
  <c r="G235" i="217"/>
  <c r="L235" i="217" s="1"/>
  <c r="F235" i="217"/>
  <c r="J235" i="217" s="1"/>
  <c r="I234" i="217"/>
  <c r="G234" i="217"/>
  <c r="L234" i="217" s="1"/>
  <c r="F234" i="217"/>
  <c r="J234" i="217" s="1"/>
  <c r="I233" i="217"/>
  <c r="G233" i="217"/>
  <c r="L233" i="217" s="1"/>
  <c r="F233" i="217"/>
  <c r="J233" i="217" s="1"/>
  <c r="I232" i="217"/>
  <c r="G232" i="217"/>
  <c r="L232" i="217" s="1"/>
  <c r="F232" i="217"/>
  <c r="J232" i="217" s="1"/>
  <c r="I231" i="217"/>
  <c r="G231" i="217"/>
  <c r="L231" i="217" s="1"/>
  <c r="F231" i="217"/>
  <c r="J231" i="217" s="1"/>
  <c r="I230" i="217"/>
  <c r="G230" i="217"/>
  <c r="L230" i="217" s="1"/>
  <c r="F230" i="217"/>
  <c r="J230" i="217" s="1"/>
  <c r="I229" i="217"/>
  <c r="G229" i="217"/>
  <c r="L229" i="217" s="1"/>
  <c r="F229" i="217"/>
  <c r="J229" i="217" s="1"/>
  <c r="I228" i="217"/>
  <c r="G228" i="217"/>
  <c r="L228" i="217" s="1"/>
  <c r="F228" i="217"/>
  <c r="J228" i="217" s="1"/>
  <c r="J227" i="217"/>
  <c r="I227" i="217"/>
  <c r="G227" i="217"/>
  <c r="L227" i="217" s="1"/>
  <c r="F227" i="217"/>
  <c r="I226" i="217"/>
  <c r="G226" i="217"/>
  <c r="L226" i="217" s="1"/>
  <c r="F226" i="217"/>
  <c r="J226" i="217" s="1"/>
  <c r="I225" i="217"/>
  <c r="G225" i="217"/>
  <c r="L225" i="217" s="1"/>
  <c r="F225" i="217"/>
  <c r="J225" i="217" s="1"/>
  <c r="I224" i="217"/>
  <c r="G224" i="217"/>
  <c r="L224" i="217" s="1"/>
  <c r="F224" i="217"/>
  <c r="J224" i="217" s="1"/>
  <c r="I223" i="217"/>
  <c r="G223" i="217"/>
  <c r="L223" i="217" s="1"/>
  <c r="F223" i="217"/>
  <c r="J223" i="217" s="1"/>
  <c r="I222" i="217"/>
  <c r="G222" i="217"/>
  <c r="L222" i="217" s="1"/>
  <c r="F222" i="217"/>
  <c r="J222" i="217" s="1"/>
  <c r="I221" i="217"/>
  <c r="G221" i="217"/>
  <c r="L221" i="217" s="1"/>
  <c r="F221" i="217"/>
  <c r="J221" i="217" s="1"/>
  <c r="I220" i="217"/>
  <c r="G220" i="217"/>
  <c r="L220" i="217" s="1"/>
  <c r="F220" i="217"/>
  <c r="J220" i="217" s="1"/>
  <c r="I219" i="217"/>
  <c r="G219" i="217"/>
  <c r="L219" i="217" s="1"/>
  <c r="F219" i="217"/>
  <c r="J219" i="217" s="1"/>
  <c r="I218" i="217"/>
  <c r="G218" i="217"/>
  <c r="L218" i="217" s="1"/>
  <c r="F218" i="217"/>
  <c r="J218" i="217" s="1"/>
  <c r="I217" i="217"/>
  <c r="G217" i="217"/>
  <c r="L217" i="217" s="1"/>
  <c r="F217" i="217"/>
  <c r="J217" i="217" s="1"/>
  <c r="I216" i="217"/>
  <c r="G216" i="217"/>
  <c r="L216" i="217" s="1"/>
  <c r="F216" i="217"/>
  <c r="J216" i="217" s="1"/>
  <c r="I215" i="217"/>
  <c r="G215" i="217"/>
  <c r="L215" i="217" s="1"/>
  <c r="F215" i="217"/>
  <c r="J215" i="217" s="1"/>
  <c r="I214" i="217"/>
  <c r="G214" i="217"/>
  <c r="L214" i="217" s="1"/>
  <c r="F214" i="217"/>
  <c r="J214" i="217" s="1"/>
  <c r="I213" i="217"/>
  <c r="G213" i="217"/>
  <c r="L213" i="217" s="1"/>
  <c r="F213" i="217"/>
  <c r="J213" i="217" s="1"/>
  <c r="I212" i="217"/>
  <c r="G212" i="217"/>
  <c r="L212" i="217" s="1"/>
  <c r="F212" i="217"/>
  <c r="J212" i="217" s="1"/>
  <c r="I211" i="217"/>
  <c r="G211" i="217"/>
  <c r="L211" i="217" s="1"/>
  <c r="F211" i="217"/>
  <c r="J211" i="217" s="1"/>
  <c r="I210" i="217"/>
  <c r="G210" i="217"/>
  <c r="L210" i="217" s="1"/>
  <c r="F210" i="217"/>
  <c r="J210" i="217" s="1"/>
  <c r="I209" i="217"/>
  <c r="G209" i="217"/>
  <c r="L209" i="217" s="1"/>
  <c r="F209" i="217"/>
  <c r="J209" i="217" s="1"/>
  <c r="I208" i="217"/>
  <c r="G208" i="217"/>
  <c r="L208" i="217" s="1"/>
  <c r="F208" i="217"/>
  <c r="J208" i="217" s="1"/>
  <c r="I207" i="217"/>
  <c r="G207" i="217"/>
  <c r="L207" i="217" s="1"/>
  <c r="F207" i="217"/>
  <c r="J207" i="217" s="1"/>
  <c r="I206" i="217"/>
  <c r="G206" i="217"/>
  <c r="L206" i="217" s="1"/>
  <c r="F206" i="217"/>
  <c r="J206" i="217" s="1"/>
  <c r="I205" i="217"/>
  <c r="G205" i="217"/>
  <c r="L205" i="217" s="1"/>
  <c r="F205" i="217"/>
  <c r="J205" i="217" s="1"/>
  <c r="I204" i="217"/>
  <c r="G204" i="217"/>
  <c r="L204" i="217" s="1"/>
  <c r="F204" i="217"/>
  <c r="J204" i="217" s="1"/>
  <c r="I203" i="217"/>
  <c r="G203" i="217"/>
  <c r="L203" i="217" s="1"/>
  <c r="F203" i="217"/>
  <c r="J203" i="217" s="1"/>
  <c r="I202" i="217"/>
  <c r="G202" i="217"/>
  <c r="L202" i="217" s="1"/>
  <c r="F202" i="217"/>
  <c r="J202" i="217" s="1"/>
  <c r="I201" i="217"/>
  <c r="G201" i="217"/>
  <c r="L201" i="217" s="1"/>
  <c r="F201" i="217"/>
  <c r="J201" i="217" s="1"/>
  <c r="I200" i="217"/>
  <c r="G200" i="217"/>
  <c r="L200" i="217" s="1"/>
  <c r="F200" i="217"/>
  <c r="J200" i="217" s="1"/>
  <c r="I199" i="217"/>
  <c r="G199" i="217"/>
  <c r="L199" i="217" s="1"/>
  <c r="F199" i="217"/>
  <c r="J199" i="217" s="1"/>
  <c r="I198" i="217"/>
  <c r="G198" i="217"/>
  <c r="L198" i="217" s="1"/>
  <c r="F198" i="217"/>
  <c r="J198" i="217" s="1"/>
  <c r="I197" i="217"/>
  <c r="G197" i="217"/>
  <c r="L197" i="217" s="1"/>
  <c r="F197" i="217"/>
  <c r="J197" i="217" s="1"/>
  <c r="I196" i="217"/>
  <c r="G196" i="217"/>
  <c r="L196" i="217" s="1"/>
  <c r="F196" i="217"/>
  <c r="J196" i="217" s="1"/>
  <c r="I195" i="217"/>
  <c r="G195" i="217"/>
  <c r="L195" i="217" s="1"/>
  <c r="F195" i="217"/>
  <c r="J195" i="217" s="1"/>
  <c r="I194" i="217"/>
  <c r="G194" i="217"/>
  <c r="L194" i="217" s="1"/>
  <c r="F194" i="217"/>
  <c r="J194" i="217" s="1"/>
  <c r="I193" i="217"/>
  <c r="G193" i="217"/>
  <c r="L193" i="217" s="1"/>
  <c r="F193" i="217"/>
  <c r="J193" i="217" s="1"/>
  <c r="I192" i="217"/>
  <c r="G192" i="217"/>
  <c r="L192" i="217" s="1"/>
  <c r="F192" i="217"/>
  <c r="J192" i="217" s="1"/>
  <c r="G186" i="217"/>
  <c r="G185" i="217"/>
  <c r="G184" i="217"/>
  <c r="G181" i="217"/>
  <c r="I165" i="217"/>
  <c r="G165" i="217"/>
  <c r="L165" i="217" s="1"/>
  <c r="F165" i="217"/>
  <c r="J165" i="217" s="1"/>
  <c r="I164" i="217"/>
  <c r="G164" i="217"/>
  <c r="L164" i="217" s="1"/>
  <c r="F164" i="217"/>
  <c r="J164" i="217" s="1"/>
  <c r="I163" i="217"/>
  <c r="G163" i="217"/>
  <c r="L163" i="217" s="1"/>
  <c r="F163" i="217"/>
  <c r="J163" i="217" s="1"/>
  <c r="I162" i="217"/>
  <c r="G162" i="217"/>
  <c r="L162" i="217" s="1"/>
  <c r="F162" i="217"/>
  <c r="J162" i="217" s="1"/>
  <c r="I161" i="217"/>
  <c r="G161" i="217"/>
  <c r="L161" i="217" s="1"/>
  <c r="F161" i="217"/>
  <c r="J161" i="217" s="1"/>
  <c r="I160" i="217"/>
  <c r="G160" i="217"/>
  <c r="L160" i="217" s="1"/>
  <c r="F160" i="217"/>
  <c r="J160" i="217" s="1"/>
  <c r="L159" i="217"/>
  <c r="I159" i="217"/>
  <c r="G159" i="217"/>
  <c r="F159" i="217"/>
  <c r="J159" i="217" s="1"/>
  <c r="I158" i="217"/>
  <c r="G158" i="217"/>
  <c r="L158" i="217" s="1"/>
  <c r="F158" i="217"/>
  <c r="J158" i="217" s="1"/>
  <c r="J157" i="217"/>
  <c r="I157" i="217"/>
  <c r="G157" i="217"/>
  <c r="L157" i="217" s="1"/>
  <c r="F157" i="217"/>
  <c r="I156" i="217"/>
  <c r="G156" i="217"/>
  <c r="L156" i="217" s="1"/>
  <c r="F156" i="217"/>
  <c r="J156" i="217" s="1"/>
  <c r="I155" i="217"/>
  <c r="G155" i="217"/>
  <c r="L155" i="217" s="1"/>
  <c r="F155" i="217"/>
  <c r="J155" i="217" s="1"/>
  <c r="I154" i="217"/>
  <c r="G154" i="217"/>
  <c r="L154" i="217" s="1"/>
  <c r="F154" i="217"/>
  <c r="J154" i="217" s="1"/>
  <c r="I153" i="217"/>
  <c r="G153" i="217"/>
  <c r="L153" i="217" s="1"/>
  <c r="F153" i="217"/>
  <c r="J153" i="217" s="1"/>
  <c r="I152" i="217"/>
  <c r="G152" i="217"/>
  <c r="L152" i="217" s="1"/>
  <c r="F152" i="217"/>
  <c r="J152" i="217" s="1"/>
  <c r="I151" i="217"/>
  <c r="G151" i="217"/>
  <c r="L151" i="217" s="1"/>
  <c r="F151" i="217"/>
  <c r="J151" i="217" s="1"/>
  <c r="I150" i="217"/>
  <c r="G150" i="217"/>
  <c r="L150" i="217" s="1"/>
  <c r="F150" i="217"/>
  <c r="J150" i="217" s="1"/>
  <c r="I149" i="217"/>
  <c r="G149" i="217"/>
  <c r="L149" i="217" s="1"/>
  <c r="F149" i="217"/>
  <c r="J149" i="217" s="1"/>
  <c r="I148" i="217"/>
  <c r="G148" i="217"/>
  <c r="L148" i="217" s="1"/>
  <c r="F148" i="217"/>
  <c r="J148" i="217" s="1"/>
  <c r="I147" i="217"/>
  <c r="G147" i="217"/>
  <c r="L147" i="217" s="1"/>
  <c r="F147" i="217"/>
  <c r="J147" i="217" s="1"/>
  <c r="I146" i="217"/>
  <c r="G146" i="217"/>
  <c r="L146" i="217" s="1"/>
  <c r="F146" i="217"/>
  <c r="J146" i="217" s="1"/>
  <c r="I145" i="217"/>
  <c r="G145" i="217"/>
  <c r="L145" i="217" s="1"/>
  <c r="F145" i="217"/>
  <c r="J145" i="217" s="1"/>
  <c r="I144" i="217"/>
  <c r="G144" i="217"/>
  <c r="L144" i="217" s="1"/>
  <c r="F144" i="217"/>
  <c r="J144" i="217" s="1"/>
  <c r="I143" i="217"/>
  <c r="G143" i="217"/>
  <c r="L143" i="217" s="1"/>
  <c r="F143" i="217"/>
  <c r="J143" i="217" s="1"/>
  <c r="I142" i="217"/>
  <c r="G142" i="217"/>
  <c r="L142" i="217" s="1"/>
  <c r="F142" i="217"/>
  <c r="J142" i="217" s="1"/>
  <c r="I141" i="217"/>
  <c r="G141" i="217"/>
  <c r="L141" i="217" s="1"/>
  <c r="F141" i="217"/>
  <c r="J141" i="217" s="1"/>
  <c r="I140" i="217"/>
  <c r="G140" i="217"/>
  <c r="L140" i="217" s="1"/>
  <c r="F140" i="217"/>
  <c r="J140" i="217" s="1"/>
  <c r="I139" i="217"/>
  <c r="G139" i="217"/>
  <c r="L139" i="217" s="1"/>
  <c r="F139" i="217"/>
  <c r="J139" i="217" s="1"/>
  <c r="I138" i="217"/>
  <c r="G138" i="217"/>
  <c r="L138" i="217" s="1"/>
  <c r="F138" i="217"/>
  <c r="J138" i="217" s="1"/>
  <c r="I137" i="217"/>
  <c r="G137" i="217"/>
  <c r="L137" i="217" s="1"/>
  <c r="F137" i="217"/>
  <c r="J137" i="217" s="1"/>
  <c r="I136" i="217"/>
  <c r="G136" i="217"/>
  <c r="L136" i="217" s="1"/>
  <c r="F136" i="217"/>
  <c r="J136" i="217" s="1"/>
  <c r="I135" i="217"/>
  <c r="G135" i="217"/>
  <c r="L135" i="217" s="1"/>
  <c r="F135" i="217"/>
  <c r="J135" i="217" s="1"/>
  <c r="I134" i="217"/>
  <c r="G134" i="217"/>
  <c r="L134" i="217" s="1"/>
  <c r="F134" i="217"/>
  <c r="J134" i="217" s="1"/>
  <c r="I133" i="217"/>
  <c r="G133" i="217"/>
  <c r="L133" i="217" s="1"/>
  <c r="F133" i="217"/>
  <c r="J133" i="217" s="1"/>
  <c r="K133" i="217" s="1"/>
  <c r="I132" i="217"/>
  <c r="G132" i="217"/>
  <c r="L132" i="217" s="1"/>
  <c r="F132" i="217"/>
  <c r="J132" i="217" s="1"/>
  <c r="I131" i="217"/>
  <c r="G131" i="217"/>
  <c r="L131" i="217" s="1"/>
  <c r="F131" i="217"/>
  <c r="J131" i="217" s="1"/>
  <c r="I130" i="217"/>
  <c r="G130" i="217"/>
  <c r="L130" i="217" s="1"/>
  <c r="F130" i="217"/>
  <c r="J130" i="217" s="1"/>
  <c r="I129" i="217"/>
  <c r="G129" i="217"/>
  <c r="L129" i="217" s="1"/>
  <c r="F129" i="217"/>
  <c r="J129" i="217" s="1"/>
  <c r="I128" i="217"/>
  <c r="G128" i="217"/>
  <c r="L128" i="217" s="1"/>
  <c r="F128" i="217"/>
  <c r="J128" i="217" s="1"/>
  <c r="I127" i="217"/>
  <c r="G127" i="217"/>
  <c r="L127" i="217" s="1"/>
  <c r="F127" i="217"/>
  <c r="J127" i="217" s="1"/>
  <c r="I126" i="217"/>
  <c r="G126" i="217"/>
  <c r="L126" i="217" s="1"/>
  <c r="F126" i="217"/>
  <c r="J126" i="217" s="1"/>
  <c r="I125" i="217"/>
  <c r="G125" i="217"/>
  <c r="L125" i="217" s="1"/>
  <c r="F125" i="217"/>
  <c r="J125" i="217" s="1"/>
  <c r="I124" i="217"/>
  <c r="G124" i="217"/>
  <c r="L124" i="217" s="1"/>
  <c r="F124" i="217"/>
  <c r="J124" i="217" s="1"/>
  <c r="I123" i="217"/>
  <c r="G123" i="217"/>
  <c r="L123" i="217" s="1"/>
  <c r="F123" i="217"/>
  <c r="J123" i="217" s="1"/>
  <c r="I122" i="217"/>
  <c r="G122" i="217"/>
  <c r="L122" i="217" s="1"/>
  <c r="F122" i="217"/>
  <c r="J122" i="217" s="1"/>
  <c r="I121" i="217"/>
  <c r="G121" i="217"/>
  <c r="L121" i="217" s="1"/>
  <c r="F121" i="217"/>
  <c r="J121" i="217" s="1"/>
  <c r="I120" i="217"/>
  <c r="G120" i="217"/>
  <c r="L120" i="217" s="1"/>
  <c r="F120" i="217"/>
  <c r="J120" i="217" s="1"/>
  <c r="I119" i="217"/>
  <c r="G119" i="217"/>
  <c r="L119" i="217" s="1"/>
  <c r="F119" i="217"/>
  <c r="J119" i="217" s="1"/>
  <c r="I118" i="217"/>
  <c r="G118" i="217"/>
  <c r="L118" i="217" s="1"/>
  <c r="F118" i="217"/>
  <c r="J118" i="217" s="1"/>
  <c r="J117" i="217"/>
  <c r="I117" i="217"/>
  <c r="G117" i="217"/>
  <c r="L117" i="217" s="1"/>
  <c r="F117" i="217"/>
  <c r="I116" i="217"/>
  <c r="G116" i="217"/>
  <c r="L116" i="217" s="1"/>
  <c r="F116" i="217"/>
  <c r="J116" i="217" s="1"/>
  <c r="I115" i="217"/>
  <c r="G115" i="217"/>
  <c r="L115" i="217" s="1"/>
  <c r="F115" i="217"/>
  <c r="J115" i="217" s="1"/>
  <c r="K115" i="217" s="1"/>
  <c r="I114" i="217"/>
  <c r="G114" i="217"/>
  <c r="L114" i="217" s="1"/>
  <c r="F114" i="217"/>
  <c r="J114" i="217" s="1"/>
  <c r="I113" i="217"/>
  <c r="G113" i="217"/>
  <c r="L113" i="217" s="1"/>
  <c r="F113" i="217"/>
  <c r="J113" i="217" s="1"/>
  <c r="I112" i="217"/>
  <c r="G112" i="217"/>
  <c r="L112" i="217" s="1"/>
  <c r="F112" i="217"/>
  <c r="J112" i="217" s="1"/>
  <c r="L111" i="217"/>
  <c r="I111" i="217"/>
  <c r="G111" i="217"/>
  <c r="F111" i="217"/>
  <c r="J111" i="217" s="1"/>
  <c r="I110" i="217"/>
  <c r="G110" i="217"/>
  <c r="L110" i="217" s="1"/>
  <c r="F110" i="217"/>
  <c r="J110" i="217" s="1"/>
  <c r="I109" i="217"/>
  <c r="G109" i="217"/>
  <c r="L109" i="217" s="1"/>
  <c r="F109" i="217"/>
  <c r="J109" i="217" s="1"/>
  <c r="I108" i="217"/>
  <c r="G108" i="217"/>
  <c r="L108" i="217" s="1"/>
  <c r="F108" i="217"/>
  <c r="J108" i="217" s="1"/>
  <c r="G102" i="217"/>
  <c r="G100" i="217"/>
  <c r="G101" i="217" s="1"/>
  <c r="G97" i="217"/>
  <c r="E83" i="217"/>
  <c r="E167" i="217" s="1"/>
  <c r="I81" i="217"/>
  <c r="G81" i="217"/>
  <c r="L81" i="217" s="1"/>
  <c r="F81" i="217"/>
  <c r="J81" i="217" s="1"/>
  <c r="K81" i="217" s="1"/>
  <c r="I80" i="217"/>
  <c r="G80" i="217"/>
  <c r="L80" i="217" s="1"/>
  <c r="F80" i="217"/>
  <c r="J80" i="217" s="1"/>
  <c r="I79" i="217"/>
  <c r="G79" i="217"/>
  <c r="L79" i="217" s="1"/>
  <c r="F79" i="217"/>
  <c r="J79" i="217" s="1"/>
  <c r="I78" i="217"/>
  <c r="G78" i="217"/>
  <c r="L78" i="217" s="1"/>
  <c r="F78" i="217"/>
  <c r="J78" i="217" s="1"/>
  <c r="I77" i="217"/>
  <c r="G77" i="217"/>
  <c r="L77" i="217" s="1"/>
  <c r="F77" i="217"/>
  <c r="J77" i="217" s="1"/>
  <c r="I76" i="217"/>
  <c r="G76" i="217"/>
  <c r="L76" i="217" s="1"/>
  <c r="F76" i="217"/>
  <c r="J76" i="217" s="1"/>
  <c r="K76" i="217" s="1"/>
  <c r="I75" i="217"/>
  <c r="G75" i="217"/>
  <c r="L75" i="217" s="1"/>
  <c r="F75" i="217"/>
  <c r="J75" i="217" s="1"/>
  <c r="I74" i="217"/>
  <c r="G74" i="217"/>
  <c r="L74" i="217" s="1"/>
  <c r="F74" i="217"/>
  <c r="J74" i="217" s="1"/>
  <c r="I73" i="217"/>
  <c r="G73" i="217"/>
  <c r="L73" i="217" s="1"/>
  <c r="F73" i="217"/>
  <c r="J73" i="217" s="1"/>
  <c r="I72" i="217"/>
  <c r="G72" i="217"/>
  <c r="L72" i="217" s="1"/>
  <c r="F72" i="217"/>
  <c r="J72" i="217" s="1"/>
  <c r="I71" i="217"/>
  <c r="G71" i="217"/>
  <c r="L71" i="217" s="1"/>
  <c r="F71" i="217"/>
  <c r="J71" i="217" s="1"/>
  <c r="I70" i="217"/>
  <c r="G70" i="217"/>
  <c r="L70" i="217" s="1"/>
  <c r="F70" i="217"/>
  <c r="J70" i="217" s="1"/>
  <c r="I69" i="217"/>
  <c r="G69" i="217"/>
  <c r="L69" i="217" s="1"/>
  <c r="F69" i="217"/>
  <c r="J69" i="217" s="1"/>
  <c r="I68" i="217"/>
  <c r="G68" i="217"/>
  <c r="L68" i="217" s="1"/>
  <c r="F68" i="217"/>
  <c r="J68" i="217" s="1"/>
  <c r="I67" i="217"/>
  <c r="G67" i="217"/>
  <c r="L67" i="217" s="1"/>
  <c r="F67" i="217"/>
  <c r="J67" i="217" s="1"/>
  <c r="I66" i="217"/>
  <c r="G66" i="217"/>
  <c r="L66" i="217" s="1"/>
  <c r="F66" i="217"/>
  <c r="J66" i="217" s="1"/>
  <c r="I65" i="217"/>
  <c r="G65" i="217"/>
  <c r="L65" i="217" s="1"/>
  <c r="F65" i="217"/>
  <c r="J65" i="217" s="1"/>
  <c r="L64" i="217"/>
  <c r="I64" i="217"/>
  <c r="G64" i="217"/>
  <c r="F64" i="217"/>
  <c r="J64" i="217" s="1"/>
  <c r="I63" i="217"/>
  <c r="G63" i="217"/>
  <c r="L63" i="217" s="1"/>
  <c r="F63" i="217"/>
  <c r="J63" i="217" s="1"/>
  <c r="I62" i="217"/>
  <c r="G62" i="217"/>
  <c r="L62" i="217" s="1"/>
  <c r="F62" i="217"/>
  <c r="J62" i="217" s="1"/>
  <c r="I61" i="217"/>
  <c r="G61" i="217"/>
  <c r="L61" i="217" s="1"/>
  <c r="F61" i="217"/>
  <c r="J61" i="217" s="1"/>
  <c r="I60" i="217"/>
  <c r="G60" i="217"/>
  <c r="L60" i="217" s="1"/>
  <c r="F60" i="217"/>
  <c r="J60" i="217" s="1"/>
  <c r="I59" i="217"/>
  <c r="G59" i="217"/>
  <c r="L59" i="217" s="1"/>
  <c r="F59" i="217"/>
  <c r="J59" i="217" s="1"/>
  <c r="I58" i="217"/>
  <c r="G58" i="217"/>
  <c r="L58" i="217" s="1"/>
  <c r="F58" i="217"/>
  <c r="J58" i="217" s="1"/>
  <c r="I57" i="217"/>
  <c r="G57" i="217"/>
  <c r="L57" i="217" s="1"/>
  <c r="F57" i="217"/>
  <c r="J57" i="217" s="1"/>
  <c r="L56" i="217"/>
  <c r="I56" i="217"/>
  <c r="G56" i="217"/>
  <c r="F56" i="217"/>
  <c r="J56" i="217" s="1"/>
  <c r="I55" i="217"/>
  <c r="G55" i="217"/>
  <c r="L55" i="217" s="1"/>
  <c r="F55" i="217"/>
  <c r="J55" i="217" s="1"/>
  <c r="L54" i="217"/>
  <c r="J54" i="217"/>
  <c r="I54" i="217"/>
  <c r="G54" i="217"/>
  <c r="F54" i="217"/>
  <c r="I53" i="217"/>
  <c r="G53" i="217"/>
  <c r="L53" i="217" s="1"/>
  <c r="F53" i="217"/>
  <c r="J53" i="217" s="1"/>
  <c r="K53" i="217" s="1"/>
  <c r="I52" i="217"/>
  <c r="G52" i="217"/>
  <c r="L52" i="217" s="1"/>
  <c r="F52" i="217"/>
  <c r="J52" i="217" s="1"/>
  <c r="I51" i="217"/>
  <c r="G51" i="217"/>
  <c r="L51" i="217" s="1"/>
  <c r="F51" i="217"/>
  <c r="J51" i="217" s="1"/>
  <c r="I50" i="217"/>
  <c r="G50" i="217"/>
  <c r="L50" i="217" s="1"/>
  <c r="F50" i="217"/>
  <c r="J50" i="217" s="1"/>
  <c r="I49" i="217"/>
  <c r="G49" i="217"/>
  <c r="L49" i="217" s="1"/>
  <c r="F49" i="217"/>
  <c r="J49" i="217" s="1"/>
  <c r="I48" i="217"/>
  <c r="G48" i="217"/>
  <c r="L48" i="217" s="1"/>
  <c r="F48" i="217"/>
  <c r="J48" i="217" s="1"/>
  <c r="I47" i="217"/>
  <c r="G47" i="217"/>
  <c r="L47" i="217" s="1"/>
  <c r="F47" i="217"/>
  <c r="J47" i="217" s="1"/>
  <c r="I46" i="217"/>
  <c r="G46" i="217"/>
  <c r="L46" i="217" s="1"/>
  <c r="F46" i="217"/>
  <c r="J46" i="217" s="1"/>
  <c r="I45" i="217"/>
  <c r="G45" i="217"/>
  <c r="L45" i="217" s="1"/>
  <c r="F45" i="217"/>
  <c r="J45" i="217" s="1"/>
  <c r="I44" i="217"/>
  <c r="G44" i="217"/>
  <c r="L44" i="217" s="1"/>
  <c r="F44" i="217"/>
  <c r="J44" i="217" s="1"/>
  <c r="I43" i="217"/>
  <c r="G43" i="217"/>
  <c r="L43" i="217" s="1"/>
  <c r="F43" i="217"/>
  <c r="J43" i="217" s="1"/>
  <c r="I42" i="217"/>
  <c r="G42" i="217"/>
  <c r="L42" i="217" s="1"/>
  <c r="F42" i="217"/>
  <c r="J42" i="217" s="1"/>
  <c r="I41" i="217"/>
  <c r="G41" i="217"/>
  <c r="L41" i="217" s="1"/>
  <c r="F41" i="217"/>
  <c r="J41" i="217" s="1"/>
  <c r="I40" i="217"/>
  <c r="G40" i="217"/>
  <c r="L40" i="217" s="1"/>
  <c r="F40" i="217"/>
  <c r="J40" i="217" s="1"/>
  <c r="I39" i="217"/>
  <c r="G39" i="217"/>
  <c r="L39" i="217" s="1"/>
  <c r="F39" i="217"/>
  <c r="J39" i="217" s="1"/>
  <c r="I38" i="217"/>
  <c r="G38" i="217"/>
  <c r="L38" i="217" s="1"/>
  <c r="F38" i="217"/>
  <c r="J38" i="217" s="1"/>
  <c r="I37" i="217"/>
  <c r="G37" i="217"/>
  <c r="L37" i="217" s="1"/>
  <c r="F37" i="217"/>
  <c r="J37" i="217" s="1"/>
  <c r="K37" i="217" s="1"/>
  <c r="I36" i="217"/>
  <c r="G36" i="217"/>
  <c r="L36" i="217" s="1"/>
  <c r="F36" i="217"/>
  <c r="J36" i="217" s="1"/>
  <c r="I35" i="217"/>
  <c r="G35" i="217"/>
  <c r="L35" i="217" s="1"/>
  <c r="F35" i="217"/>
  <c r="J35" i="217" s="1"/>
  <c r="J34" i="217"/>
  <c r="K34" i="217" s="1"/>
  <c r="I34" i="217"/>
  <c r="G34" i="217"/>
  <c r="L34" i="217" s="1"/>
  <c r="F34" i="217"/>
  <c r="I33" i="217"/>
  <c r="G33" i="217"/>
  <c r="L33" i="217" s="1"/>
  <c r="F33" i="217"/>
  <c r="J33" i="217" s="1"/>
  <c r="I32" i="217"/>
  <c r="G32" i="217"/>
  <c r="L32" i="217" s="1"/>
  <c r="F32" i="217"/>
  <c r="J32" i="217" s="1"/>
  <c r="I31" i="217"/>
  <c r="G31" i="217"/>
  <c r="L31" i="217" s="1"/>
  <c r="F31" i="217"/>
  <c r="J31" i="217" s="1"/>
  <c r="I30" i="217"/>
  <c r="G30" i="217"/>
  <c r="L30" i="217" s="1"/>
  <c r="F30" i="217"/>
  <c r="J30" i="217" s="1"/>
  <c r="I29" i="217"/>
  <c r="G29" i="217"/>
  <c r="L29" i="217" s="1"/>
  <c r="F29" i="217"/>
  <c r="J29" i="217" s="1"/>
  <c r="I28" i="217"/>
  <c r="G28" i="217"/>
  <c r="L28" i="217" s="1"/>
  <c r="F28" i="217"/>
  <c r="J28" i="217" s="1"/>
  <c r="I27" i="217"/>
  <c r="G27" i="217"/>
  <c r="L27" i="217" s="1"/>
  <c r="F27" i="217"/>
  <c r="J27" i="217" s="1"/>
  <c r="K27" i="217" s="1"/>
  <c r="I26" i="217"/>
  <c r="G26" i="217"/>
  <c r="L26" i="217" s="1"/>
  <c r="F26" i="217"/>
  <c r="J26" i="217" s="1"/>
  <c r="K26" i="217" s="1"/>
  <c r="G20" i="217"/>
  <c r="G18" i="217"/>
  <c r="G19" i="217" s="1"/>
  <c r="G15" i="217"/>
  <c r="F12" i="217"/>
  <c r="F94" i="217" s="1"/>
  <c r="F178" i="217" s="1"/>
  <c r="F11" i="217"/>
  <c r="F93" i="217" s="1"/>
  <c r="F177" i="217" s="1"/>
  <c r="F10" i="217"/>
  <c r="F92" i="217" s="1"/>
  <c r="F176" i="217" s="1"/>
  <c r="F9" i="217"/>
  <c r="F91" i="217" s="1"/>
  <c r="F175" i="217" s="1"/>
  <c r="F7" i="217"/>
  <c r="F89" i="217" s="1"/>
  <c r="F173" i="217" s="1"/>
  <c r="F6" i="217"/>
  <c r="F88" i="217" s="1"/>
  <c r="F172" i="217" s="1"/>
  <c r="AK5" i="217"/>
  <c r="F5" i="217"/>
  <c r="F87" i="217" s="1"/>
  <c r="F171" i="217" s="1"/>
  <c r="B5" i="217"/>
  <c r="AK4" i="217" s="1"/>
  <c r="F4" i="217"/>
  <c r="F86" i="217" s="1"/>
  <c r="F170" i="217" s="1"/>
  <c r="N1" i="217"/>
  <c r="J251" i="216"/>
  <c r="I251" i="216"/>
  <c r="G251" i="216"/>
  <c r="L251" i="216" s="1"/>
  <c r="F251" i="216"/>
  <c r="I250" i="216"/>
  <c r="G250" i="216"/>
  <c r="L250" i="216" s="1"/>
  <c r="F250" i="216"/>
  <c r="J250" i="216" s="1"/>
  <c r="I249" i="216"/>
  <c r="G249" i="216"/>
  <c r="L249" i="216" s="1"/>
  <c r="F249" i="216"/>
  <c r="J249" i="216" s="1"/>
  <c r="I248" i="216"/>
  <c r="G248" i="216"/>
  <c r="L248" i="216" s="1"/>
  <c r="F248" i="216"/>
  <c r="J248" i="216" s="1"/>
  <c r="J247" i="216"/>
  <c r="I247" i="216"/>
  <c r="G247" i="216"/>
  <c r="L247" i="216" s="1"/>
  <c r="F247" i="216"/>
  <c r="I246" i="216"/>
  <c r="G246" i="216"/>
  <c r="L246" i="216" s="1"/>
  <c r="F246" i="216"/>
  <c r="J246" i="216" s="1"/>
  <c r="I245" i="216"/>
  <c r="G245" i="216"/>
  <c r="L245" i="216" s="1"/>
  <c r="F245" i="216"/>
  <c r="J245" i="216" s="1"/>
  <c r="I244" i="216"/>
  <c r="G244" i="216"/>
  <c r="L244" i="216" s="1"/>
  <c r="F244" i="216"/>
  <c r="J244" i="216" s="1"/>
  <c r="I243" i="216"/>
  <c r="G243" i="216"/>
  <c r="L243" i="216" s="1"/>
  <c r="F243" i="216"/>
  <c r="J243" i="216" s="1"/>
  <c r="I242" i="216"/>
  <c r="G242" i="216"/>
  <c r="L242" i="216" s="1"/>
  <c r="F242" i="216"/>
  <c r="J242" i="216" s="1"/>
  <c r="I241" i="216"/>
  <c r="G241" i="216"/>
  <c r="L241" i="216" s="1"/>
  <c r="F241" i="216"/>
  <c r="J241" i="216" s="1"/>
  <c r="K241" i="216" s="1"/>
  <c r="I240" i="216"/>
  <c r="G240" i="216"/>
  <c r="L240" i="216" s="1"/>
  <c r="F240" i="216"/>
  <c r="J240" i="216" s="1"/>
  <c r="I239" i="216"/>
  <c r="G239" i="216"/>
  <c r="L239" i="216" s="1"/>
  <c r="F239" i="216"/>
  <c r="J239" i="216" s="1"/>
  <c r="K239" i="216" s="1"/>
  <c r="I238" i="216"/>
  <c r="G238" i="216"/>
  <c r="L238" i="216" s="1"/>
  <c r="F238" i="216"/>
  <c r="J238" i="216" s="1"/>
  <c r="I237" i="216"/>
  <c r="G237" i="216"/>
  <c r="L237" i="216" s="1"/>
  <c r="F237" i="216"/>
  <c r="J237" i="216" s="1"/>
  <c r="J236" i="216"/>
  <c r="I236" i="216"/>
  <c r="G236" i="216"/>
  <c r="L236" i="216" s="1"/>
  <c r="F236" i="216"/>
  <c r="I235" i="216"/>
  <c r="G235" i="216"/>
  <c r="L235" i="216" s="1"/>
  <c r="F235" i="216"/>
  <c r="J235" i="216" s="1"/>
  <c r="I234" i="216"/>
  <c r="G234" i="216"/>
  <c r="L234" i="216" s="1"/>
  <c r="F234" i="216"/>
  <c r="J234" i="216" s="1"/>
  <c r="I233" i="216"/>
  <c r="G233" i="216"/>
  <c r="L233" i="216" s="1"/>
  <c r="F233" i="216"/>
  <c r="J233" i="216" s="1"/>
  <c r="J232" i="216"/>
  <c r="K232" i="216" s="1"/>
  <c r="I232" i="216"/>
  <c r="G232" i="216"/>
  <c r="L232" i="216" s="1"/>
  <c r="F232" i="216"/>
  <c r="I231" i="216"/>
  <c r="G231" i="216"/>
  <c r="L231" i="216" s="1"/>
  <c r="F231" i="216"/>
  <c r="J231" i="216" s="1"/>
  <c r="K231" i="216" s="1"/>
  <c r="I230" i="216"/>
  <c r="G230" i="216"/>
  <c r="L230" i="216" s="1"/>
  <c r="F230" i="216"/>
  <c r="J230" i="216" s="1"/>
  <c r="I229" i="216"/>
  <c r="G229" i="216"/>
  <c r="L229" i="216" s="1"/>
  <c r="F229" i="216"/>
  <c r="J229" i="216" s="1"/>
  <c r="L228" i="216"/>
  <c r="I228" i="216"/>
  <c r="G228" i="216"/>
  <c r="F228" i="216"/>
  <c r="J228" i="216" s="1"/>
  <c r="K228" i="216" s="1"/>
  <c r="I227" i="216"/>
  <c r="G227" i="216"/>
  <c r="L227" i="216" s="1"/>
  <c r="F227" i="216"/>
  <c r="J227" i="216" s="1"/>
  <c r="I226" i="216"/>
  <c r="G226" i="216"/>
  <c r="L226" i="216" s="1"/>
  <c r="F226" i="216"/>
  <c r="J226" i="216" s="1"/>
  <c r="I225" i="216"/>
  <c r="G225" i="216"/>
  <c r="L225" i="216" s="1"/>
  <c r="F225" i="216"/>
  <c r="J225" i="216" s="1"/>
  <c r="I224" i="216"/>
  <c r="G224" i="216"/>
  <c r="L224" i="216" s="1"/>
  <c r="F224" i="216"/>
  <c r="J224" i="216" s="1"/>
  <c r="J223" i="216"/>
  <c r="K223" i="216" s="1"/>
  <c r="I223" i="216"/>
  <c r="G223" i="216"/>
  <c r="L223" i="216" s="1"/>
  <c r="F223" i="216"/>
  <c r="I222" i="216"/>
  <c r="G222" i="216"/>
  <c r="L222" i="216" s="1"/>
  <c r="F222" i="216"/>
  <c r="J222" i="216" s="1"/>
  <c r="I221" i="216"/>
  <c r="G221" i="216"/>
  <c r="L221" i="216" s="1"/>
  <c r="F221" i="216"/>
  <c r="J221" i="216" s="1"/>
  <c r="I220" i="216"/>
  <c r="G220" i="216"/>
  <c r="L220" i="216" s="1"/>
  <c r="F220" i="216"/>
  <c r="J220" i="216" s="1"/>
  <c r="I219" i="216"/>
  <c r="G219" i="216"/>
  <c r="L219" i="216" s="1"/>
  <c r="F219" i="216"/>
  <c r="J219" i="216" s="1"/>
  <c r="K219" i="216" s="1"/>
  <c r="I218" i="216"/>
  <c r="G218" i="216"/>
  <c r="L218" i="216" s="1"/>
  <c r="F218" i="216"/>
  <c r="J218" i="216" s="1"/>
  <c r="I217" i="216"/>
  <c r="G217" i="216"/>
  <c r="L217" i="216" s="1"/>
  <c r="F217" i="216"/>
  <c r="J217" i="216" s="1"/>
  <c r="J216" i="216"/>
  <c r="I216" i="216"/>
  <c r="G216" i="216"/>
  <c r="L216" i="216" s="1"/>
  <c r="F216" i="216"/>
  <c r="I215" i="216"/>
  <c r="G215" i="216"/>
  <c r="L215" i="216" s="1"/>
  <c r="F215" i="216"/>
  <c r="J215" i="216" s="1"/>
  <c r="I214" i="216"/>
  <c r="G214" i="216"/>
  <c r="L214" i="216" s="1"/>
  <c r="F214" i="216"/>
  <c r="J214" i="216" s="1"/>
  <c r="I213" i="216"/>
  <c r="G213" i="216"/>
  <c r="L213" i="216" s="1"/>
  <c r="F213" i="216"/>
  <c r="J213" i="216" s="1"/>
  <c r="I212" i="216"/>
  <c r="G212" i="216"/>
  <c r="L212" i="216" s="1"/>
  <c r="F212" i="216"/>
  <c r="J212" i="216" s="1"/>
  <c r="K212" i="216" s="1"/>
  <c r="J211" i="216"/>
  <c r="K211" i="216" s="1"/>
  <c r="I211" i="216"/>
  <c r="G211" i="216"/>
  <c r="L211" i="216" s="1"/>
  <c r="F211" i="216"/>
  <c r="I210" i="216"/>
  <c r="G210" i="216"/>
  <c r="L210" i="216" s="1"/>
  <c r="F210" i="216"/>
  <c r="J210" i="216" s="1"/>
  <c r="I209" i="216"/>
  <c r="G209" i="216"/>
  <c r="L209" i="216" s="1"/>
  <c r="F209" i="216"/>
  <c r="J209" i="216" s="1"/>
  <c r="I208" i="216"/>
  <c r="G208" i="216"/>
  <c r="L208" i="216" s="1"/>
  <c r="F208" i="216"/>
  <c r="J208" i="216" s="1"/>
  <c r="J207" i="216"/>
  <c r="K207" i="216" s="1"/>
  <c r="I207" i="216"/>
  <c r="G207" i="216"/>
  <c r="L207" i="216" s="1"/>
  <c r="F207" i="216"/>
  <c r="I206" i="216"/>
  <c r="G206" i="216"/>
  <c r="L206" i="216" s="1"/>
  <c r="F206" i="216"/>
  <c r="J206" i="216" s="1"/>
  <c r="I205" i="216"/>
  <c r="G205" i="216"/>
  <c r="L205" i="216" s="1"/>
  <c r="F205" i="216"/>
  <c r="J205" i="216" s="1"/>
  <c r="I204" i="216"/>
  <c r="G204" i="216"/>
  <c r="L204" i="216" s="1"/>
  <c r="F204" i="216"/>
  <c r="J204" i="216" s="1"/>
  <c r="I203" i="216"/>
  <c r="G203" i="216"/>
  <c r="L203" i="216" s="1"/>
  <c r="F203" i="216"/>
  <c r="J203" i="216" s="1"/>
  <c r="I202" i="216"/>
  <c r="G202" i="216"/>
  <c r="L202" i="216" s="1"/>
  <c r="F202" i="216"/>
  <c r="J202" i="216" s="1"/>
  <c r="I201" i="216"/>
  <c r="G201" i="216"/>
  <c r="L201" i="216" s="1"/>
  <c r="F201" i="216"/>
  <c r="J201" i="216" s="1"/>
  <c r="J200" i="216"/>
  <c r="K200" i="216" s="1"/>
  <c r="I200" i="216"/>
  <c r="G200" i="216"/>
  <c r="L200" i="216" s="1"/>
  <c r="F200" i="216"/>
  <c r="I199" i="216"/>
  <c r="G199" i="216"/>
  <c r="L199" i="216" s="1"/>
  <c r="F199" i="216"/>
  <c r="J199" i="216" s="1"/>
  <c r="I198" i="216"/>
  <c r="G198" i="216"/>
  <c r="L198" i="216" s="1"/>
  <c r="F198" i="216"/>
  <c r="J198" i="216" s="1"/>
  <c r="I197" i="216"/>
  <c r="G197" i="216"/>
  <c r="L197" i="216" s="1"/>
  <c r="F197" i="216"/>
  <c r="J197" i="216" s="1"/>
  <c r="I196" i="216"/>
  <c r="G196" i="216"/>
  <c r="L196" i="216" s="1"/>
  <c r="F196" i="216"/>
  <c r="J196" i="216" s="1"/>
  <c r="K196" i="216" s="1"/>
  <c r="J195" i="216"/>
  <c r="K195" i="216" s="1"/>
  <c r="I195" i="216"/>
  <c r="G195" i="216"/>
  <c r="L195" i="216" s="1"/>
  <c r="F195" i="216"/>
  <c r="I194" i="216"/>
  <c r="G194" i="216"/>
  <c r="L194" i="216" s="1"/>
  <c r="F194" i="216"/>
  <c r="J194" i="216" s="1"/>
  <c r="G188" i="216"/>
  <c r="G186" i="216"/>
  <c r="G187" i="216" s="1"/>
  <c r="G183" i="216"/>
  <c r="I167" i="216"/>
  <c r="G167" i="216"/>
  <c r="L167" i="216" s="1"/>
  <c r="F167" i="216"/>
  <c r="J167" i="216" s="1"/>
  <c r="I166" i="216"/>
  <c r="G166" i="216"/>
  <c r="L166" i="216" s="1"/>
  <c r="F166" i="216"/>
  <c r="J166" i="216" s="1"/>
  <c r="K166" i="216" s="1"/>
  <c r="I165" i="216"/>
  <c r="G165" i="216"/>
  <c r="L165" i="216" s="1"/>
  <c r="F165" i="216"/>
  <c r="J165" i="216" s="1"/>
  <c r="I164" i="216"/>
  <c r="G164" i="216"/>
  <c r="L164" i="216" s="1"/>
  <c r="F164" i="216"/>
  <c r="J164" i="216" s="1"/>
  <c r="I163" i="216"/>
  <c r="G163" i="216"/>
  <c r="L163" i="216" s="1"/>
  <c r="F163" i="216"/>
  <c r="J163" i="216" s="1"/>
  <c r="I162" i="216"/>
  <c r="G162" i="216"/>
  <c r="L162" i="216" s="1"/>
  <c r="F162" i="216"/>
  <c r="J162" i="216" s="1"/>
  <c r="K162" i="216" s="1"/>
  <c r="J161" i="216"/>
  <c r="K161" i="216" s="1"/>
  <c r="I161" i="216"/>
  <c r="G161" i="216"/>
  <c r="L161" i="216" s="1"/>
  <c r="F161" i="216"/>
  <c r="I160" i="216"/>
  <c r="G160" i="216"/>
  <c r="L160" i="216" s="1"/>
  <c r="F160" i="216"/>
  <c r="J160" i="216" s="1"/>
  <c r="I159" i="216"/>
  <c r="G159" i="216"/>
  <c r="L159" i="216" s="1"/>
  <c r="F159" i="216"/>
  <c r="J159" i="216" s="1"/>
  <c r="K159" i="216" s="1"/>
  <c r="I158" i="216"/>
  <c r="G158" i="216"/>
  <c r="L158" i="216" s="1"/>
  <c r="F158" i="216"/>
  <c r="J158" i="216" s="1"/>
  <c r="J157" i="216"/>
  <c r="K157" i="216" s="1"/>
  <c r="I157" i="216"/>
  <c r="G157" i="216"/>
  <c r="L157" i="216" s="1"/>
  <c r="F157" i="216"/>
  <c r="I156" i="216"/>
  <c r="G156" i="216"/>
  <c r="L156" i="216" s="1"/>
  <c r="F156" i="216"/>
  <c r="J156" i="216" s="1"/>
  <c r="K156" i="216" s="1"/>
  <c r="I155" i="216"/>
  <c r="G155" i="216"/>
  <c r="L155" i="216" s="1"/>
  <c r="F155" i="216"/>
  <c r="J155" i="216" s="1"/>
  <c r="I154" i="216"/>
  <c r="G154" i="216"/>
  <c r="L154" i="216" s="1"/>
  <c r="F154" i="216"/>
  <c r="J154" i="216" s="1"/>
  <c r="K154" i="216" s="1"/>
  <c r="I153" i="216"/>
  <c r="G153" i="216"/>
  <c r="L153" i="216" s="1"/>
  <c r="F153" i="216"/>
  <c r="J153" i="216" s="1"/>
  <c r="I152" i="216"/>
  <c r="G152" i="216"/>
  <c r="L152" i="216" s="1"/>
  <c r="F152" i="216"/>
  <c r="J152" i="216" s="1"/>
  <c r="L151" i="216"/>
  <c r="I151" i="216"/>
  <c r="G151" i="216"/>
  <c r="F151" i="216"/>
  <c r="J151" i="216" s="1"/>
  <c r="I150" i="216"/>
  <c r="G150" i="216"/>
  <c r="L150" i="216" s="1"/>
  <c r="F150" i="216"/>
  <c r="J150" i="216" s="1"/>
  <c r="I149" i="216"/>
  <c r="G149" i="216"/>
  <c r="L149" i="216" s="1"/>
  <c r="F149" i="216"/>
  <c r="J149" i="216" s="1"/>
  <c r="K149" i="216" s="1"/>
  <c r="I148" i="216"/>
  <c r="G148" i="216"/>
  <c r="L148" i="216" s="1"/>
  <c r="F148" i="216"/>
  <c r="J148" i="216" s="1"/>
  <c r="I147" i="216"/>
  <c r="G147" i="216"/>
  <c r="L147" i="216" s="1"/>
  <c r="F147" i="216"/>
  <c r="J147" i="216" s="1"/>
  <c r="I146" i="216"/>
  <c r="G146" i="216"/>
  <c r="L146" i="216" s="1"/>
  <c r="F146" i="216"/>
  <c r="J146" i="216" s="1"/>
  <c r="K146" i="216" s="1"/>
  <c r="I145" i="216"/>
  <c r="G145" i="216"/>
  <c r="L145" i="216" s="1"/>
  <c r="F145" i="216"/>
  <c r="J145" i="216" s="1"/>
  <c r="I144" i="216"/>
  <c r="G144" i="216"/>
  <c r="L144" i="216" s="1"/>
  <c r="F144" i="216"/>
  <c r="J144" i="216" s="1"/>
  <c r="K144" i="216" s="1"/>
  <c r="I143" i="216"/>
  <c r="G143" i="216"/>
  <c r="L143" i="216" s="1"/>
  <c r="F143" i="216"/>
  <c r="J143" i="216" s="1"/>
  <c r="K143" i="216" s="1"/>
  <c r="I142" i="216"/>
  <c r="G142" i="216"/>
  <c r="L142" i="216" s="1"/>
  <c r="F142" i="216"/>
  <c r="J142" i="216" s="1"/>
  <c r="I141" i="216"/>
  <c r="G141" i="216"/>
  <c r="L141" i="216" s="1"/>
  <c r="F141" i="216"/>
  <c r="J141" i="216" s="1"/>
  <c r="K141" i="216" s="1"/>
  <c r="I140" i="216"/>
  <c r="G140" i="216"/>
  <c r="L140" i="216" s="1"/>
  <c r="F140" i="216"/>
  <c r="J140" i="216" s="1"/>
  <c r="I139" i="216"/>
  <c r="G139" i="216"/>
  <c r="L139" i="216" s="1"/>
  <c r="F139" i="216"/>
  <c r="J139" i="216" s="1"/>
  <c r="I138" i="216"/>
  <c r="G138" i="216"/>
  <c r="L138" i="216" s="1"/>
  <c r="F138" i="216"/>
  <c r="J138" i="216" s="1"/>
  <c r="K138" i="216" s="1"/>
  <c r="I137" i="216"/>
  <c r="G137" i="216"/>
  <c r="L137" i="216" s="1"/>
  <c r="F137" i="216"/>
  <c r="J137" i="216" s="1"/>
  <c r="I136" i="216"/>
  <c r="G136" i="216"/>
  <c r="L136" i="216" s="1"/>
  <c r="F136" i="216"/>
  <c r="J136" i="216" s="1"/>
  <c r="K136" i="216" s="1"/>
  <c r="I135" i="216"/>
  <c r="G135" i="216"/>
  <c r="L135" i="216" s="1"/>
  <c r="F135" i="216"/>
  <c r="J135" i="216" s="1"/>
  <c r="K135" i="216" s="1"/>
  <c r="I134" i="216"/>
  <c r="G134" i="216"/>
  <c r="L134" i="216" s="1"/>
  <c r="F134" i="216"/>
  <c r="J134" i="216" s="1"/>
  <c r="I133" i="216"/>
  <c r="G133" i="216"/>
  <c r="L133" i="216" s="1"/>
  <c r="F133" i="216"/>
  <c r="J133" i="216" s="1"/>
  <c r="K133" i="216" s="1"/>
  <c r="I132" i="216"/>
  <c r="G132" i="216"/>
  <c r="L132" i="216" s="1"/>
  <c r="F132" i="216"/>
  <c r="J132" i="216" s="1"/>
  <c r="I131" i="216"/>
  <c r="G131" i="216"/>
  <c r="L131" i="216" s="1"/>
  <c r="F131" i="216"/>
  <c r="J131" i="216" s="1"/>
  <c r="K131" i="216" s="1"/>
  <c r="I130" i="216"/>
  <c r="G130" i="216"/>
  <c r="L130" i="216" s="1"/>
  <c r="F130" i="216"/>
  <c r="J130" i="216" s="1"/>
  <c r="I129" i="216"/>
  <c r="G129" i="216"/>
  <c r="L129" i="216" s="1"/>
  <c r="F129" i="216"/>
  <c r="J129" i="216" s="1"/>
  <c r="I128" i="216"/>
  <c r="G128" i="216"/>
  <c r="L128" i="216" s="1"/>
  <c r="F128" i="216"/>
  <c r="J128" i="216" s="1"/>
  <c r="I127" i="216"/>
  <c r="G127" i="216"/>
  <c r="L127" i="216" s="1"/>
  <c r="F127" i="216"/>
  <c r="J127" i="216" s="1"/>
  <c r="K127" i="216" s="1"/>
  <c r="I126" i="216"/>
  <c r="G126" i="216"/>
  <c r="L126" i="216" s="1"/>
  <c r="F126" i="216"/>
  <c r="J126" i="216" s="1"/>
  <c r="I125" i="216"/>
  <c r="G125" i="216"/>
  <c r="L125" i="216" s="1"/>
  <c r="F125" i="216"/>
  <c r="J125" i="216" s="1"/>
  <c r="K125" i="216" s="1"/>
  <c r="L124" i="216"/>
  <c r="I124" i="216"/>
  <c r="G124" i="216"/>
  <c r="F124" i="216"/>
  <c r="J124" i="216" s="1"/>
  <c r="K124" i="216" s="1"/>
  <c r="I123" i="216"/>
  <c r="G123" i="216"/>
  <c r="L123" i="216" s="1"/>
  <c r="F123" i="216"/>
  <c r="J123" i="216" s="1"/>
  <c r="L122" i="216"/>
  <c r="I122" i="216"/>
  <c r="G122" i="216"/>
  <c r="F122" i="216"/>
  <c r="J122" i="216" s="1"/>
  <c r="K122" i="216" s="1"/>
  <c r="I121" i="216"/>
  <c r="G121" i="216"/>
  <c r="L121" i="216" s="1"/>
  <c r="F121" i="216"/>
  <c r="J121" i="216" s="1"/>
  <c r="K121" i="216" s="1"/>
  <c r="I120" i="216"/>
  <c r="G120" i="216"/>
  <c r="L120" i="216" s="1"/>
  <c r="F120" i="216"/>
  <c r="J120" i="216" s="1"/>
  <c r="K120" i="216" s="1"/>
  <c r="I119" i="216"/>
  <c r="G119" i="216"/>
  <c r="L119" i="216" s="1"/>
  <c r="F119" i="216"/>
  <c r="J119" i="216" s="1"/>
  <c r="K119" i="216" s="1"/>
  <c r="I118" i="216"/>
  <c r="G118" i="216"/>
  <c r="L118" i="216" s="1"/>
  <c r="F118" i="216"/>
  <c r="J118" i="216" s="1"/>
  <c r="K118" i="216" s="1"/>
  <c r="J117" i="216"/>
  <c r="K117" i="216" s="1"/>
  <c r="I117" i="216"/>
  <c r="G117" i="216"/>
  <c r="L117" i="216" s="1"/>
  <c r="F117" i="216"/>
  <c r="I116" i="216"/>
  <c r="G116" i="216"/>
  <c r="L116" i="216" s="1"/>
  <c r="F116" i="216"/>
  <c r="J116" i="216" s="1"/>
  <c r="K116" i="216" s="1"/>
  <c r="I115" i="216"/>
  <c r="G115" i="216"/>
  <c r="L115" i="216" s="1"/>
  <c r="F115" i="216"/>
  <c r="J115" i="216" s="1"/>
  <c r="K115" i="216" s="1"/>
  <c r="I114" i="216"/>
  <c r="G114" i="216"/>
  <c r="L114" i="216" s="1"/>
  <c r="F114" i="216"/>
  <c r="J114" i="216" s="1"/>
  <c r="K114" i="216" s="1"/>
  <c r="I113" i="216"/>
  <c r="G113" i="216"/>
  <c r="L113" i="216" s="1"/>
  <c r="F113" i="216"/>
  <c r="J113" i="216" s="1"/>
  <c r="K113" i="216" s="1"/>
  <c r="I112" i="216"/>
  <c r="G112" i="216"/>
  <c r="L112" i="216" s="1"/>
  <c r="F112" i="216"/>
  <c r="J112" i="216" s="1"/>
  <c r="I111" i="216"/>
  <c r="G111" i="216"/>
  <c r="L111" i="216" s="1"/>
  <c r="F111" i="216"/>
  <c r="J111" i="216" s="1"/>
  <c r="I110" i="216"/>
  <c r="G110" i="216"/>
  <c r="L110" i="216" s="1"/>
  <c r="F110" i="216"/>
  <c r="J110" i="216" s="1"/>
  <c r="K110" i="216" s="1"/>
  <c r="G104" i="216"/>
  <c r="G102" i="216"/>
  <c r="G103" i="216" s="1"/>
  <c r="G99" i="216"/>
  <c r="E85" i="216"/>
  <c r="E169" i="216" s="1"/>
  <c r="I83" i="216"/>
  <c r="G83" i="216"/>
  <c r="L83" i="216" s="1"/>
  <c r="F83" i="216"/>
  <c r="J83" i="216" s="1"/>
  <c r="I82" i="216"/>
  <c r="G82" i="216"/>
  <c r="L82" i="216" s="1"/>
  <c r="F82" i="216"/>
  <c r="J82" i="216" s="1"/>
  <c r="I81" i="216"/>
  <c r="G81" i="216"/>
  <c r="L81" i="216" s="1"/>
  <c r="F81" i="216"/>
  <c r="J81" i="216" s="1"/>
  <c r="I80" i="216"/>
  <c r="G80" i="216"/>
  <c r="L80" i="216" s="1"/>
  <c r="F80" i="216"/>
  <c r="J80" i="216" s="1"/>
  <c r="I79" i="216"/>
  <c r="G79" i="216"/>
  <c r="L79" i="216" s="1"/>
  <c r="F79" i="216"/>
  <c r="J79" i="216" s="1"/>
  <c r="I78" i="216"/>
  <c r="G78" i="216"/>
  <c r="L78" i="216" s="1"/>
  <c r="F78" i="216"/>
  <c r="J78" i="216" s="1"/>
  <c r="I77" i="216"/>
  <c r="G77" i="216"/>
  <c r="L77" i="216" s="1"/>
  <c r="F77" i="216"/>
  <c r="J77" i="216" s="1"/>
  <c r="I76" i="216"/>
  <c r="G76" i="216"/>
  <c r="L76" i="216" s="1"/>
  <c r="F76" i="216"/>
  <c r="J76" i="216" s="1"/>
  <c r="K76" i="216" s="1"/>
  <c r="I75" i="216"/>
  <c r="G75" i="216"/>
  <c r="L75" i="216" s="1"/>
  <c r="F75" i="216"/>
  <c r="J75" i="216" s="1"/>
  <c r="I74" i="216"/>
  <c r="G74" i="216"/>
  <c r="L74" i="216" s="1"/>
  <c r="F74" i="216"/>
  <c r="J74" i="216" s="1"/>
  <c r="L73" i="216"/>
  <c r="I73" i="216"/>
  <c r="G73" i="216"/>
  <c r="F73" i="216"/>
  <c r="J73" i="216" s="1"/>
  <c r="I72" i="216"/>
  <c r="G72" i="216"/>
  <c r="L72" i="216" s="1"/>
  <c r="F72" i="216"/>
  <c r="J72" i="216" s="1"/>
  <c r="I71" i="216"/>
  <c r="G71" i="216"/>
  <c r="L71" i="216" s="1"/>
  <c r="F71" i="216"/>
  <c r="J71" i="216" s="1"/>
  <c r="K71" i="216" s="1"/>
  <c r="I70" i="216"/>
  <c r="G70" i="216"/>
  <c r="L70" i="216" s="1"/>
  <c r="F70" i="216"/>
  <c r="J70" i="216" s="1"/>
  <c r="I69" i="216"/>
  <c r="G69" i="216"/>
  <c r="L69" i="216" s="1"/>
  <c r="F69" i="216"/>
  <c r="J69" i="216" s="1"/>
  <c r="I68" i="216"/>
  <c r="G68" i="216"/>
  <c r="L68" i="216" s="1"/>
  <c r="F68" i="216"/>
  <c r="J68" i="216" s="1"/>
  <c r="I67" i="216"/>
  <c r="G67" i="216"/>
  <c r="L67" i="216" s="1"/>
  <c r="F67" i="216"/>
  <c r="J67" i="216" s="1"/>
  <c r="I66" i="216"/>
  <c r="G66" i="216"/>
  <c r="L66" i="216" s="1"/>
  <c r="F66" i="216"/>
  <c r="J66" i="216" s="1"/>
  <c r="I65" i="216"/>
  <c r="G65" i="216"/>
  <c r="L65" i="216" s="1"/>
  <c r="F65" i="216"/>
  <c r="J65" i="216" s="1"/>
  <c r="I64" i="216"/>
  <c r="G64" i="216"/>
  <c r="L64" i="216" s="1"/>
  <c r="F64" i="216"/>
  <c r="J64" i="216" s="1"/>
  <c r="I63" i="216"/>
  <c r="G63" i="216"/>
  <c r="L63" i="216" s="1"/>
  <c r="F63" i="216"/>
  <c r="J63" i="216" s="1"/>
  <c r="K63" i="216" s="1"/>
  <c r="I62" i="216"/>
  <c r="G62" i="216"/>
  <c r="L62" i="216" s="1"/>
  <c r="F62" i="216"/>
  <c r="J62" i="216" s="1"/>
  <c r="I61" i="216"/>
  <c r="G61" i="216"/>
  <c r="L61" i="216" s="1"/>
  <c r="F61" i="216"/>
  <c r="J61" i="216" s="1"/>
  <c r="J60" i="216"/>
  <c r="I60" i="216"/>
  <c r="G60" i="216"/>
  <c r="L60" i="216" s="1"/>
  <c r="F60" i="216"/>
  <c r="I59" i="216"/>
  <c r="G59" i="216"/>
  <c r="L59" i="216" s="1"/>
  <c r="F59" i="216"/>
  <c r="J59" i="216" s="1"/>
  <c r="I58" i="216"/>
  <c r="G58" i="216"/>
  <c r="L58" i="216" s="1"/>
  <c r="F58" i="216"/>
  <c r="J58" i="216" s="1"/>
  <c r="I57" i="216"/>
  <c r="G57" i="216"/>
  <c r="L57" i="216" s="1"/>
  <c r="F57" i="216"/>
  <c r="J57" i="216" s="1"/>
  <c r="J56" i="216"/>
  <c r="I56" i="216"/>
  <c r="G56" i="216"/>
  <c r="L56" i="216" s="1"/>
  <c r="F56" i="216"/>
  <c r="I55" i="216"/>
  <c r="G55" i="216"/>
  <c r="L55" i="216" s="1"/>
  <c r="F55" i="216"/>
  <c r="J55" i="216" s="1"/>
  <c r="I54" i="216"/>
  <c r="G54" i="216"/>
  <c r="L54" i="216" s="1"/>
  <c r="F54" i="216"/>
  <c r="J54" i="216" s="1"/>
  <c r="K54" i="216" s="1"/>
  <c r="L53" i="216"/>
  <c r="I53" i="216"/>
  <c r="G53" i="216"/>
  <c r="F53" i="216"/>
  <c r="J53" i="216" s="1"/>
  <c r="J52" i="216"/>
  <c r="I52" i="216"/>
  <c r="G52" i="216"/>
  <c r="L52" i="216" s="1"/>
  <c r="F52" i="216"/>
  <c r="I51" i="216"/>
  <c r="G51" i="216"/>
  <c r="L51" i="216" s="1"/>
  <c r="F51" i="216"/>
  <c r="J51" i="216" s="1"/>
  <c r="I50" i="216"/>
  <c r="G50" i="216"/>
  <c r="L50" i="216" s="1"/>
  <c r="F50" i="216"/>
  <c r="J50" i="216" s="1"/>
  <c r="K50" i="216" s="1"/>
  <c r="I49" i="216"/>
  <c r="G49" i="216"/>
  <c r="L49" i="216" s="1"/>
  <c r="F49" i="216"/>
  <c r="J49" i="216" s="1"/>
  <c r="I48" i="216"/>
  <c r="G48" i="216"/>
  <c r="L48" i="216" s="1"/>
  <c r="F48" i="216"/>
  <c r="J48" i="216" s="1"/>
  <c r="I47" i="216"/>
  <c r="G47" i="216"/>
  <c r="L47" i="216" s="1"/>
  <c r="F47" i="216"/>
  <c r="J47" i="216" s="1"/>
  <c r="I46" i="216"/>
  <c r="G46" i="216"/>
  <c r="L46" i="216" s="1"/>
  <c r="F46" i="216"/>
  <c r="J46" i="216" s="1"/>
  <c r="I45" i="216"/>
  <c r="G45" i="216"/>
  <c r="L45" i="216" s="1"/>
  <c r="F45" i="216"/>
  <c r="J45" i="216" s="1"/>
  <c r="J44" i="216"/>
  <c r="K44" i="216" s="1"/>
  <c r="I44" i="216"/>
  <c r="G44" i="216"/>
  <c r="L44" i="216" s="1"/>
  <c r="F44" i="216"/>
  <c r="I43" i="216"/>
  <c r="G43" i="216"/>
  <c r="L43" i="216" s="1"/>
  <c r="F43" i="216"/>
  <c r="J43" i="216" s="1"/>
  <c r="I42" i="216"/>
  <c r="G42" i="216"/>
  <c r="L42" i="216" s="1"/>
  <c r="F42" i="216"/>
  <c r="J42" i="216" s="1"/>
  <c r="I41" i="216"/>
  <c r="G41" i="216"/>
  <c r="L41" i="216" s="1"/>
  <c r="F41" i="216"/>
  <c r="J41" i="216" s="1"/>
  <c r="I40" i="216"/>
  <c r="G40" i="216"/>
  <c r="L40" i="216" s="1"/>
  <c r="F40" i="216"/>
  <c r="J40" i="216" s="1"/>
  <c r="I39" i="216"/>
  <c r="G39" i="216"/>
  <c r="L39" i="216" s="1"/>
  <c r="F39" i="216"/>
  <c r="J39" i="216" s="1"/>
  <c r="I38" i="216"/>
  <c r="G38" i="216"/>
  <c r="L38" i="216" s="1"/>
  <c r="F38" i="216"/>
  <c r="J38" i="216" s="1"/>
  <c r="L37" i="216"/>
  <c r="I37" i="216"/>
  <c r="G37" i="216"/>
  <c r="F37" i="216"/>
  <c r="J37" i="216" s="1"/>
  <c r="I36" i="216"/>
  <c r="G36" i="216"/>
  <c r="L36" i="216" s="1"/>
  <c r="F36" i="216"/>
  <c r="J36" i="216" s="1"/>
  <c r="I35" i="216"/>
  <c r="G35" i="216"/>
  <c r="L35" i="216" s="1"/>
  <c r="F35" i="216"/>
  <c r="J35" i="216" s="1"/>
  <c r="I34" i="216"/>
  <c r="G34" i="216"/>
  <c r="L34" i="216" s="1"/>
  <c r="F34" i="216"/>
  <c r="J34" i="216" s="1"/>
  <c r="I33" i="216"/>
  <c r="G33" i="216"/>
  <c r="L33" i="216" s="1"/>
  <c r="F33" i="216"/>
  <c r="J33" i="216" s="1"/>
  <c r="I32" i="216"/>
  <c r="G32" i="216"/>
  <c r="L32" i="216" s="1"/>
  <c r="F32" i="216"/>
  <c r="J32" i="216" s="1"/>
  <c r="K32" i="216" s="1"/>
  <c r="I31" i="216"/>
  <c r="G31" i="216"/>
  <c r="L31" i="216" s="1"/>
  <c r="F31" i="216"/>
  <c r="J31" i="216" s="1"/>
  <c r="I30" i="216"/>
  <c r="G30" i="216"/>
  <c r="L30" i="216" s="1"/>
  <c r="F30" i="216"/>
  <c r="J30" i="216" s="1"/>
  <c r="I29" i="216"/>
  <c r="G29" i="216"/>
  <c r="L29" i="216" s="1"/>
  <c r="F29" i="216"/>
  <c r="J29" i="216" s="1"/>
  <c r="I28" i="216"/>
  <c r="G28" i="216"/>
  <c r="L28" i="216" s="1"/>
  <c r="F28" i="216"/>
  <c r="J28" i="216" s="1"/>
  <c r="J27" i="216"/>
  <c r="I27" i="216"/>
  <c r="G27" i="216"/>
  <c r="L27" i="216" s="1"/>
  <c r="F27" i="216"/>
  <c r="I26" i="216"/>
  <c r="G26" i="216"/>
  <c r="L26" i="216" s="1"/>
  <c r="F26" i="216"/>
  <c r="J26" i="216" s="1"/>
  <c r="G20" i="216"/>
  <c r="G18" i="216"/>
  <c r="G19" i="216" s="1"/>
  <c r="G15" i="216"/>
  <c r="F12" i="216"/>
  <c r="F96" i="216" s="1"/>
  <c r="F180" i="216" s="1"/>
  <c r="F11" i="216"/>
  <c r="F95" i="216" s="1"/>
  <c r="F179" i="216" s="1"/>
  <c r="F10" i="216"/>
  <c r="F94" i="216" s="1"/>
  <c r="F178" i="216" s="1"/>
  <c r="F9" i="216"/>
  <c r="F93" i="216" s="1"/>
  <c r="F177" i="216" s="1"/>
  <c r="F7" i="216"/>
  <c r="F91" i="216" s="1"/>
  <c r="F175" i="216" s="1"/>
  <c r="F6" i="216"/>
  <c r="F90" i="216" s="1"/>
  <c r="F174" i="216" s="1"/>
  <c r="AK5" i="216"/>
  <c r="F5" i="216"/>
  <c r="F89" i="216" s="1"/>
  <c r="F173" i="216" s="1"/>
  <c r="B5" i="216"/>
  <c r="F3" i="216" s="1"/>
  <c r="F87" i="216" s="1"/>
  <c r="F171" i="216" s="1"/>
  <c r="F4" i="216"/>
  <c r="F88" i="216" s="1"/>
  <c r="F172" i="216" s="1"/>
  <c r="N1" i="216"/>
  <c r="F11" i="208"/>
  <c r="F7" i="208"/>
  <c r="K40" i="217" l="1"/>
  <c r="K48" i="217"/>
  <c r="K207" i="217"/>
  <c r="K243" i="217"/>
  <c r="K30" i="217"/>
  <c r="K43" i="217"/>
  <c r="K194" i="217"/>
  <c r="K61" i="217"/>
  <c r="K236" i="217"/>
  <c r="K41" i="217"/>
  <c r="K49" i="217"/>
  <c r="K69" i="217"/>
  <c r="K79" i="217"/>
  <c r="K31" i="217"/>
  <c r="K59" i="217"/>
  <c r="K211" i="217"/>
  <c r="K47" i="217"/>
  <c r="K232" i="217"/>
  <c r="K29" i="217"/>
  <c r="K42" i="217"/>
  <c r="K80" i="217"/>
  <c r="K193" i="217"/>
  <c r="K245" i="217"/>
  <c r="AK4" i="216"/>
  <c r="K109" i="217"/>
  <c r="K165" i="217"/>
  <c r="K118" i="217"/>
  <c r="K62" i="217"/>
  <c r="K71" i="217"/>
  <c r="K73" i="217"/>
  <c r="K110" i="217"/>
  <c r="K28" i="217"/>
  <c r="K39" i="217"/>
  <c r="K125" i="217"/>
  <c r="K138" i="217"/>
  <c r="K145" i="217"/>
  <c r="K141" i="217"/>
  <c r="K150" i="217"/>
  <c r="K236" i="216"/>
  <c r="K48" i="216"/>
  <c r="K52" i="216"/>
  <c r="K56" i="216"/>
  <c r="K61" i="216"/>
  <c r="K74" i="216"/>
  <c r="K33" i="216"/>
  <c r="K41" i="216"/>
  <c r="K57" i="216"/>
  <c r="K64" i="216"/>
  <c r="K72" i="216"/>
  <c r="K82" i="216"/>
  <c r="K126" i="216"/>
  <c r="K129" i="216"/>
  <c r="K147" i="216"/>
  <c r="K151" i="216"/>
  <c r="K153" i="216"/>
  <c r="K167" i="216"/>
  <c r="K235" i="216"/>
  <c r="K45" i="216"/>
  <c r="K27" i="216"/>
  <c r="K39" i="216"/>
  <c r="K51" i="216"/>
  <c r="K55" i="216"/>
  <c r="K80" i="216"/>
  <c r="K35" i="216"/>
  <c r="K38" i="216"/>
  <c r="K40" i="216"/>
  <c r="K42" i="216"/>
  <c r="K49" i="216"/>
  <c r="K59" i="216"/>
  <c r="K62" i="216"/>
  <c r="K70" i="216"/>
  <c r="K75" i="216"/>
  <c r="K111" i="216"/>
  <c r="K132" i="216"/>
  <c r="K142" i="216"/>
  <c r="K145" i="216"/>
  <c r="K150" i="216"/>
  <c r="K152" i="216"/>
  <c r="K163" i="216"/>
  <c r="K227" i="216"/>
  <c r="K244" i="216"/>
  <c r="K66" i="216"/>
  <c r="K30" i="216"/>
  <c r="K26" i="216"/>
  <c r="K43" i="216"/>
  <c r="K53" i="216"/>
  <c r="K67" i="216"/>
  <c r="K31" i="216"/>
  <c r="K28" i="216"/>
  <c r="K36" i="216"/>
  <c r="K65" i="216"/>
  <c r="K73" i="216"/>
  <c r="K78" i="216"/>
  <c r="K83" i="216"/>
  <c r="K112" i="216"/>
  <c r="K130" i="216"/>
  <c r="K134" i="216"/>
  <c r="K137" i="216"/>
  <c r="K139" i="216"/>
  <c r="K148" i="216"/>
  <c r="K158" i="216"/>
  <c r="K165" i="216"/>
  <c r="K199" i="216"/>
  <c r="K215" i="216"/>
  <c r="K218" i="216"/>
  <c r="K37" i="216"/>
  <c r="K60" i="216"/>
  <c r="K79" i="216"/>
  <c r="K34" i="216"/>
  <c r="K47" i="216"/>
  <c r="K68" i="216"/>
  <c r="K81" i="216"/>
  <c r="K209" i="216"/>
  <c r="K45" i="223"/>
  <c r="K36" i="223"/>
  <c r="K57" i="223"/>
  <c r="K34" i="223"/>
  <c r="K53" i="223"/>
  <c r="K69" i="223"/>
  <c r="K82" i="223"/>
  <c r="K30" i="223"/>
  <c r="K35" i="223"/>
  <c r="K31" i="223"/>
  <c r="K42" i="223"/>
  <c r="K49" i="223"/>
  <c r="K65" i="223"/>
  <c r="K243" i="216"/>
  <c r="G17" i="217"/>
  <c r="G16" i="217" s="1"/>
  <c r="Q60" i="217" s="1"/>
  <c r="K197" i="217"/>
  <c r="K204" i="217"/>
  <c r="K209" i="217"/>
  <c r="K223" i="217"/>
  <c r="K227" i="217"/>
  <c r="K247" i="216"/>
  <c r="K251" i="216"/>
  <c r="K195" i="217"/>
  <c r="K220" i="217"/>
  <c r="K212" i="217"/>
  <c r="K217" i="217"/>
  <c r="K29" i="216"/>
  <c r="K46" i="216"/>
  <c r="K69" i="216"/>
  <c r="K77" i="216"/>
  <c r="K128" i="216"/>
  <c r="K160" i="216"/>
  <c r="K164" i="216"/>
  <c r="K208" i="216"/>
  <c r="K225" i="216"/>
  <c r="K198" i="217"/>
  <c r="K229" i="217"/>
  <c r="K233" i="217"/>
  <c r="K237" i="217"/>
  <c r="G17" i="216"/>
  <c r="G16" i="216" s="1"/>
  <c r="Q60" i="216" s="1"/>
  <c r="G101" i="216"/>
  <c r="G100" i="216" s="1"/>
  <c r="Q61" i="216" s="1"/>
  <c r="K203" i="216"/>
  <c r="K196" i="217"/>
  <c r="K203" i="217"/>
  <c r="K215" i="217"/>
  <c r="K219" i="217"/>
  <c r="K225" i="217"/>
  <c r="K58" i="216"/>
  <c r="K123" i="216"/>
  <c r="K140" i="216"/>
  <c r="K155" i="216"/>
  <c r="K240" i="216"/>
  <c r="K248" i="216"/>
  <c r="K75" i="217"/>
  <c r="K68" i="217"/>
  <c r="K60" i="217"/>
  <c r="K44" i="217"/>
  <c r="K33" i="217"/>
  <c r="K35" i="217"/>
  <c r="K45" i="217"/>
  <c r="K50" i="217"/>
  <c r="K67" i="217"/>
  <c r="K192" i="217"/>
  <c r="K244" i="217"/>
  <c r="K38" i="217"/>
  <c r="K54" i="217"/>
  <c r="K63" i="217"/>
  <c r="K65" i="217"/>
  <c r="K77" i="217"/>
  <c r="K142" i="217"/>
  <c r="K241" i="217"/>
  <c r="K249" i="217"/>
  <c r="K202" i="216"/>
  <c r="K51" i="217"/>
  <c r="K55" i="217"/>
  <c r="K134" i="217"/>
  <c r="K201" i="217"/>
  <c r="K205" i="217"/>
  <c r="K213" i="217"/>
  <c r="K221" i="217"/>
  <c r="K231" i="217"/>
  <c r="K235" i="217"/>
  <c r="K239" i="217"/>
  <c r="K247" i="217"/>
  <c r="K234" i="216"/>
  <c r="K32" i="217"/>
  <c r="K64" i="217"/>
  <c r="K66" i="217"/>
  <c r="K72" i="217"/>
  <c r="K111" i="217"/>
  <c r="K126" i="217"/>
  <c r="K158" i="217"/>
  <c r="K240" i="217"/>
  <c r="K242" i="217"/>
  <c r="K248" i="217"/>
  <c r="K216" i="216"/>
  <c r="K224" i="216"/>
  <c r="K250" i="216"/>
  <c r="K36" i="217"/>
  <c r="K57" i="217"/>
  <c r="K70" i="217"/>
  <c r="K157" i="217"/>
  <c r="K117" i="217"/>
  <c r="K149" i="217"/>
  <c r="G183" i="217"/>
  <c r="G182" i="217" s="1"/>
  <c r="Q62" i="217" s="1"/>
  <c r="K199" i="217"/>
  <c r="K208" i="217"/>
  <c r="K210" i="217"/>
  <c r="K216" i="217"/>
  <c r="K218" i="217"/>
  <c r="K224" i="217"/>
  <c r="K226" i="217"/>
  <c r="K228" i="217"/>
  <c r="K230" i="217"/>
  <c r="K234" i="217"/>
  <c r="K238" i="217"/>
  <c r="K246" i="217"/>
  <c r="K46" i="217"/>
  <c r="K52" i="217"/>
  <c r="K56" i="217"/>
  <c r="K58" i="217"/>
  <c r="G99" i="217"/>
  <c r="G98" i="217" s="1"/>
  <c r="Q61" i="217" s="1"/>
  <c r="K200" i="217"/>
  <c r="K202" i="217"/>
  <c r="K206" i="217"/>
  <c r="K214" i="217"/>
  <c r="K222" i="217"/>
  <c r="K39" i="223"/>
  <c r="G17" i="223"/>
  <c r="G16" i="223" s="1"/>
  <c r="Q60" i="223" s="1"/>
  <c r="K71" i="223"/>
  <c r="K40" i="223"/>
  <c r="K52" i="223"/>
  <c r="K62" i="223"/>
  <c r="K29" i="223"/>
  <c r="K38" i="223"/>
  <c r="K48" i="223"/>
  <c r="K56" i="223"/>
  <c r="K68" i="223"/>
  <c r="K81" i="223"/>
  <c r="K33" i="223"/>
  <c r="K44" i="223"/>
  <c r="K72" i="223"/>
  <c r="K73" i="223"/>
  <c r="K58" i="223"/>
  <c r="K46" i="223"/>
  <c r="K54" i="223"/>
  <c r="AK4" i="223"/>
  <c r="F3" i="223"/>
  <c r="K37" i="223"/>
  <c r="K50" i="223"/>
  <c r="K80" i="223"/>
  <c r="K28" i="223"/>
  <c r="K41" i="223"/>
  <c r="K77" i="223"/>
  <c r="K70" i="223"/>
  <c r="K64" i="223"/>
  <c r="K78" i="223"/>
  <c r="K66" i="223"/>
  <c r="K74" i="223"/>
  <c r="K60" i="223"/>
  <c r="K27" i="223"/>
  <c r="K26" i="223"/>
  <c r="K32" i="223"/>
  <c r="K47" i="223"/>
  <c r="K55" i="223"/>
  <c r="K61" i="223"/>
  <c r="K76" i="223"/>
  <c r="K43" i="223"/>
  <c r="K59" i="223"/>
  <c r="K67" i="223"/>
  <c r="K63" i="223"/>
  <c r="K83" i="223"/>
  <c r="K51" i="223"/>
  <c r="K75" i="223"/>
  <c r="K79" i="223"/>
  <c r="K112" i="217"/>
  <c r="K113" i="217"/>
  <c r="K124" i="217"/>
  <c r="K129" i="217"/>
  <c r="K139" i="217"/>
  <c r="K146" i="217"/>
  <c r="K156" i="217"/>
  <c r="K161" i="217"/>
  <c r="K78" i="217"/>
  <c r="K128" i="217"/>
  <c r="K143" i="217"/>
  <c r="K160" i="217"/>
  <c r="K122" i="217"/>
  <c r="K164" i="217"/>
  <c r="K114" i="217"/>
  <c r="K119" i="217"/>
  <c r="K123" i="217"/>
  <c r="K130" i="217"/>
  <c r="K140" i="217"/>
  <c r="K155" i="217"/>
  <c r="K162" i="217"/>
  <c r="K147" i="217"/>
  <c r="F3" i="217"/>
  <c r="F85" i="217" s="1"/>
  <c r="F169" i="217" s="1"/>
  <c r="K108" i="217"/>
  <c r="K127" i="217"/>
  <c r="K144" i="217"/>
  <c r="K159" i="217"/>
  <c r="K132" i="217"/>
  <c r="K154" i="217"/>
  <c r="K151" i="217"/>
  <c r="K74" i="217"/>
  <c r="K120" i="217"/>
  <c r="K121" i="217"/>
  <c r="K131" i="217"/>
  <c r="K148" i="217"/>
  <c r="K153" i="217"/>
  <c r="K163" i="217"/>
  <c r="K137" i="217"/>
  <c r="K116" i="217"/>
  <c r="K136" i="217"/>
  <c r="K135" i="217"/>
  <c r="K152" i="217"/>
  <c r="K197" i="216"/>
  <c r="K206" i="216"/>
  <c r="K213" i="216"/>
  <c r="K222" i="216"/>
  <c r="K229" i="216"/>
  <c r="K238" i="216"/>
  <c r="K245" i="216"/>
  <c r="G185" i="216"/>
  <c r="G184" i="216" s="1"/>
  <c r="Q62" i="216" s="1"/>
  <c r="K217" i="216"/>
  <c r="K233" i="216"/>
  <c r="K242" i="216"/>
  <c r="K201" i="216"/>
  <c r="K204" i="216"/>
  <c r="K226" i="216"/>
  <c r="K194" i="216"/>
  <c r="K210" i="216"/>
  <c r="K220" i="216"/>
  <c r="K249" i="216"/>
  <c r="K198" i="216"/>
  <c r="K205" i="216"/>
  <c r="K214" i="216"/>
  <c r="K221" i="216"/>
  <c r="K230" i="216"/>
  <c r="K237" i="216"/>
  <c r="K246" i="216"/>
  <c r="G15" i="208"/>
  <c r="R60" i="217" l="1"/>
  <c r="R61" i="217"/>
  <c r="R62" i="217"/>
  <c r="R61" i="216"/>
  <c r="R60" i="216"/>
  <c r="R62" i="216"/>
  <c r="R60" i="223"/>
  <c r="G20" i="208"/>
  <c r="G18" i="208"/>
  <c r="G19" i="208" s="1"/>
  <c r="R64" i="217" l="1"/>
  <c r="R65" i="217" s="1"/>
  <c r="R64" i="216"/>
  <c r="R65" i="216" s="1"/>
  <c r="G17" i="208"/>
  <c r="G16" i="208" s="1"/>
  <c r="F5" i="208"/>
  <c r="F4" i="208"/>
  <c r="B5" i="208"/>
  <c r="F3" i="208" s="1"/>
  <c r="N1" i="208"/>
  <c r="AK5" i="208"/>
  <c r="F6" i="208"/>
  <c r="F9" i="208"/>
  <c r="F10" i="208"/>
  <c r="F12" i="208"/>
  <c r="F26" i="208"/>
  <c r="J26" i="208" s="1"/>
  <c r="G26" i="208"/>
  <c r="L26" i="208" s="1"/>
  <c r="I26" i="208"/>
  <c r="F27" i="208"/>
  <c r="J27" i="208" s="1"/>
  <c r="G27" i="208"/>
  <c r="L27" i="208" s="1"/>
  <c r="I27" i="208"/>
  <c r="F28" i="208"/>
  <c r="J28" i="208" s="1"/>
  <c r="G28" i="208"/>
  <c r="L28" i="208" s="1"/>
  <c r="I28" i="208"/>
  <c r="F29" i="208"/>
  <c r="J29" i="208" s="1"/>
  <c r="G29" i="208"/>
  <c r="L29" i="208" s="1"/>
  <c r="I29" i="208"/>
  <c r="F30" i="208"/>
  <c r="J30" i="208" s="1"/>
  <c r="G30" i="208"/>
  <c r="L30" i="208" s="1"/>
  <c r="I30" i="208"/>
  <c r="F31" i="208"/>
  <c r="J31" i="208" s="1"/>
  <c r="G31" i="208"/>
  <c r="L31" i="208" s="1"/>
  <c r="I31" i="208"/>
  <c r="F32" i="208"/>
  <c r="J32" i="208" s="1"/>
  <c r="G32" i="208"/>
  <c r="L32" i="208" s="1"/>
  <c r="I32" i="208"/>
  <c r="F33" i="208"/>
  <c r="J33" i="208" s="1"/>
  <c r="G33" i="208"/>
  <c r="L33" i="208" s="1"/>
  <c r="I33" i="208"/>
  <c r="F34" i="208"/>
  <c r="J34" i="208" s="1"/>
  <c r="G34" i="208"/>
  <c r="L34" i="208" s="1"/>
  <c r="I34" i="208"/>
  <c r="F35" i="208"/>
  <c r="J35" i="208" s="1"/>
  <c r="G35" i="208"/>
  <c r="L35" i="208" s="1"/>
  <c r="I35" i="208"/>
  <c r="F36" i="208"/>
  <c r="J36" i="208" s="1"/>
  <c r="G36" i="208"/>
  <c r="L36" i="208" s="1"/>
  <c r="I36" i="208"/>
  <c r="F37" i="208"/>
  <c r="J37" i="208" s="1"/>
  <c r="G37" i="208"/>
  <c r="L37" i="208" s="1"/>
  <c r="I37" i="208"/>
  <c r="F38" i="208"/>
  <c r="J38" i="208" s="1"/>
  <c r="G38" i="208"/>
  <c r="L38" i="208" s="1"/>
  <c r="I38" i="208"/>
  <c r="F39" i="208"/>
  <c r="J39" i="208" s="1"/>
  <c r="G39" i="208"/>
  <c r="L39" i="208" s="1"/>
  <c r="I39" i="208"/>
  <c r="F40" i="208"/>
  <c r="J40" i="208" s="1"/>
  <c r="G40" i="208"/>
  <c r="L40" i="208" s="1"/>
  <c r="I40" i="208"/>
  <c r="F41" i="208"/>
  <c r="J41" i="208" s="1"/>
  <c r="G41" i="208"/>
  <c r="L41" i="208" s="1"/>
  <c r="I41" i="208"/>
  <c r="F42" i="208"/>
  <c r="J42" i="208" s="1"/>
  <c r="G42" i="208"/>
  <c r="L42" i="208" s="1"/>
  <c r="I42" i="208"/>
  <c r="F43" i="208"/>
  <c r="J43" i="208" s="1"/>
  <c r="G43" i="208"/>
  <c r="L43" i="208" s="1"/>
  <c r="I43" i="208"/>
  <c r="F44" i="208"/>
  <c r="J44" i="208" s="1"/>
  <c r="G44" i="208"/>
  <c r="L44" i="208" s="1"/>
  <c r="I44" i="208"/>
  <c r="F45" i="208"/>
  <c r="J45" i="208" s="1"/>
  <c r="G45" i="208"/>
  <c r="L45" i="208" s="1"/>
  <c r="I45" i="208"/>
  <c r="F46" i="208"/>
  <c r="J46" i="208" s="1"/>
  <c r="G46" i="208"/>
  <c r="L46" i="208" s="1"/>
  <c r="I46" i="208"/>
  <c r="F47" i="208"/>
  <c r="J47" i="208" s="1"/>
  <c r="G47" i="208"/>
  <c r="L47" i="208" s="1"/>
  <c r="I47" i="208"/>
  <c r="F48" i="208"/>
  <c r="J48" i="208" s="1"/>
  <c r="G48" i="208"/>
  <c r="L48" i="208" s="1"/>
  <c r="I48" i="208"/>
  <c r="F49" i="208"/>
  <c r="J49" i="208" s="1"/>
  <c r="G49" i="208"/>
  <c r="L49" i="208" s="1"/>
  <c r="I49" i="208"/>
  <c r="F50" i="208"/>
  <c r="J50" i="208" s="1"/>
  <c r="G50" i="208"/>
  <c r="L50" i="208" s="1"/>
  <c r="I50" i="208"/>
  <c r="F51" i="208"/>
  <c r="J51" i="208" s="1"/>
  <c r="G51" i="208"/>
  <c r="L51" i="208" s="1"/>
  <c r="I51" i="208"/>
  <c r="F52" i="208"/>
  <c r="J52" i="208" s="1"/>
  <c r="G52" i="208"/>
  <c r="L52" i="208" s="1"/>
  <c r="I52" i="208"/>
  <c r="F53" i="208"/>
  <c r="J53" i="208" s="1"/>
  <c r="G53" i="208"/>
  <c r="L53" i="208" s="1"/>
  <c r="I53" i="208"/>
  <c r="F54" i="208"/>
  <c r="J54" i="208" s="1"/>
  <c r="G54" i="208"/>
  <c r="L54" i="208" s="1"/>
  <c r="I54" i="208"/>
  <c r="F55" i="208"/>
  <c r="J55" i="208" s="1"/>
  <c r="G55" i="208"/>
  <c r="L55" i="208" s="1"/>
  <c r="I55" i="208"/>
  <c r="F56" i="208"/>
  <c r="J56" i="208" s="1"/>
  <c r="G56" i="208"/>
  <c r="L56" i="208" s="1"/>
  <c r="I56" i="208"/>
  <c r="F57" i="208"/>
  <c r="J57" i="208" s="1"/>
  <c r="G57" i="208"/>
  <c r="L57" i="208" s="1"/>
  <c r="I57" i="208"/>
  <c r="F58" i="208"/>
  <c r="J58" i="208" s="1"/>
  <c r="G58" i="208"/>
  <c r="L58" i="208" s="1"/>
  <c r="I58" i="208"/>
  <c r="F59" i="208"/>
  <c r="J59" i="208" s="1"/>
  <c r="G59" i="208"/>
  <c r="L59" i="208" s="1"/>
  <c r="I59" i="208"/>
  <c r="F60" i="208"/>
  <c r="J60" i="208" s="1"/>
  <c r="G60" i="208"/>
  <c r="L60" i="208" s="1"/>
  <c r="I60" i="208"/>
  <c r="F61" i="208"/>
  <c r="J61" i="208" s="1"/>
  <c r="G61" i="208"/>
  <c r="L61" i="208" s="1"/>
  <c r="I61" i="208"/>
  <c r="F62" i="208"/>
  <c r="J62" i="208" s="1"/>
  <c r="G62" i="208"/>
  <c r="L62" i="208" s="1"/>
  <c r="I62" i="208"/>
  <c r="F63" i="208"/>
  <c r="J63" i="208" s="1"/>
  <c r="G63" i="208"/>
  <c r="L63" i="208" s="1"/>
  <c r="I63" i="208"/>
  <c r="F64" i="208"/>
  <c r="J64" i="208" s="1"/>
  <c r="G64" i="208"/>
  <c r="L64" i="208" s="1"/>
  <c r="I64" i="208"/>
  <c r="F65" i="208"/>
  <c r="J65" i="208" s="1"/>
  <c r="G65" i="208"/>
  <c r="L65" i="208" s="1"/>
  <c r="I65" i="208"/>
  <c r="F66" i="208"/>
  <c r="J66" i="208" s="1"/>
  <c r="G66" i="208"/>
  <c r="L66" i="208" s="1"/>
  <c r="I66" i="208"/>
  <c r="F67" i="208"/>
  <c r="J67" i="208" s="1"/>
  <c r="G67" i="208"/>
  <c r="L67" i="208" s="1"/>
  <c r="I67" i="208"/>
  <c r="F68" i="208"/>
  <c r="J68" i="208" s="1"/>
  <c r="G68" i="208"/>
  <c r="L68" i="208" s="1"/>
  <c r="I68" i="208"/>
  <c r="F69" i="208"/>
  <c r="J69" i="208" s="1"/>
  <c r="G69" i="208"/>
  <c r="L69" i="208" s="1"/>
  <c r="I69" i="208"/>
  <c r="F70" i="208"/>
  <c r="J70" i="208" s="1"/>
  <c r="G70" i="208"/>
  <c r="L70" i="208" s="1"/>
  <c r="I70" i="208"/>
  <c r="F71" i="208"/>
  <c r="J71" i="208" s="1"/>
  <c r="G71" i="208"/>
  <c r="L71" i="208" s="1"/>
  <c r="I71" i="208"/>
  <c r="F72" i="208"/>
  <c r="J72" i="208" s="1"/>
  <c r="G72" i="208"/>
  <c r="L72" i="208" s="1"/>
  <c r="I72" i="208"/>
  <c r="F73" i="208"/>
  <c r="J73" i="208" s="1"/>
  <c r="G73" i="208"/>
  <c r="L73" i="208" s="1"/>
  <c r="I73" i="208"/>
  <c r="F74" i="208"/>
  <c r="J74" i="208" s="1"/>
  <c r="G74" i="208"/>
  <c r="L74" i="208" s="1"/>
  <c r="I74" i="208"/>
  <c r="F75" i="208"/>
  <c r="J75" i="208" s="1"/>
  <c r="G75" i="208"/>
  <c r="L75" i="208" s="1"/>
  <c r="I75" i="208"/>
  <c r="F76" i="208"/>
  <c r="J76" i="208" s="1"/>
  <c r="G76" i="208"/>
  <c r="L76" i="208" s="1"/>
  <c r="I76" i="208"/>
  <c r="F77" i="208"/>
  <c r="J77" i="208" s="1"/>
  <c r="G77" i="208"/>
  <c r="L77" i="208" s="1"/>
  <c r="I77" i="208"/>
  <c r="F78" i="208"/>
  <c r="J78" i="208" s="1"/>
  <c r="G78" i="208"/>
  <c r="L78" i="208" s="1"/>
  <c r="I78" i="208"/>
  <c r="F79" i="208"/>
  <c r="J79" i="208" s="1"/>
  <c r="G79" i="208"/>
  <c r="L79" i="208" s="1"/>
  <c r="I79" i="208"/>
  <c r="F80" i="208"/>
  <c r="J80" i="208" s="1"/>
  <c r="G80" i="208"/>
  <c r="L80" i="208" s="1"/>
  <c r="I80" i="208"/>
  <c r="F81" i="208"/>
  <c r="J81" i="208" s="1"/>
  <c r="G81" i="208"/>
  <c r="L81" i="208" s="1"/>
  <c r="I81" i="208"/>
  <c r="F82" i="208"/>
  <c r="J82" i="208" s="1"/>
  <c r="G82" i="208"/>
  <c r="L82" i="208" s="1"/>
  <c r="I82" i="208"/>
  <c r="F83" i="208"/>
  <c r="J83" i="208" s="1"/>
  <c r="G83" i="208"/>
  <c r="L83" i="208" s="1"/>
  <c r="I83" i="208"/>
  <c r="K70" i="208" l="1"/>
  <c r="K61" i="208"/>
  <c r="K45" i="208"/>
  <c r="K29" i="208"/>
  <c r="K78" i="208"/>
  <c r="K63" i="208"/>
  <c r="K82" i="208"/>
  <c r="K74" i="208"/>
  <c r="K66" i="208"/>
  <c r="K64" i="208"/>
  <c r="K62" i="208"/>
  <c r="K57" i="208"/>
  <c r="K41" i="208"/>
  <c r="K65" i="208"/>
  <c r="K58" i="208"/>
  <c r="K54" i="208"/>
  <c r="K50" i="208"/>
  <c r="K46" i="208"/>
  <c r="K42" i="208"/>
  <c r="K38" i="208"/>
  <c r="K34" i="208"/>
  <c r="K30" i="208"/>
  <c r="K26" i="208"/>
  <c r="K76" i="208"/>
  <c r="K72" i="208"/>
  <c r="K81" i="208"/>
  <c r="K69" i="208"/>
  <c r="K52" i="208"/>
  <c r="K48" i="208"/>
  <c r="K36" i="208"/>
  <c r="K32" i="208"/>
  <c r="AK4" i="208"/>
  <c r="Q60" i="208"/>
  <c r="K77" i="208"/>
  <c r="K68" i="208"/>
  <c r="K60" i="208"/>
  <c r="K53" i="208"/>
  <c r="K44" i="208"/>
  <c r="K37" i="208"/>
  <c r="K28" i="208"/>
  <c r="K80" i="208"/>
  <c r="K73" i="208"/>
  <c r="K56" i="208"/>
  <c r="K49" i="208"/>
  <c r="K40" i="208"/>
  <c r="K33" i="208"/>
  <c r="K83" i="208"/>
  <c r="K79" i="208"/>
  <c r="K75" i="208"/>
  <c r="K71" i="208"/>
  <c r="K67" i="208"/>
  <c r="K59" i="208"/>
  <c r="K55" i="208"/>
  <c r="K51" i="208"/>
  <c r="K47" i="208"/>
  <c r="K43" i="208"/>
  <c r="K39" i="208"/>
  <c r="K35" i="208"/>
  <c r="K31" i="208"/>
  <c r="K27" i="208"/>
  <c r="R60" i="208" l="1"/>
</calcChain>
</file>

<file path=xl/sharedStrings.xml><?xml version="1.0" encoding="utf-8"?>
<sst xmlns="http://schemas.openxmlformats.org/spreadsheetml/2006/main" count="613" uniqueCount="82">
  <si>
    <t>Proyecto</t>
  </si>
  <si>
    <t>Orden de Trabajo</t>
  </si>
  <si>
    <t>Referencias</t>
  </si>
  <si>
    <t>Tipo de Roca</t>
  </si>
  <si>
    <t>Fracturas / Vetillas</t>
  </si>
  <si>
    <t>Alteraciones</t>
  </si>
  <si>
    <t>Nº INFORME</t>
  </si>
  <si>
    <t>CANTIDAD DE HOJAS (01 HASTA 30)</t>
  </si>
  <si>
    <t>Hoja Nº</t>
  </si>
  <si>
    <t>Nombre Hoja</t>
  </si>
  <si>
    <t>PROYECTO</t>
  </si>
  <si>
    <t>MUESTRA</t>
  </si>
  <si>
    <t>[mm]</t>
  </si>
  <si>
    <t>Fuerza</t>
  </si>
  <si>
    <t>[kg/cm²]</t>
  </si>
  <si>
    <t>ALTERACIONES</t>
  </si>
  <si>
    <t>FRAC./VETILL.</t>
  </si>
  <si>
    <t>TIPO DE ROCA</t>
  </si>
  <si>
    <t>[Divisiones]</t>
  </si>
  <si>
    <t>Vertical</t>
  </si>
  <si>
    <t>de Corte</t>
  </si>
  <si>
    <t>Horizontal</t>
  </si>
  <si>
    <t>Desplazamiento</t>
  </si>
  <si>
    <t>Tensión</t>
  </si>
  <si>
    <t>Presión Manom.</t>
  </si>
  <si>
    <t>Ensayo Tensión Normal Nº3</t>
  </si>
  <si>
    <t>Presión manométrica</t>
  </si>
  <si>
    <t>[cm²]</t>
  </si>
  <si>
    <t>Área pistón de carga</t>
  </si>
  <si>
    <t>[cm]</t>
  </si>
  <si>
    <t>Diámetro pistón de carga</t>
  </si>
  <si>
    <t>[kgf]</t>
  </si>
  <si>
    <t>Fuerza de carga normal</t>
  </si>
  <si>
    <t>Tensión Normal</t>
  </si>
  <si>
    <t>Área muestra menor</t>
  </si>
  <si>
    <t>Datos Tensión Normal Nº3</t>
  </si>
  <si>
    <t xml:space="preserve">Muestra    </t>
  </si>
  <si>
    <t>Fecha Término</t>
  </si>
  <si>
    <t>Fecha Inicio</t>
  </si>
  <si>
    <t>Nº Informe</t>
  </si>
  <si>
    <t>Ensayo Tensión Normal Nº2</t>
  </si>
  <si>
    <t>Datos Tensión Normal Nº2</t>
  </si>
  <si>
    <t>Φ</t>
  </si>
  <si>
    <t>Pendiente</t>
  </si>
  <si>
    <t>kg/cm²</t>
  </si>
  <si>
    <t>Corte máx..</t>
  </si>
  <si>
    <t>Normal</t>
  </si>
  <si>
    <t>Ensayo Tensión Normal Nº1</t>
  </si>
  <si>
    <t>Datos Tensión Normal Nº1</t>
  </si>
  <si>
    <t>AREA MENOR</t>
  </si>
  <si>
    <t>FECHA</t>
  </si>
  <si>
    <t>CAMBIAR NOMBRES DE GRAFICOS</t>
  </si>
  <si>
    <t>FOTOGRAFIAS</t>
  </si>
  <si>
    <t>AGREGAR FOTOGRAFIAS (33% VGA).</t>
  </si>
  <si>
    <t>ENSAYO DE CORTE DIRECTO PARA DISCONTINUIDADES ARTIFICIALES EN ROCAS</t>
  </si>
  <si>
    <t>ASTM D 4543-08 - Standard Practices for Preparing Rock Core as Cylindrical Test Specimens and Verifyng Conformance to Dimensional and Shape Tolerances.</t>
  </si>
  <si>
    <t xml:space="preserve">CAMBIAR VALORES EN VERDE. </t>
  </si>
  <si>
    <t>ASTM D 5607-16 - Standard Test Method for Performing Laboratory Direc Shear Strength Test of Rock Specimens Under Constant Normal Force</t>
  </si>
  <si>
    <r>
      <t>cm</t>
    </r>
    <r>
      <rPr>
        <vertAlign val="superscript"/>
        <sz val="8"/>
        <rFont val="Arial"/>
        <family val="2"/>
      </rPr>
      <t>2</t>
    </r>
  </si>
  <si>
    <t>TENSION NORMAL [MPa]</t>
  </si>
  <si>
    <t>Presión pistón de carga</t>
  </si>
  <si>
    <t>[psi]</t>
  </si>
  <si>
    <t>C1BH-L12-L10-3+780-D</t>
  </si>
  <si>
    <t xml:space="preserve">C1BH-L12-L10-3+780-D (23,40-23,50) 	</t>
  </si>
  <si>
    <t>Toba Lítica</t>
  </si>
  <si>
    <t>Óxidos de hierro</t>
  </si>
  <si>
    <t>Toba lítica</t>
  </si>
  <si>
    <t>Zeolitas</t>
  </si>
  <si>
    <t>Oxidación y zeolitización</t>
  </si>
  <si>
    <t>1.914.650-G</t>
  </si>
  <si>
    <t>-</t>
  </si>
  <si>
    <t>C1BH-L12-L10-3+780-D (22,50-22,82)</t>
  </si>
  <si>
    <t>Óxidos de hierro y zeolitas</t>
  </si>
  <si>
    <t>C1BH-L12-L10-3+780-D (25,8-25,16)</t>
  </si>
  <si>
    <t>Lapillita lítica</t>
  </si>
  <si>
    <t>Zeolitización y oxidación</t>
  </si>
  <si>
    <t xml:space="preserve">Toba lítica </t>
  </si>
  <si>
    <t>C1BH-L12-L10-3+780-D (44,10-44,30)</t>
  </si>
  <si>
    <t>Observaciones</t>
  </si>
  <si>
    <t>a. Ensayo ejecutado sobre una estructura cerrada.</t>
  </si>
  <si>
    <t>b. Durante la ejecución del primer ciclo se rompen la muestra y el molde, por lo que no es posible continuar con el ensayo.</t>
  </si>
  <si>
    <t>c. No es posible estimar pendiente ni ángulo Φ.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</si>
</sst>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6" formatCode="dd/mm/yyyy;@"/>
  </numFmts>
  <fonts count="18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9"/>
      <name val="Times New Roman"/>
      <family val="1"/>
    </font>
    <font>
      <b/>
      <u/>
      <sz val="8.5"/>
      <name val="Arial"/>
      <family val="2"/>
    </font>
    <font>
      <sz val="8"/>
      <color indexed="10"/>
      <name val="Arial"/>
      <family val="2"/>
    </font>
    <font>
      <sz val="8"/>
      <color theme="0"/>
      <name val="Arial"/>
      <family val="2"/>
    </font>
    <font>
      <b/>
      <sz val="8.5"/>
      <name val="Arial"/>
      <family val="2"/>
    </font>
    <font>
      <b/>
      <sz val="8"/>
      <color theme="0"/>
      <name val="Arial"/>
      <family val="2"/>
    </font>
    <font>
      <b/>
      <sz val="8"/>
      <color indexed="10"/>
      <name val="Arial"/>
      <family val="2"/>
    </font>
    <font>
      <vertAlign val="superscript"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/>
  </cellStyleXfs>
  <cellXfs count="103">
    <xf numFmtId="0" fontId="0" fillId="0" borderId="0" xfId="0"/>
    <xf numFmtId="0" fontId="2" fillId="0" borderId="13" xfId="0" applyFont="1" applyFill="1" applyBorder="1" applyAlignment="1" applyProtection="1">
      <alignment horizontal="left" vertical="center"/>
    </xf>
    <xf numFmtId="0" fontId="4" fillId="2" borderId="4" xfId="0" applyNumberFormat="1" applyFont="1" applyFill="1" applyBorder="1" applyAlignment="1" applyProtection="1">
      <alignment vertical="center"/>
    </xf>
    <xf numFmtId="0" fontId="4" fillId="2" borderId="2" xfId="0" applyNumberFormat="1" applyFont="1" applyFill="1" applyBorder="1" applyAlignment="1" applyProtection="1">
      <alignment vertical="center"/>
    </xf>
    <xf numFmtId="0" fontId="4" fillId="2" borderId="3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4" fillId="4" borderId="6" xfId="1" applyFont="1" applyFill="1" applyBorder="1" applyAlignment="1" applyProtection="1">
      <alignment horizontal="left" vertical="center"/>
    </xf>
    <xf numFmtId="0" fontId="9" fillId="4" borderId="6" xfId="1" applyFont="1" applyFill="1" applyBorder="1" applyAlignment="1" applyProtection="1">
      <alignment horizontal="left" vertical="center"/>
    </xf>
    <xf numFmtId="0" fontId="9" fillId="4" borderId="6" xfId="1" quotePrefix="1" applyFont="1" applyFill="1" applyBorder="1" applyAlignment="1" applyProtection="1">
      <alignment horizontal="left" vertical="center"/>
    </xf>
    <xf numFmtId="164" fontId="7" fillId="4" borderId="6" xfId="1" applyNumberFormat="1" applyFont="1" applyFill="1" applyBorder="1" applyAlignment="1" applyProtection="1">
      <alignment horizontal="center"/>
    </xf>
    <xf numFmtId="0" fontId="7" fillId="4" borderId="6" xfId="1" applyFont="1" applyFill="1" applyBorder="1" applyAlignment="1" applyProtection="1">
      <alignment horizontal="center"/>
    </xf>
    <xf numFmtId="0" fontId="4" fillId="4" borderId="4" xfId="1" applyNumberFormat="1" applyFont="1" applyFill="1" applyBorder="1" applyAlignment="1" applyProtection="1">
      <alignment horizontal="left" vertical="center" indent="1"/>
    </xf>
    <xf numFmtId="0" fontId="7" fillId="4" borderId="0" xfId="1" applyFont="1" applyFill="1" applyProtection="1"/>
    <xf numFmtId="0" fontId="4" fillId="4" borderId="13" xfId="1" applyFont="1" applyFill="1" applyBorder="1" applyAlignment="1" applyProtection="1">
      <alignment horizontal="left" vertical="center" indent="1"/>
    </xf>
    <xf numFmtId="0" fontId="7" fillId="4" borderId="1" xfId="1" applyFont="1" applyFill="1" applyBorder="1" applyAlignment="1" applyProtection="1">
      <alignment vertical="center"/>
    </xf>
    <xf numFmtId="0" fontId="7" fillId="4" borderId="14" xfId="1" applyFont="1" applyFill="1" applyBorder="1" applyAlignment="1" applyProtection="1">
      <alignment vertical="center"/>
    </xf>
    <xf numFmtId="0" fontId="4" fillId="4" borderId="4" xfId="1" applyFont="1" applyFill="1" applyBorder="1" applyAlignment="1" applyProtection="1">
      <alignment horizontal="left" vertical="center" indent="1"/>
    </xf>
    <xf numFmtId="0" fontId="7" fillId="4" borderId="2" xfId="1" applyFont="1" applyFill="1" applyBorder="1" applyAlignment="1" applyProtection="1">
      <alignment vertical="center"/>
    </xf>
    <xf numFmtId="0" fontId="7" fillId="4" borderId="3" xfId="1" applyFont="1" applyFill="1" applyBorder="1" applyAlignment="1" applyProtection="1">
      <alignment vertical="center"/>
    </xf>
    <xf numFmtId="0" fontId="9" fillId="4" borderId="6" xfId="1" applyFont="1" applyFill="1" applyBorder="1" applyAlignment="1" applyProtection="1">
      <alignment vertical="center"/>
    </xf>
    <xf numFmtId="0" fontId="7" fillId="4" borderId="5" xfId="1" applyFont="1" applyFill="1" applyBorder="1" applyAlignment="1" applyProtection="1">
      <alignment vertical="center"/>
    </xf>
    <xf numFmtId="0" fontId="7" fillId="4" borderId="10" xfId="1" applyFont="1" applyFill="1" applyBorder="1" applyAlignment="1" applyProtection="1">
      <alignment vertical="center"/>
    </xf>
    <xf numFmtId="0" fontId="7" fillId="4" borderId="0" xfId="1" applyFont="1" applyFill="1" applyAlignment="1" applyProtection="1">
      <alignment vertical="center"/>
    </xf>
    <xf numFmtId="0" fontId="4" fillId="4" borderId="0" xfId="1" applyFont="1" applyFill="1" applyAlignment="1" applyProtection="1">
      <alignment horizontal="left" vertical="center" indent="1"/>
    </xf>
    <xf numFmtId="0" fontId="7" fillId="4" borderId="2" xfId="1" applyFont="1" applyFill="1" applyBorder="1" applyProtection="1"/>
    <xf numFmtId="0" fontId="7" fillId="4" borderId="3" xfId="1" applyFont="1" applyFill="1" applyBorder="1" applyProtection="1"/>
    <xf numFmtId="0" fontId="14" fillId="4" borderId="6" xfId="1" applyFont="1" applyFill="1" applyBorder="1" applyAlignment="1" applyProtection="1">
      <alignment vertical="center"/>
    </xf>
    <xf numFmtId="0" fontId="9" fillId="4" borderId="0" xfId="1" quotePrefix="1" applyFont="1" applyFill="1" applyAlignment="1" applyProtection="1">
      <alignment horizontal="left" vertical="center"/>
    </xf>
    <xf numFmtId="0" fontId="7" fillId="4" borderId="4" xfId="1" applyFont="1" applyFill="1" applyBorder="1" applyAlignment="1" applyProtection="1">
      <alignment horizontal="left" vertical="center"/>
    </xf>
    <xf numFmtId="0" fontId="7" fillId="4" borderId="3" xfId="1" applyFont="1" applyFill="1" applyBorder="1" applyAlignment="1" applyProtection="1">
      <alignment horizontal="right" vertical="center"/>
    </xf>
    <xf numFmtId="2" fontId="7" fillId="4" borderId="3" xfId="1" applyNumberFormat="1" applyFont="1" applyFill="1" applyBorder="1" applyAlignment="1" applyProtection="1">
      <alignment vertical="center"/>
    </xf>
    <xf numFmtId="164" fontId="7" fillId="4" borderId="0" xfId="1" applyNumberFormat="1" applyFont="1" applyFill="1" applyProtection="1"/>
    <xf numFmtId="0" fontId="7" fillId="4" borderId="7" xfId="1" quotePrefix="1" applyFont="1" applyFill="1" applyBorder="1" applyAlignment="1" applyProtection="1">
      <alignment horizontal="left" vertical="center"/>
    </xf>
    <xf numFmtId="0" fontId="7" fillId="4" borderId="10" xfId="1" applyFont="1" applyFill="1" applyBorder="1" applyAlignment="1" applyProtection="1">
      <alignment horizontal="right" vertical="center"/>
    </xf>
    <xf numFmtId="2" fontId="7" fillId="4" borderId="6" xfId="1" applyNumberFormat="1" applyFont="1" applyFill="1" applyBorder="1" applyAlignment="1" applyProtection="1">
      <alignment vertical="center"/>
    </xf>
    <xf numFmtId="0" fontId="13" fillId="4" borderId="0" xfId="1" applyFont="1" applyFill="1" applyAlignment="1" applyProtection="1"/>
    <xf numFmtId="0" fontId="7" fillId="4" borderId="0" xfId="1" applyFont="1" applyFill="1" applyAlignment="1" applyProtection="1"/>
    <xf numFmtId="0" fontId="7" fillId="4" borderId="0" xfId="1" quotePrefix="1" applyFont="1" applyFill="1" applyAlignment="1" applyProtection="1">
      <alignment horizontal="left"/>
    </xf>
    <xf numFmtId="0" fontId="9" fillId="4" borderId="0" xfId="1" applyFont="1" applyFill="1" applyBorder="1" applyAlignment="1" applyProtection="1">
      <alignment horizontal="left"/>
    </xf>
    <xf numFmtId="0" fontId="7" fillId="4" borderId="9" xfId="1" applyFont="1" applyFill="1" applyBorder="1" applyAlignment="1" applyProtection="1">
      <alignment horizontal="center"/>
    </xf>
    <xf numFmtId="0" fontId="7" fillId="4" borderId="9" xfId="1" quotePrefix="1" applyFont="1" applyFill="1" applyBorder="1" applyAlignment="1" applyProtection="1">
      <alignment horizontal="center"/>
    </xf>
    <xf numFmtId="0" fontId="7" fillId="4" borderId="15" xfId="1" applyFont="1" applyFill="1" applyBorder="1" applyAlignment="1" applyProtection="1">
      <alignment horizontal="center"/>
    </xf>
    <xf numFmtId="0" fontId="7" fillId="4" borderId="12" xfId="1" applyFont="1" applyFill="1" applyBorder="1" applyAlignment="1" applyProtection="1">
      <alignment horizontal="center"/>
    </xf>
    <xf numFmtId="2" fontId="7" fillId="4" borderId="6" xfId="1" applyNumberFormat="1" applyFont="1" applyFill="1" applyBorder="1" applyAlignment="1" applyProtection="1">
      <alignment horizontal="center" vertical="center"/>
    </xf>
    <xf numFmtId="0" fontId="7" fillId="4" borderId="15" xfId="1" applyFont="1" applyFill="1" applyBorder="1" applyAlignment="1" applyProtection="1">
      <alignment horizontal="center" vertical="center"/>
    </xf>
    <xf numFmtId="0" fontId="7" fillId="4" borderId="4" xfId="1" quotePrefix="1" applyFont="1" applyFill="1" applyBorder="1" applyAlignment="1" applyProtection="1">
      <alignment horizontal="left" vertical="center"/>
    </xf>
    <xf numFmtId="0" fontId="7" fillId="4" borderId="0" xfId="1" applyFont="1" applyFill="1" applyBorder="1" applyProtection="1"/>
    <xf numFmtId="2" fontId="7" fillId="4" borderId="0" xfId="1" applyNumberFormat="1" applyFont="1" applyFill="1" applyAlignment="1" applyProtection="1"/>
    <xf numFmtId="0" fontId="11" fillId="0" borderId="0" xfId="1" applyFont="1" applyFill="1" applyProtection="1"/>
    <xf numFmtId="0" fontId="7" fillId="4" borderId="0" xfId="1" applyFont="1" applyFill="1" applyProtection="1">
      <protection locked="0"/>
    </xf>
    <xf numFmtId="0" fontId="7" fillId="4" borderId="9" xfId="1" applyFont="1" applyFill="1" applyBorder="1" applyAlignment="1" applyProtection="1">
      <alignment horizontal="center"/>
      <protection locked="0"/>
    </xf>
    <xf numFmtId="0" fontId="7" fillId="4" borderId="9" xfId="1" quotePrefix="1" applyFont="1" applyFill="1" applyBorder="1" applyAlignment="1" applyProtection="1">
      <alignment horizontal="center"/>
      <protection locked="0"/>
    </xf>
    <xf numFmtId="0" fontId="7" fillId="4" borderId="15" xfId="1" applyFont="1" applyFill="1" applyBorder="1" applyAlignment="1" applyProtection="1">
      <alignment horizontal="center"/>
      <protection locked="0"/>
    </xf>
    <xf numFmtId="0" fontId="7" fillId="4" borderId="12" xfId="1" applyFont="1" applyFill="1" applyBorder="1" applyAlignment="1" applyProtection="1">
      <alignment horizontal="center"/>
      <protection locked="0"/>
    </xf>
    <xf numFmtId="0" fontId="7" fillId="4" borderId="0" xfId="1" applyFont="1" applyFill="1" applyBorder="1" applyProtection="1">
      <protection locked="0"/>
    </xf>
    <xf numFmtId="0" fontId="16" fillId="4" borderId="13" xfId="1" applyFont="1" applyFill="1" applyBorder="1" applyProtection="1">
      <protection locked="0"/>
    </xf>
    <xf numFmtId="0" fontId="16" fillId="4" borderId="1" xfId="1" applyFont="1" applyFill="1" applyBorder="1" applyProtection="1">
      <protection locked="0"/>
    </xf>
    <xf numFmtId="0" fontId="16" fillId="4" borderId="14" xfId="1" applyFont="1" applyFill="1" applyBorder="1" applyProtection="1">
      <protection locked="0"/>
    </xf>
    <xf numFmtId="0" fontId="7" fillId="4" borderId="0" xfId="1" applyFont="1" applyFill="1" applyBorder="1" applyAlignment="1" applyProtection="1">
      <protection locked="0"/>
    </xf>
    <xf numFmtId="0" fontId="10" fillId="4" borderId="0" xfId="1" applyFill="1" applyProtection="1">
      <protection locked="0"/>
    </xf>
    <xf numFmtId="0" fontId="16" fillId="4" borderId="8" xfId="1" applyFont="1" applyFill="1" applyBorder="1" applyProtection="1">
      <protection locked="0"/>
    </xf>
    <xf numFmtId="0" fontId="16" fillId="4" borderId="0" xfId="1" applyFont="1" applyFill="1" applyBorder="1" applyProtection="1">
      <protection locked="0"/>
    </xf>
    <xf numFmtId="0" fontId="16" fillId="4" borderId="11" xfId="1" applyFont="1" applyFill="1" applyBorder="1" applyProtection="1">
      <protection locked="0"/>
    </xf>
    <xf numFmtId="0" fontId="16" fillId="4" borderId="7" xfId="1" applyFont="1" applyFill="1" applyBorder="1" applyProtection="1">
      <protection locked="0"/>
    </xf>
    <xf numFmtId="0" fontId="16" fillId="4" borderId="5" xfId="1" applyFont="1" applyFill="1" applyBorder="1" applyProtection="1">
      <protection locked="0"/>
    </xf>
    <xf numFmtId="0" fontId="16" fillId="4" borderId="10" xfId="1" applyFont="1" applyFill="1" applyBorder="1" applyProtection="1">
      <protection locked="0"/>
    </xf>
    <xf numFmtId="0" fontId="15" fillId="4" borderId="0" xfId="1" applyFont="1" applyFill="1" applyBorder="1" applyAlignment="1" applyProtection="1">
      <protection locked="0"/>
    </xf>
    <xf numFmtId="0" fontId="9" fillId="4" borderId="0" xfId="1" applyFont="1" applyFill="1" applyBorder="1" applyAlignment="1" applyProtection="1">
      <protection locked="0"/>
    </xf>
    <xf numFmtId="0" fontId="7" fillId="3" borderId="6" xfId="1" applyFont="1" applyFill="1" applyBorder="1" applyProtection="1">
      <protection locked="0"/>
    </xf>
    <xf numFmtId="0" fontId="12" fillId="3" borderId="6" xfId="1" applyFont="1" applyFill="1" applyBorder="1" applyProtection="1">
      <protection locked="0"/>
    </xf>
    <xf numFmtId="0" fontId="3" fillId="4" borderId="0" xfId="1" applyFont="1" applyFill="1" applyProtection="1">
      <protection locked="0"/>
    </xf>
    <xf numFmtId="0" fontId="10" fillId="4" borderId="0" xfId="1" applyFill="1" applyBorder="1" applyProtection="1">
      <protection locked="0"/>
    </xf>
    <xf numFmtId="0" fontId="12" fillId="4" borderId="0" xfId="1" applyFont="1" applyFill="1" applyBorder="1" applyAlignment="1" applyProtection="1">
      <alignment horizontal="left"/>
      <protection locked="0"/>
    </xf>
    <xf numFmtId="0" fontId="7" fillId="4" borderId="0" xfId="1" applyFont="1" applyFill="1" applyBorder="1" applyAlignment="1" applyProtection="1">
      <alignment horizontal="center"/>
      <protection locked="0"/>
    </xf>
    <xf numFmtId="0" fontId="7" fillId="4" borderId="6" xfId="1" applyFont="1" applyFill="1" applyBorder="1" applyAlignment="1" applyProtection="1">
      <alignment horizontal="center"/>
      <protection locked="0"/>
    </xf>
    <xf numFmtId="0" fontId="7" fillId="4" borderId="0" xfId="1" applyFont="1" applyFill="1" applyAlignment="1" applyProtection="1">
      <alignment horizontal="right"/>
      <protection locked="0"/>
    </xf>
    <xf numFmtId="0" fontId="9" fillId="4" borderId="0" xfId="1" quotePrefix="1" applyFont="1" applyFill="1" applyBorder="1" applyAlignment="1" applyProtection="1">
      <alignment horizontal="left" vertical="center"/>
      <protection locked="0"/>
    </xf>
    <xf numFmtId="0" fontId="7" fillId="4" borderId="0" xfId="1" applyFont="1" applyFill="1" applyBorder="1" applyAlignment="1" applyProtection="1">
      <alignment horizontal="left" vertical="center" indent="1"/>
      <protection locked="0"/>
    </xf>
    <xf numFmtId="0" fontId="7" fillId="4" borderId="0" xfId="1" applyFont="1" applyFill="1" applyBorder="1" applyAlignment="1" applyProtection="1">
      <alignment vertical="center"/>
      <protection locked="0"/>
    </xf>
    <xf numFmtId="0" fontId="9" fillId="4" borderId="0" xfId="1" applyFont="1" applyFill="1" applyBorder="1" applyAlignment="1" applyProtection="1">
      <alignment vertical="center"/>
      <protection locked="0"/>
    </xf>
    <xf numFmtId="14" fontId="7" fillId="4" borderId="0" xfId="1" applyNumberFormat="1" applyFont="1" applyFill="1" applyBorder="1" applyAlignment="1" applyProtection="1">
      <alignment horizontal="left" vertical="center" indent="1"/>
      <protection locked="0"/>
    </xf>
    <xf numFmtId="0" fontId="7" fillId="4" borderId="13" xfId="1" applyFont="1" applyFill="1" applyBorder="1" applyAlignment="1" applyProtection="1">
      <alignment horizontal="center"/>
    </xf>
    <xf numFmtId="0" fontId="7" fillId="4" borderId="8" xfId="1" applyFont="1" applyFill="1" applyBorder="1" applyAlignment="1" applyProtection="1">
      <alignment horizontal="center"/>
    </xf>
    <xf numFmtId="0" fontId="7" fillId="4" borderId="7" xfId="1" applyFont="1" applyFill="1" applyBorder="1" applyAlignment="1" applyProtection="1">
      <alignment horizontal="center"/>
    </xf>
    <xf numFmtId="164" fontId="7" fillId="4" borderId="12" xfId="1" applyNumberFormat="1" applyFont="1" applyFill="1" applyBorder="1" applyAlignment="1" applyProtection="1">
      <alignment horizontal="center"/>
    </xf>
    <xf numFmtId="2" fontId="7" fillId="4" borderId="6" xfId="1" applyNumberFormat="1" applyFont="1" applyFill="1" applyBorder="1" applyAlignment="1" applyProtection="1">
      <alignment horizontal="center"/>
    </xf>
    <xf numFmtId="0" fontId="5" fillId="2" borderId="6" xfId="0" applyFont="1" applyFill="1" applyBorder="1" applyAlignment="1" applyProtection="1">
      <alignment horizontal="center" vertical="center" wrapText="1"/>
    </xf>
    <xf numFmtId="16" fontId="12" fillId="3" borderId="6" xfId="1" applyNumberFormat="1" applyFont="1" applyFill="1" applyBorder="1" applyProtection="1">
      <protection locked="0"/>
    </xf>
    <xf numFmtId="0" fontId="8" fillId="4" borderId="0" xfId="1" applyFont="1" applyFill="1" applyAlignment="1" applyProtection="1">
      <alignment horizontal="left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8" fillId="4" borderId="0" xfId="1" applyFont="1" applyFill="1" applyAlignment="1" applyProtection="1">
      <alignment horizontal="center"/>
      <protection locked="0"/>
    </xf>
    <xf numFmtId="0" fontId="8" fillId="4" borderId="0" xfId="1" applyFont="1" applyFill="1" applyAlignment="1" applyProtection="1">
      <alignment horizontal="left"/>
    </xf>
    <xf numFmtId="0" fontId="8" fillId="4" borderId="0" xfId="1" quotePrefix="1" applyFont="1" applyFill="1" applyAlignment="1" applyProtection="1">
      <alignment horizontal="left"/>
    </xf>
    <xf numFmtId="0" fontId="9" fillId="4" borderId="0" xfId="1" applyFont="1" applyFill="1" applyBorder="1" applyAlignment="1" applyProtection="1">
      <alignment horizontal="center"/>
      <protection locked="0"/>
    </xf>
    <xf numFmtId="166" fontId="4" fillId="4" borderId="7" xfId="1" applyNumberFormat="1" applyFont="1" applyFill="1" applyBorder="1" applyAlignment="1" applyProtection="1">
      <alignment horizontal="left" vertical="center" indent="1"/>
    </xf>
    <xf numFmtId="166" fontId="4" fillId="4" borderId="13" xfId="1" applyNumberFormat="1" applyFont="1" applyFill="1" applyBorder="1" applyAlignment="1" applyProtection="1">
      <alignment horizontal="left" vertical="center" indent="1"/>
    </xf>
    <xf numFmtId="166" fontId="4" fillId="4" borderId="4" xfId="1" applyNumberFormat="1" applyFont="1" applyFill="1" applyBorder="1" applyAlignment="1" applyProtection="1">
      <alignment horizontal="left" vertical="center" indent="1"/>
    </xf>
    <xf numFmtId="164" fontId="13" fillId="4" borderId="6" xfId="1" applyNumberFormat="1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36"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8146540737525"/>
          <c:y val="0.15384692298078126"/>
          <c:w val="0.74890831559440896"/>
          <c:h val="0.566546489381135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'11'!$G$16:$H$16</c:f>
              <c:strCache>
                <c:ptCount val="1"/>
                <c:pt idx="0">
                  <c:v>40,80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'11'!$I$26:$I$83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'11'!$K$26:$K$83</c:f>
              <c:numCache>
                <c:formatCode>0.00</c:formatCode>
                <c:ptCount val="58"/>
                <c:pt idx="0">
                  <c:v>0.14310167750770283</c:v>
                </c:pt>
                <c:pt idx="1">
                  <c:v>2.1896610749743237</c:v>
                </c:pt>
                <c:pt idx="2">
                  <c:v>2.7743923313933583</c:v>
                </c:pt>
                <c:pt idx="3">
                  <c:v>3.6514892160219099</c:v>
                </c:pt>
                <c:pt idx="4">
                  <c:v>5.6980486134885311</c:v>
                </c:pt>
                <c:pt idx="5">
                  <c:v>8.83053748716193</c:v>
                </c:pt>
                <c:pt idx="6">
                  <c:v>12.338925025676138</c:v>
                </c:pt>
                <c:pt idx="7">
                  <c:v>16.139678192399863</c:v>
                </c:pt>
                <c:pt idx="8">
                  <c:v>21.313591235878121</c:v>
                </c:pt>
                <c:pt idx="9">
                  <c:v>28.104416295789111</c:v>
                </c:pt>
                <c:pt idx="10">
                  <c:v>36.404313591235876</c:v>
                </c:pt>
                <c:pt idx="11">
                  <c:v>44.902773022937346</c:v>
                </c:pt>
                <c:pt idx="12">
                  <c:v>45.855871276959938</c:v>
                </c:pt>
                <c:pt idx="13">
                  <c:v>49.072577884286197</c:v>
                </c:pt>
                <c:pt idx="14">
                  <c:v>52.051009928106808</c:v>
                </c:pt>
                <c:pt idx="15">
                  <c:v>54.155768572406707</c:v>
                </c:pt>
                <c:pt idx="16">
                  <c:v>55.386853817185887</c:v>
                </c:pt>
                <c:pt idx="17">
                  <c:v>57.01506333447449</c:v>
                </c:pt>
                <c:pt idx="18">
                  <c:v>58.841834988017801</c:v>
                </c:pt>
                <c:pt idx="19">
                  <c:v>59.675795960287566</c:v>
                </c:pt>
                <c:pt idx="20">
                  <c:v>60.589181787059225</c:v>
                </c:pt>
                <c:pt idx="21">
                  <c:v>63.925025676138297</c:v>
                </c:pt>
                <c:pt idx="22">
                  <c:v>62.892502567613825</c:v>
                </c:pt>
                <c:pt idx="23">
                  <c:v>62.654228004108177</c:v>
                </c:pt>
                <c:pt idx="24">
                  <c:v>65.076686066415604</c:v>
                </c:pt>
                <c:pt idx="25">
                  <c:v>66.466621020198559</c:v>
                </c:pt>
                <c:pt idx="26">
                  <c:v>64.4015748031496</c:v>
                </c:pt>
                <c:pt idx="27">
                  <c:v>58.04758644299897</c:v>
                </c:pt>
                <c:pt idx="28">
                  <c:v>57.610749743238614</c:v>
                </c:pt>
                <c:pt idx="29">
                  <c:v>55.505991098938715</c:v>
                </c:pt>
                <c:pt idx="30">
                  <c:v>58.04758644299897</c:v>
                </c:pt>
                <c:pt idx="31">
                  <c:v>56.657651489216015</c:v>
                </c:pt>
                <c:pt idx="32">
                  <c:v>57.01506333447449</c:v>
                </c:pt>
                <c:pt idx="33">
                  <c:v>58.04758644299897</c:v>
                </c:pt>
                <c:pt idx="34">
                  <c:v>58.04758644299897</c:v>
                </c:pt>
                <c:pt idx="35">
                  <c:v>57.372475179732966</c:v>
                </c:pt>
                <c:pt idx="36">
                  <c:v>58.762410133515914</c:v>
                </c:pt>
                <c:pt idx="37">
                  <c:v>58.285861006504618</c:v>
                </c:pt>
                <c:pt idx="38">
                  <c:v>59.914070523793214</c:v>
                </c:pt>
                <c:pt idx="39">
                  <c:v>59.675795960287566</c:v>
                </c:pt>
                <c:pt idx="40">
                  <c:v>59.914070523793214</c:v>
                </c:pt>
                <c:pt idx="41">
                  <c:v>58.524135570010259</c:v>
                </c:pt>
                <c:pt idx="42">
                  <c:v>58.524135570010259</c:v>
                </c:pt>
                <c:pt idx="43">
                  <c:v>58.762410133515914</c:v>
                </c:pt>
                <c:pt idx="44">
                  <c:v>54.830879835672711</c:v>
                </c:pt>
                <c:pt idx="45">
                  <c:v>55.86340294419719</c:v>
                </c:pt>
                <c:pt idx="46">
                  <c:v>56.220814789455659</c:v>
                </c:pt>
                <c:pt idx="47">
                  <c:v>56.459089352961307</c:v>
                </c:pt>
                <c:pt idx="48">
                  <c:v>57.253337897980138</c:v>
                </c:pt>
                <c:pt idx="49">
                  <c:v>57.253337897980138</c:v>
                </c:pt>
                <c:pt idx="50">
                  <c:v>58.841834988017801</c:v>
                </c:pt>
                <c:pt idx="51">
                  <c:v>58.246148579253678</c:v>
                </c:pt>
                <c:pt idx="52">
                  <c:v>61.740842177336518</c:v>
                </c:pt>
                <c:pt idx="53">
                  <c:v>62.296816158849701</c:v>
                </c:pt>
                <c:pt idx="54">
                  <c:v>61.50256761383087</c:v>
                </c:pt>
                <c:pt idx="55">
                  <c:v>62.654228004108177</c:v>
                </c:pt>
                <c:pt idx="56">
                  <c:v>62.773365285861004</c:v>
                </c:pt>
                <c:pt idx="57">
                  <c:v>63.011639849366652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1-4D10-AEEC-0CBF64721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6928"/>
        <c:axId val="7797231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FF00FF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FF00FF"/>
                    </a:solidFill>
                    <a:ln>
                      <a:solidFill>
                        <a:srgbClr val="FF00FF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581-4D10-AEEC-0CBF64721DD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008000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581-4D10-AEEC-0CBF64721DDD}"/>
                  </c:ext>
                </c:extLst>
              </c15:ser>
            </c15:filteredScatterSeries>
          </c:ext>
        </c:extLst>
      </c:scatterChart>
      <c:valAx>
        <c:axId val="779726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0533765956420805"/>
              <c:y val="0.824179285281647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120"/>
        <c:crosses val="autoZero"/>
        <c:crossBetween val="midCat"/>
      </c:valAx>
      <c:valAx>
        <c:axId val="779723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748031496062992E-2"/>
              <c:y val="0.260074413775201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69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990555314443972E-2"/>
          <c:y val="0.91697345524117169"/>
          <c:w val="0.82152286082349935"/>
          <c:h val="6.593483506869335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59713347349906"/>
          <c:y val="0.16483593396979224"/>
          <c:w val="0.74171112118838545"/>
          <c:h val="0.58364089104246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'11'!$G$16:$H$16</c:f>
              <c:strCache>
                <c:ptCount val="1"/>
                <c:pt idx="0">
                  <c:v>40,80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'11'!$I$26:$I$83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'11'!$L$26:$L$83</c:f>
              <c:numCache>
                <c:formatCode>0.00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0.05</c:v>
                </c:pt>
                <c:pt idx="9">
                  <c:v>0.1</c:v>
                </c:pt>
                <c:pt idx="10">
                  <c:v>0.21</c:v>
                </c:pt>
                <c:pt idx="11">
                  <c:v>0.3</c:v>
                </c:pt>
                <c:pt idx="12">
                  <c:v>0.62</c:v>
                </c:pt>
                <c:pt idx="13">
                  <c:v>0.72</c:v>
                </c:pt>
                <c:pt idx="14">
                  <c:v>0.81</c:v>
                </c:pt>
                <c:pt idx="15">
                  <c:v>0.81</c:v>
                </c:pt>
                <c:pt idx="16">
                  <c:v>0.83000000000000007</c:v>
                </c:pt>
                <c:pt idx="17">
                  <c:v>0.87</c:v>
                </c:pt>
                <c:pt idx="18">
                  <c:v>0.89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0.88</c:v>
                </c:pt>
                <c:pt idx="23">
                  <c:v>0.86</c:v>
                </c:pt>
                <c:pt idx="24">
                  <c:v>0.82000000000000006</c:v>
                </c:pt>
                <c:pt idx="25">
                  <c:v>0.78</c:v>
                </c:pt>
                <c:pt idx="26">
                  <c:v>0.6</c:v>
                </c:pt>
                <c:pt idx="27">
                  <c:v>0.48</c:v>
                </c:pt>
                <c:pt idx="28">
                  <c:v>0.52</c:v>
                </c:pt>
                <c:pt idx="29">
                  <c:v>0.3</c:v>
                </c:pt>
                <c:pt idx="30">
                  <c:v>0.56000000000000005</c:v>
                </c:pt>
                <c:pt idx="31">
                  <c:v>0.66</c:v>
                </c:pt>
                <c:pt idx="32">
                  <c:v>0.71</c:v>
                </c:pt>
                <c:pt idx="33">
                  <c:v>0.75</c:v>
                </c:pt>
                <c:pt idx="34">
                  <c:v>0.86</c:v>
                </c:pt>
                <c:pt idx="35">
                  <c:v>0.89</c:v>
                </c:pt>
                <c:pt idx="36">
                  <c:v>0.94000000000000006</c:v>
                </c:pt>
                <c:pt idx="37">
                  <c:v>0.95000000000000007</c:v>
                </c:pt>
                <c:pt idx="38">
                  <c:v>0.95000000000000007</c:v>
                </c:pt>
                <c:pt idx="39">
                  <c:v>0.98</c:v>
                </c:pt>
                <c:pt idx="40">
                  <c:v>0.99</c:v>
                </c:pt>
                <c:pt idx="41">
                  <c:v>1.07</c:v>
                </c:pt>
                <c:pt idx="42">
                  <c:v>1.06</c:v>
                </c:pt>
                <c:pt idx="43">
                  <c:v>1.07</c:v>
                </c:pt>
                <c:pt idx="44">
                  <c:v>1.28</c:v>
                </c:pt>
                <c:pt idx="45">
                  <c:v>1.3</c:v>
                </c:pt>
                <c:pt idx="46">
                  <c:v>1.3</c:v>
                </c:pt>
                <c:pt idx="47">
                  <c:v>1.37</c:v>
                </c:pt>
                <c:pt idx="48">
                  <c:v>1.36</c:v>
                </c:pt>
                <c:pt idx="49">
                  <c:v>1.41</c:v>
                </c:pt>
                <c:pt idx="50">
                  <c:v>1.43</c:v>
                </c:pt>
                <c:pt idx="51">
                  <c:v>1.45</c:v>
                </c:pt>
                <c:pt idx="52">
                  <c:v>1.45</c:v>
                </c:pt>
                <c:pt idx="53">
                  <c:v>1.48</c:v>
                </c:pt>
                <c:pt idx="54">
                  <c:v>1.48</c:v>
                </c:pt>
                <c:pt idx="55">
                  <c:v>1.51</c:v>
                </c:pt>
                <c:pt idx="56">
                  <c:v>1.59</c:v>
                </c:pt>
                <c:pt idx="57">
                  <c:v>1.6300000000000001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A-4CFF-A811-D3B7DE98F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3664"/>
        <c:axId val="7797258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FF00FF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FF00FF"/>
                    </a:solidFill>
                    <a:ln>
                      <a:solidFill>
                        <a:srgbClr val="FF00FF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'11'!#REF!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3DA-4CFF-A811-D3B7DE98FF4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008000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'11'!#REF!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3DA-4CFF-A811-D3B7DE98FF46}"/>
                  </c:ext>
                </c:extLst>
              </c15:ser>
            </c15:filteredScatterSeries>
          </c:ext>
        </c:extLst>
      </c:scatterChart>
      <c:valAx>
        <c:axId val="779723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3856921026232978"/>
              <c:y val="0.83883129993366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5840"/>
        <c:crossesAt val="-4"/>
        <c:crossBetween val="midCat"/>
      </c:valAx>
      <c:valAx>
        <c:axId val="77972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Desplaz. Vertical, mm</a:t>
                </a:r>
              </a:p>
            </c:rich>
          </c:tx>
          <c:layout>
            <c:manualLayout>
              <c:xMode val="edge"/>
              <c:yMode val="edge"/>
              <c:x val="1.9197207678883072E-2"/>
              <c:y val="0.321124474825262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6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388259059240635E-2"/>
          <c:y val="0.91575206945285681"/>
          <c:w val="0.84031441096041004"/>
          <c:h val="6.22718314056897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73281114012185"/>
          <c:y val="0.17654398755711093"/>
          <c:w val="0.79634464751958223"/>
          <c:h val="0.6382735491396909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linear"/>
            <c:dispRSqr val="1"/>
            <c:dispEq val="1"/>
            <c:trendlineLbl>
              <c:layout>
                <c:manualLayout>
                  <c:x val="2.0657202637328818E-2"/>
                  <c:y val="0.1991992650531263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Ref>
              <c:f>'11'!$Q$60:$Q$62</c:f>
              <c:numCache>
                <c:formatCode>0.0</c:formatCode>
                <c:ptCount val="3"/>
                <c:pt idx="0">
                  <c:v>40.795576849960604</c:v>
                </c:pt>
                <c:pt idx="1">
                  <c:v>0</c:v>
                </c:pt>
              </c:numCache>
            </c:numRef>
          </c:xVal>
          <c:yVal>
            <c:numRef>
              <c:f>'11'!$R$60:$R$62</c:f>
              <c:numCache>
                <c:formatCode>0.0</c:formatCode>
                <c:ptCount val="3"/>
                <c:pt idx="0">
                  <c:v>66.466621020198559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3-45EB-88C8-C7E92B882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4208"/>
        <c:axId val="779724752"/>
      </c:scatterChart>
      <c:valAx>
        <c:axId val="77972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Normal, kg/cm²</a:t>
                </a:r>
              </a:p>
            </c:rich>
          </c:tx>
          <c:layout>
            <c:manualLayout>
              <c:xMode val="edge"/>
              <c:yMode val="edge"/>
              <c:x val="0.36814621409921672"/>
              <c:y val="0.929633129192184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752"/>
        <c:crosses val="autoZero"/>
        <c:crossBetween val="midCat"/>
      </c:valAx>
      <c:valAx>
        <c:axId val="7797247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665796344647518E-2"/>
              <c:y val="0.285186351706036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48146540737525"/>
          <c:y val="0.15384692298078126"/>
          <c:w val="0.74890831559440896"/>
          <c:h val="0.566546489381135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'12'!$G$16:$H$16</c:f>
              <c:strCache>
                <c:ptCount val="1"/>
                <c:pt idx="0">
                  <c:v>30,59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'12'!$I$26:$I$83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'12'!$K$26:$K$83</c:f>
              <c:numCache>
                <c:formatCode>0.00</c:formatCode>
                <c:ptCount val="58"/>
                <c:pt idx="0">
                  <c:v>0.12701306593740505</c:v>
                </c:pt>
                <c:pt idx="1">
                  <c:v>1.2762078395624432</c:v>
                </c:pt>
                <c:pt idx="2">
                  <c:v>1.9434822242479493</c:v>
                </c:pt>
                <c:pt idx="3">
                  <c:v>2.2771194165907023</c:v>
                </c:pt>
                <c:pt idx="4">
                  <c:v>2.7961106046794293</c:v>
                </c:pt>
                <c:pt idx="5">
                  <c:v>4.8350045578851422</c:v>
                </c:pt>
                <c:pt idx="6">
                  <c:v>6.354907323002128</c:v>
                </c:pt>
                <c:pt idx="7">
                  <c:v>10.95168641750228</c:v>
                </c:pt>
                <c:pt idx="8">
                  <c:v>17.439076268611366</c:v>
                </c:pt>
                <c:pt idx="9">
                  <c:v>25.543907626861138</c:v>
                </c:pt>
                <c:pt idx="10">
                  <c:v>33.439380127620787</c:v>
                </c:pt>
                <c:pt idx="11">
                  <c:v>40.383166210878159</c:v>
                </c:pt>
                <c:pt idx="12">
                  <c:v>38.761774536615007</c:v>
                </c:pt>
                <c:pt idx="13">
                  <c:v>39.184746277727136</c:v>
                </c:pt>
                <c:pt idx="14">
                  <c:v>40.700395016712243</c:v>
                </c:pt>
                <c:pt idx="15">
                  <c:v>38.832269826800363</c:v>
                </c:pt>
                <c:pt idx="16">
                  <c:v>39.360984503190522</c:v>
                </c:pt>
                <c:pt idx="17">
                  <c:v>38.233059860224863</c:v>
                </c:pt>
                <c:pt idx="18">
                  <c:v>38.233059860224863</c:v>
                </c:pt>
                <c:pt idx="19">
                  <c:v>39.678213309024613</c:v>
                </c:pt>
                <c:pt idx="20">
                  <c:v>39.360984503190522</c:v>
                </c:pt>
                <c:pt idx="21">
                  <c:v>40.242175630507447</c:v>
                </c:pt>
                <c:pt idx="22">
                  <c:v>39.678213309024613</c:v>
                </c:pt>
                <c:pt idx="23">
                  <c:v>38.832269826800363</c:v>
                </c:pt>
                <c:pt idx="24">
                  <c:v>37.528106958371318</c:v>
                </c:pt>
                <c:pt idx="25">
                  <c:v>38.444545730780916</c:v>
                </c:pt>
                <c:pt idx="26">
                  <c:v>35.166514737161961</c:v>
                </c:pt>
                <c:pt idx="27">
                  <c:v>36.893649346703128</c:v>
                </c:pt>
                <c:pt idx="28">
                  <c:v>38.338802795502893</c:v>
                </c:pt>
                <c:pt idx="29">
                  <c:v>37.915831054390765</c:v>
                </c:pt>
                <c:pt idx="30">
                  <c:v>36.999392281981159</c:v>
                </c:pt>
                <c:pt idx="31">
                  <c:v>37.422364023093287</c:v>
                </c:pt>
                <c:pt idx="32">
                  <c:v>36.08295350957156</c:v>
                </c:pt>
                <c:pt idx="33">
                  <c:v>38.127316924946825</c:v>
                </c:pt>
                <c:pt idx="34">
                  <c:v>37.210878152537227</c:v>
                </c:pt>
                <c:pt idx="35">
                  <c:v>36.118201154664234</c:v>
                </c:pt>
                <c:pt idx="36">
                  <c:v>37.210878152537227</c:v>
                </c:pt>
                <c:pt idx="37">
                  <c:v>35.695229413552113</c:v>
                </c:pt>
                <c:pt idx="38">
                  <c:v>36.294439380127621</c:v>
                </c:pt>
                <c:pt idx="39">
                  <c:v>36.08295350957156</c:v>
                </c:pt>
                <c:pt idx="40">
                  <c:v>37.210878152537227</c:v>
                </c:pt>
                <c:pt idx="41">
                  <c:v>38.338802795502893</c:v>
                </c:pt>
                <c:pt idx="42">
                  <c:v>38.338802795502893</c:v>
                </c:pt>
                <c:pt idx="43">
                  <c:v>36.787906411425098</c:v>
                </c:pt>
                <c:pt idx="44">
                  <c:v>36.08295350957156</c:v>
                </c:pt>
                <c:pt idx="45">
                  <c:v>36.505925250683681</c:v>
                </c:pt>
                <c:pt idx="46">
                  <c:v>38.761774536615007</c:v>
                </c:pt>
                <c:pt idx="47">
                  <c:v>35.272257672439991</c:v>
                </c:pt>
                <c:pt idx="48">
                  <c:v>35.483743542996052</c:v>
                </c:pt>
                <c:pt idx="49">
                  <c:v>36.611668185961712</c:v>
                </c:pt>
                <c:pt idx="50">
                  <c:v>36.717411121239742</c:v>
                </c:pt>
                <c:pt idx="51">
                  <c:v>36.611668185961712</c:v>
                </c:pt>
                <c:pt idx="52">
                  <c:v>37.422364023093287</c:v>
                </c:pt>
                <c:pt idx="53">
                  <c:v>36.294439380127621</c:v>
                </c:pt>
                <c:pt idx="54">
                  <c:v>35.378000607718022</c:v>
                </c:pt>
                <c:pt idx="55">
                  <c:v>33.721361288362203</c:v>
                </c:pt>
                <c:pt idx="56">
                  <c:v>35.272257672439991</c:v>
                </c:pt>
                <c:pt idx="57">
                  <c:v>36.294439380127621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89-4DE5-B8B8-3583EAE95655}"/>
            </c:ext>
          </c:extLst>
        </c:ser>
        <c:ser>
          <c:idx val="1"/>
          <c:order val="1"/>
          <c:tx>
            <c:strRef>
              <c:f>'12'!$G$100:$H$100</c:f>
              <c:strCache>
                <c:ptCount val="1"/>
                <c:pt idx="0">
                  <c:v>40,80 [kg/cm²]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'12'!$I$110:$I$167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'12'!$K$110:$K$167</c:f>
              <c:numCache>
                <c:formatCode>0.00</c:formatCode>
                <c:ptCount val="58"/>
                <c:pt idx="0">
                  <c:v>0.12701306593740505</c:v>
                </c:pt>
                <c:pt idx="1">
                  <c:v>1.8322698268003648</c:v>
                </c:pt>
                <c:pt idx="2">
                  <c:v>2.3512610148890918</c:v>
                </c:pt>
                <c:pt idx="3">
                  <c:v>2.7961106046794293</c:v>
                </c:pt>
                <c:pt idx="4">
                  <c:v>3.9823761774536619</c:v>
                </c:pt>
                <c:pt idx="5">
                  <c:v>6.1324825281069586</c:v>
                </c:pt>
                <c:pt idx="6">
                  <c:v>10.655120024308722</c:v>
                </c:pt>
                <c:pt idx="7">
                  <c:v>16.883014281373441</c:v>
                </c:pt>
                <c:pt idx="8">
                  <c:v>23.323305986022486</c:v>
                </c:pt>
                <c:pt idx="9">
                  <c:v>29.244910361592222</c:v>
                </c:pt>
                <c:pt idx="10">
                  <c:v>34.955028866605893</c:v>
                </c:pt>
                <c:pt idx="11">
                  <c:v>35.448495897903371</c:v>
                </c:pt>
                <c:pt idx="12">
                  <c:v>36.893649346703128</c:v>
                </c:pt>
                <c:pt idx="13">
                  <c:v>35.448495897903371</c:v>
                </c:pt>
                <c:pt idx="14">
                  <c:v>38.444545730780916</c:v>
                </c:pt>
                <c:pt idx="15">
                  <c:v>37.422364023093287</c:v>
                </c:pt>
                <c:pt idx="16">
                  <c:v>38.550288666058947</c:v>
                </c:pt>
                <c:pt idx="17">
                  <c:v>40.06593740504406</c:v>
                </c:pt>
                <c:pt idx="18">
                  <c:v>41.511090853843818</c:v>
                </c:pt>
                <c:pt idx="19">
                  <c:v>38.938012762078394</c:v>
                </c:pt>
                <c:pt idx="20">
                  <c:v>42.110300820419326</c:v>
                </c:pt>
                <c:pt idx="21">
                  <c:v>41.08811911273169</c:v>
                </c:pt>
                <c:pt idx="22">
                  <c:v>40.700395016712243</c:v>
                </c:pt>
                <c:pt idx="23">
                  <c:v>38.127316924946825</c:v>
                </c:pt>
                <c:pt idx="24">
                  <c:v>39.96019446976603</c:v>
                </c:pt>
                <c:pt idx="25">
                  <c:v>40.030689759951379</c:v>
                </c:pt>
                <c:pt idx="26">
                  <c:v>42.533272561531454</c:v>
                </c:pt>
                <c:pt idx="27">
                  <c:v>40.136432695229416</c:v>
                </c:pt>
                <c:pt idx="28">
                  <c:v>44.048921300516561</c:v>
                </c:pt>
                <c:pt idx="29">
                  <c:v>43.555454269219084</c:v>
                </c:pt>
                <c:pt idx="30">
                  <c:v>44.789121847462781</c:v>
                </c:pt>
                <c:pt idx="31">
                  <c:v>45.388331814038281</c:v>
                </c:pt>
                <c:pt idx="32">
                  <c:v>41.828319659677909</c:v>
                </c:pt>
                <c:pt idx="33">
                  <c:v>44.57763597690672</c:v>
                </c:pt>
                <c:pt idx="34">
                  <c:v>43.872683075053175</c:v>
                </c:pt>
                <c:pt idx="35">
                  <c:v>43.555454269219084</c:v>
                </c:pt>
                <c:pt idx="36">
                  <c:v>45.599817684594349</c:v>
                </c:pt>
                <c:pt idx="37">
                  <c:v>44.47189304162869</c:v>
                </c:pt>
                <c:pt idx="38">
                  <c:v>42.004557885141296</c:v>
                </c:pt>
                <c:pt idx="39">
                  <c:v>43.907930720145856</c:v>
                </c:pt>
                <c:pt idx="40">
                  <c:v>42.88574901245822</c:v>
                </c:pt>
                <c:pt idx="41">
                  <c:v>43.661197204497114</c:v>
                </c:pt>
                <c:pt idx="42">
                  <c:v>43.238225463384985</c:v>
                </c:pt>
                <c:pt idx="43">
                  <c:v>42.639015496809485</c:v>
                </c:pt>
                <c:pt idx="44">
                  <c:v>43.943178365238531</c:v>
                </c:pt>
                <c:pt idx="45">
                  <c:v>44.789121847462781</c:v>
                </c:pt>
                <c:pt idx="46">
                  <c:v>43.766940139775144</c:v>
                </c:pt>
                <c:pt idx="47">
                  <c:v>43.132482528106955</c:v>
                </c:pt>
                <c:pt idx="48">
                  <c:v>40.735642661804924</c:v>
                </c:pt>
                <c:pt idx="49">
                  <c:v>40.277423275600128</c:v>
                </c:pt>
                <c:pt idx="50">
                  <c:v>39.572470373746583</c:v>
                </c:pt>
                <c:pt idx="51">
                  <c:v>41.405347918565788</c:v>
                </c:pt>
                <c:pt idx="52">
                  <c:v>41.299604983287757</c:v>
                </c:pt>
                <c:pt idx="53">
                  <c:v>41.722576724399879</c:v>
                </c:pt>
                <c:pt idx="54">
                  <c:v>42.110300820419326</c:v>
                </c:pt>
                <c:pt idx="55">
                  <c:v>42.216043755697356</c:v>
                </c:pt>
                <c:pt idx="56">
                  <c:v>42.004557885141296</c:v>
                </c:pt>
                <c:pt idx="57">
                  <c:v>41.828319659677909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89-4DE5-B8B8-3583EAE95655}"/>
            </c:ext>
          </c:extLst>
        </c:ser>
        <c:ser>
          <c:idx val="2"/>
          <c:order val="2"/>
          <c:tx>
            <c:strRef>
              <c:f>'12'!$G$184:$H$184</c:f>
              <c:strCache>
                <c:ptCount val="1"/>
                <c:pt idx="0">
                  <c:v>50,98 [kg/cm²]</c:v>
                </c:pt>
              </c:strCache>
            </c:strRef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'12'!$I$194:$I$251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'12'!$K$194:$K$251</c:f>
              <c:numCache>
                <c:formatCode>0.00</c:formatCode>
                <c:ptCount val="58"/>
                <c:pt idx="0">
                  <c:v>0.12701306593740505</c:v>
                </c:pt>
                <c:pt idx="1">
                  <c:v>1.3874202370100275</c:v>
                </c:pt>
                <c:pt idx="2">
                  <c:v>2.0546946216955337</c:v>
                </c:pt>
                <c:pt idx="3">
                  <c:v>2.4624734123366756</c:v>
                </c:pt>
                <c:pt idx="4">
                  <c:v>3.1297477970221821</c:v>
                </c:pt>
                <c:pt idx="5">
                  <c:v>4.9462169553327264</c:v>
                </c:pt>
                <c:pt idx="6">
                  <c:v>8.2825888787602562</c:v>
                </c:pt>
                <c:pt idx="7">
                  <c:v>18.291704649042842</c:v>
                </c:pt>
                <c:pt idx="8">
                  <c:v>23.393801276207842</c:v>
                </c:pt>
                <c:pt idx="9">
                  <c:v>29.456396232148286</c:v>
                </c:pt>
                <c:pt idx="10">
                  <c:v>33.650865998176847</c:v>
                </c:pt>
                <c:pt idx="11">
                  <c:v>37.915831054390765</c:v>
                </c:pt>
                <c:pt idx="12">
                  <c:v>40.488909146156189</c:v>
                </c:pt>
                <c:pt idx="13">
                  <c:v>43.132482528106955</c:v>
                </c:pt>
                <c:pt idx="14">
                  <c:v>43.943178365238531</c:v>
                </c:pt>
                <c:pt idx="15">
                  <c:v>44.47189304162869</c:v>
                </c:pt>
                <c:pt idx="16">
                  <c:v>44.789121847462781</c:v>
                </c:pt>
                <c:pt idx="17">
                  <c:v>46.516256457003955</c:v>
                </c:pt>
                <c:pt idx="18">
                  <c:v>46.410513521725917</c:v>
                </c:pt>
                <c:pt idx="19">
                  <c:v>47.0449711333941</c:v>
                </c:pt>
                <c:pt idx="20">
                  <c:v>47.221209358857493</c:v>
                </c:pt>
                <c:pt idx="21">
                  <c:v>49.265572774232758</c:v>
                </c:pt>
                <c:pt idx="22">
                  <c:v>48.666362807657251</c:v>
                </c:pt>
                <c:pt idx="23">
                  <c:v>49.79428745062291</c:v>
                </c:pt>
                <c:pt idx="24">
                  <c:v>50.710726223032516</c:v>
                </c:pt>
                <c:pt idx="25">
                  <c:v>51.309936189608024</c:v>
                </c:pt>
                <c:pt idx="26">
                  <c:v>51.133697964144638</c:v>
                </c:pt>
                <c:pt idx="27">
                  <c:v>50.005773321178971</c:v>
                </c:pt>
                <c:pt idx="28">
                  <c:v>49.68854451534488</c:v>
                </c:pt>
                <c:pt idx="29">
                  <c:v>48.631115162564569</c:v>
                </c:pt>
                <c:pt idx="30">
                  <c:v>47.221209358857493</c:v>
                </c:pt>
                <c:pt idx="31">
                  <c:v>48.772105742935281</c:v>
                </c:pt>
                <c:pt idx="32">
                  <c:v>49.68854451534488</c:v>
                </c:pt>
                <c:pt idx="33">
                  <c:v>48.772105742935281</c:v>
                </c:pt>
                <c:pt idx="34">
                  <c:v>51.133697964144638</c:v>
                </c:pt>
                <c:pt idx="35">
                  <c:v>51.732907930720152</c:v>
                </c:pt>
                <c:pt idx="36">
                  <c:v>50.816469158310547</c:v>
                </c:pt>
                <c:pt idx="37">
                  <c:v>51.627164995442122</c:v>
                </c:pt>
                <c:pt idx="38">
                  <c:v>51.521422060164085</c:v>
                </c:pt>
                <c:pt idx="39">
                  <c:v>51.415679124886054</c:v>
                </c:pt>
                <c:pt idx="40">
                  <c:v>52.437860832573683</c:v>
                </c:pt>
                <c:pt idx="41">
                  <c:v>51.133697964144638</c:v>
                </c:pt>
                <c:pt idx="42">
                  <c:v>51.027955028866607</c:v>
                </c:pt>
                <c:pt idx="43">
                  <c:v>50.604983287754486</c:v>
                </c:pt>
                <c:pt idx="44">
                  <c:v>52.050136736554236</c:v>
                </c:pt>
                <c:pt idx="45">
                  <c:v>53.530537830446676</c:v>
                </c:pt>
                <c:pt idx="46">
                  <c:v>56.138863567304774</c:v>
                </c:pt>
                <c:pt idx="47">
                  <c:v>54.376481312670926</c:v>
                </c:pt>
                <c:pt idx="48">
                  <c:v>53.812518991188085</c:v>
                </c:pt>
                <c:pt idx="49">
                  <c:v>53.988757216651479</c:v>
                </c:pt>
                <c:pt idx="50">
                  <c:v>54.376481312670926</c:v>
                </c:pt>
                <c:pt idx="51">
                  <c:v>56.738073533880275</c:v>
                </c:pt>
                <c:pt idx="52">
                  <c:v>58.18322698268004</c:v>
                </c:pt>
                <c:pt idx="53">
                  <c:v>57.055302339714373</c:v>
                </c:pt>
                <c:pt idx="54">
                  <c:v>56.949559404436343</c:v>
                </c:pt>
                <c:pt idx="55">
                  <c:v>57.760255241567911</c:v>
                </c:pt>
                <c:pt idx="56">
                  <c:v>55.715891826192646</c:v>
                </c:pt>
                <c:pt idx="57">
                  <c:v>55.15192950470982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89-4DE5-B8B8-3583EAE95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6928"/>
        <c:axId val="779723120"/>
      </c:scatterChart>
      <c:valAx>
        <c:axId val="779726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0533765956420805"/>
              <c:y val="0.824179285281647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120"/>
        <c:crosses val="autoZero"/>
        <c:crossBetween val="midCat"/>
      </c:valAx>
      <c:valAx>
        <c:axId val="779723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748031496062992E-2"/>
              <c:y val="0.260074413775201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69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990555314443972E-2"/>
          <c:y val="0.91697345524117169"/>
          <c:w val="0.82152286082349935"/>
          <c:h val="6.593483506869335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9713347349906"/>
          <c:y val="0.16483593396979224"/>
          <c:w val="0.74171112118838545"/>
          <c:h val="0.58364089104246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'12'!$G$16:$H$16</c:f>
              <c:strCache>
                <c:ptCount val="1"/>
                <c:pt idx="0">
                  <c:v>30,59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'12'!$I$26:$I$83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'12'!$L$26:$L$83</c:f>
              <c:numCache>
                <c:formatCode>0.00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-0.02</c:v>
                </c:pt>
                <c:pt idx="10">
                  <c:v>-7.0000000000000007E-2</c:v>
                </c:pt>
                <c:pt idx="11">
                  <c:v>-0.11</c:v>
                </c:pt>
                <c:pt idx="12">
                  <c:v>-0.13</c:v>
                </c:pt>
                <c:pt idx="13">
                  <c:v>-0.14000000000000001</c:v>
                </c:pt>
                <c:pt idx="14">
                  <c:v>-0.17</c:v>
                </c:pt>
                <c:pt idx="15">
                  <c:v>-0.2</c:v>
                </c:pt>
                <c:pt idx="16">
                  <c:v>-0.2</c:v>
                </c:pt>
                <c:pt idx="17">
                  <c:v>-0.22</c:v>
                </c:pt>
                <c:pt idx="18">
                  <c:v>-0.23</c:v>
                </c:pt>
                <c:pt idx="19">
                  <c:v>-0.24</c:v>
                </c:pt>
                <c:pt idx="20">
                  <c:v>-0.25</c:v>
                </c:pt>
                <c:pt idx="21">
                  <c:v>-0.28000000000000003</c:v>
                </c:pt>
                <c:pt idx="22">
                  <c:v>-0.28999999999999998</c:v>
                </c:pt>
                <c:pt idx="23">
                  <c:v>-0.3</c:v>
                </c:pt>
                <c:pt idx="24">
                  <c:v>-0.32</c:v>
                </c:pt>
                <c:pt idx="25">
                  <c:v>-0.37</c:v>
                </c:pt>
                <c:pt idx="26">
                  <c:v>-0.39</c:v>
                </c:pt>
                <c:pt idx="27">
                  <c:v>-0.4</c:v>
                </c:pt>
                <c:pt idx="28">
                  <c:v>-0.43</c:v>
                </c:pt>
                <c:pt idx="29">
                  <c:v>-0.45</c:v>
                </c:pt>
                <c:pt idx="30">
                  <c:v>-0.45</c:v>
                </c:pt>
                <c:pt idx="31">
                  <c:v>-0.44</c:v>
                </c:pt>
                <c:pt idx="32">
                  <c:v>-0.44</c:v>
                </c:pt>
                <c:pt idx="33">
                  <c:v>-0.49</c:v>
                </c:pt>
                <c:pt idx="34">
                  <c:v>-0.55000000000000004</c:v>
                </c:pt>
                <c:pt idx="35">
                  <c:v>-0.57999999999999996</c:v>
                </c:pt>
                <c:pt idx="36">
                  <c:v>-0.6</c:v>
                </c:pt>
                <c:pt idx="37">
                  <c:v>-0.6</c:v>
                </c:pt>
                <c:pt idx="38">
                  <c:v>-0.62</c:v>
                </c:pt>
                <c:pt idx="39">
                  <c:v>-0.65</c:v>
                </c:pt>
                <c:pt idx="40">
                  <c:v>-0.65</c:v>
                </c:pt>
                <c:pt idx="41">
                  <c:v>-0.65</c:v>
                </c:pt>
                <c:pt idx="42">
                  <c:v>-0.65</c:v>
                </c:pt>
                <c:pt idx="43">
                  <c:v>-0.66</c:v>
                </c:pt>
                <c:pt idx="44">
                  <c:v>-0.66</c:v>
                </c:pt>
                <c:pt idx="45">
                  <c:v>-0.66</c:v>
                </c:pt>
                <c:pt idx="46">
                  <c:v>-0.66</c:v>
                </c:pt>
                <c:pt idx="47">
                  <c:v>-0.65</c:v>
                </c:pt>
                <c:pt idx="48">
                  <c:v>-0.63</c:v>
                </c:pt>
                <c:pt idx="49">
                  <c:v>-0.62</c:v>
                </c:pt>
                <c:pt idx="50">
                  <c:v>-0.59</c:v>
                </c:pt>
                <c:pt idx="51">
                  <c:v>-0.56000000000000005</c:v>
                </c:pt>
                <c:pt idx="52">
                  <c:v>-0.54</c:v>
                </c:pt>
                <c:pt idx="53">
                  <c:v>-0.52</c:v>
                </c:pt>
                <c:pt idx="54">
                  <c:v>-0.51</c:v>
                </c:pt>
                <c:pt idx="55">
                  <c:v>-0.47000000000000003</c:v>
                </c:pt>
                <c:pt idx="56">
                  <c:v>-0.43</c:v>
                </c:pt>
                <c:pt idx="57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4A6E-A47C-6DFA98232DB8}"/>
            </c:ext>
          </c:extLst>
        </c:ser>
        <c:ser>
          <c:idx val="1"/>
          <c:order val="1"/>
          <c:tx>
            <c:strRef>
              <c:f>'12'!$G$100:$H$100</c:f>
              <c:strCache>
                <c:ptCount val="1"/>
                <c:pt idx="0">
                  <c:v>40,80 [kg/cm²]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'12'!$I$110:$I$167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'12'!$L$110:$L$167</c:f>
              <c:numCache>
                <c:formatCode>0.00</c:formatCode>
                <c:ptCount val="58"/>
                <c:pt idx="0">
                  <c:v>0</c:v>
                </c:pt>
                <c:pt idx="1">
                  <c:v>-0.02</c:v>
                </c:pt>
                <c:pt idx="2">
                  <c:v>-0.04</c:v>
                </c:pt>
                <c:pt idx="3">
                  <c:v>-0.04</c:v>
                </c:pt>
                <c:pt idx="4">
                  <c:v>-0.02</c:v>
                </c:pt>
                <c:pt idx="5">
                  <c:v>-0.02</c:v>
                </c:pt>
                <c:pt idx="6">
                  <c:v>-0.02</c:v>
                </c:pt>
                <c:pt idx="7">
                  <c:v>-0.02</c:v>
                </c:pt>
                <c:pt idx="8">
                  <c:v>-0.02</c:v>
                </c:pt>
                <c:pt idx="9">
                  <c:v>-0.03</c:v>
                </c:pt>
                <c:pt idx="10">
                  <c:v>-0.05</c:v>
                </c:pt>
                <c:pt idx="11">
                  <c:v>-0.06</c:v>
                </c:pt>
                <c:pt idx="12">
                  <c:v>-0.06</c:v>
                </c:pt>
                <c:pt idx="13">
                  <c:v>-0.06</c:v>
                </c:pt>
                <c:pt idx="14">
                  <c:v>-0.06</c:v>
                </c:pt>
                <c:pt idx="15">
                  <c:v>-0.06</c:v>
                </c:pt>
                <c:pt idx="16">
                  <c:v>-0.06</c:v>
                </c:pt>
                <c:pt idx="17">
                  <c:v>-0.06</c:v>
                </c:pt>
                <c:pt idx="18">
                  <c:v>-0.06</c:v>
                </c:pt>
                <c:pt idx="19">
                  <c:v>-0.06</c:v>
                </c:pt>
                <c:pt idx="20">
                  <c:v>-7.0000000000000007E-2</c:v>
                </c:pt>
                <c:pt idx="21">
                  <c:v>-0.05</c:v>
                </c:pt>
                <c:pt idx="22">
                  <c:v>-0.03</c:v>
                </c:pt>
                <c:pt idx="23">
                  <c:v>0</c:v>
                </c:pt>
                <c:pt idx="24">
                  <c:v>0.02</c:v>
                </c:pt>
                <c:pt idx="25">
                  <c:v>0.06</c:v>
                </c:pt>
                <c:pt idx="26">
                  <c:v>0.08</c:v>
                </c:pt>
                <c:pt idx="27">
                  <c:v>0.16</c:v>
                </c:pt>
                <c:pt idx="28">
                  <c:v>0.17</c:v>
                </c:pt>
                <c:pt idx="29">
                  <c:v>0.2</c:v>
                </c:pt>
                <c:pt idx="30">
                  <c:v>0.22</c:v>
                </c:pt>
                <c:pt idx="31">
                  <c:v>0.25</c:v>
                </c:pt>
                <c:pt idx="32">
                  <c:v>0.27</c:v>
                </c:pt>
                <c:pt idx="33">
                  <c:v>0.31</c:v>
                </c:pt>
                <c:pt idx="34">
                  <c:v>0.34</c:v>
                </c:pt>
                <c:pt idx="35">
                  <c:v>0.41000000000000003</c:v>
                </c:pt>
                <c:pt idx="36">
                  <c:v>0.43</c:v>
                </c:pt>
                <c:pt idx="37">
                  <c:v>0.46</c:v>
                </c:pt>
                <c:pt idx="38">
                  <c:v>0.49</c:v>
                </c:pt>
                <c:pt idx="39">
                  <c:v>0.52</c:v>
                </c:pt>
                <c:pt idx="40">
                  <c:v>0.61</c:v>
                </c:pt>
                <c:pt idx="41">
                  <c:v>0.67</c:v>
                </c:pt>
                <c:pt idx="42">
                  <c:v>0.70000000000000007</c:v>
                </c:pt>
                <c:pt idx="43">
                  <c:v>0.74</c:v>
                </c:pt>
                <c:pt idx="44">
                  <c:v>0.74</c:v>
                </c:pt>
                <c:pt idx="45">
                  <c:v>0.74</c:v>
                </c:pt>
                <c:pt idx="46">
                  <c:v>0.74</c:v>
                </c:pt>
                <c:pt idx="47">
                  <c:v>0.74</c:v>
                </c:pt>
                <c:pt idx="48">
                  <c:v>0.78</c:v>
                </c:pt>
                <c:pt idx="49">
                  <c:v>0.79</c:v>
                </c:pt>
                <c:pt idx="50">
                  <c:v>0.83000000000000007</c:v>
                </c:pt>
                <c:pt idx="51">
                  <c:v>0.83000000000000007</c:v>
                </c:pt>
                <c:pt idx="52">
                  <c:v>0.83000000000000007</c:v>
                </c:pt>
                <c:pt idx="53">
                  <c:v>0.84</c:v>
                </c:pt>
                <c:pt idx="54">
                  <c:v>0.85</c:v>
                </c:pt>
                <c:pt idx="55">
                  <c:v>0.85</c:v>
                </c:pt>
                <c:pt idx="56">
                  <c:v>0.86</c:v>
                </c:pt>
                <c:pt idx="57">
                  <c:v>0.87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4A6E-A47C-6DFA98232DB8}"/>
            </c:ext>
          </c:extLst>
        </c:ser>
        <c:ser>
          <c:idx val="2"/>
          <c:order val="2"/>
          <c:tx>
            <c:strRef>
              <c:f>'12'!$G$184:$H$184</c:f>
              <c:strCache>
                <c:ptCount val="1"/>
                <c:pt idx="0">
                  <c:v>50,98 [kg/cm²]</c:v>
                </c:pt>
              </c:strCache>
            </c:strRef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'12'!$I$194:$I$251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'12'!$L$194:$L$251</c:f>
              <c:numCache>
                <c:formatCode>0.00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0.01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  <c:pt idx="14">
                  <c:v>0.11</c:v>
                </c:pt>
                <c:pt idx="15">
                  <c:v>0.11</c:v>
                </c:pt>
                <c:pt idx="16">
                  <c:v>0.11</c:v>
                </c:pt>
                <c:pt idx="17">
                  <c:v>0.11</c:v>
                </c:pt>
                <c:pt idx="18">
                  <c:v>0.11</c:v>
                </c:pt>
                <c:pt idx="19">
                  <c:v>0.12</c:v>
                </c:pt>
                <c:pt idx="20">
                  <c:v>0.13</c:v>
                </c:pt>
                <c:pt idx="21">
                  <c:v>0.15</c:v>
                </c:pt>
                <c:pt idx="22">
                  <c:v>0.21</c:v>
                </c:pt>
                <c:pt idx="23">
                  <c:v>0.19</c:v>
                </c:pt>
                <c:pt idx="24">
                  <c:v>0.15</c:v>
                </c:pt>
                <c:pt idx="25">
                  <c:v>0.12</c:v>
                </c:pt>
                <c:pt idx="26">
                  <c:v>0.03</c:v>
                </c:pt>
                <c:pt idx="27">
                  <c:v>0.12</c:v>
                </c:pt>
                <c:pt idx="28">
                  <c:v>0.12</c:v>
                </c:pt>
                <c:pt idx="29">
                  <c:v>0.12</c:v>
                </c:pt>
                <c:pt idx="30">
                  <c:v>0.1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0.1</c:v>
                </c:pt>
                <c:pt idx="38">
                  <c:v>0.1</c:v>
                </c:pt>
                <c:pt idx="39">
                  <c:v>0.11</c:v>
                </c:pt>
                <c:pt idx="40">
                  <c:v>0.11</c:v>
                </c:pt>
                <c:pt idx="41">
                  <c:v>0.11</c:v>
                </c:pt>
                <c:pt idx="42">
                  <c:v>0.11</c:v>
                </c:pt>
                <c:pt idx="43">
                  <c:v>0.12</c:v>
                </c:pt>
                <c:pt idx="44">
                  <c:v>0.12</c:v>
                </c:pt>
                <c:pt idx="45">
                  <c:v>0.12</c:v>
                </c:pt>
                <c:pt idx="46">
                  <c:v>0.12</c:v>
                </c:pt>
                <c:pt idx="47">
                  <c:v>0.12</c:v>
                </c:pt>
                <c:pt idx="48">
                  <c:v>0.12</c:v>
                </c:pt>
                <c:pt idx="49">
                  <c:v>0.11</c:v>
                </c:pt>
                <c:pt idx="50">
                  <c:v>0.11</c:v>
                </c:pt>
                <c:pt idx="51">
                  <c:v>0.11</c:v>
                </c:pt>
                <c:pt idx="52">
                  <c:v>0.11</c:v>
                </c:pt>
                <c:pt idx="53">
                  <c:v>0.11</c:v>
                </c:pt>
                <c:pt idx="54">
                  <c:v>0.11</c:v>
                </c:pt>
                <c:pt idx="55">
                  <c:v>0.11</c:v>
                </c:pt>
                <c:pt idx="56">
                  <c:v>0.12</c:v>
                </c:pt>
                <c:pt idx="57">
                  <c:v>0.14000000000000001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4A6E-A47C-6DFA9823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3664"/>
        <c:axId val="779725840"/>
      </c:scatterChart>
      <c:valAx>
        <c:axId val="779723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3856921026232978"/>
              <c:y val="0.83883129993366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5840"/>
        <c:crossesAt val="-4"/>
        <c:crossBetween val="midCat"/>
      </c:valAx>
      <c:valAx>
        <c:axId val="77972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Desplaz. Vertical, mm</a:t>
                </a:r>
              </a:p>
            </c:rich>
          </c:tx>
          <c:layout>
            <c:manualLayout>
              <c:xMode val="edge"/>
              <c:yMode val="edge"/>
              <c:x val="1.9197207678883072E-2"/>
              <c:y val="0.321124474825262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6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388259059240635E-2"/>
          <c:y val="0.91575206945285681"/>
          <c:w val="0.84031441096041004"/>
          <c:h val="6.22718314056897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73281114012185"/>
          <c:y val="0.17654398755711093"/>
          <c:w val="0.79634464751958223"/>
          <c:h val="0.6382735491396909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linear"/>
            <c:dispRSqr val="1"/>
            <c:dispEq val="1"/>
            <c:trendlineLbl>
              <c:layout>
                <c:manualLayout>
                  <c:x val="2.0657202637328818E-2"/>
                  <c:y val="0.1991992650531263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Ref>
              <c:f>'12'!$Q$60:$Q$62</c:f>
              <c:numCache>
                <c:formatCode>0.0</c:formatCode>
                <c:ptCount val="3"/>
                <c:pt idx="0">
                  <c:v>30.592204922985655</c:v>
                </c:pt>
                <c:pt idx="1">
                  <c:v>40.801381854559395</c:v>
                </c:pt>
                <c:pt idx="2">
                  <c:v>50.97523291439758</c:v>
                </c:pt>
              </c:numCache>
            </c:numRef>
          </c:xVal>
          <c:yVal>
            <c:numRef>
              <c:f>'12'!$R$60:$R$62</c:f>
              <c:numCache>
                <c:formatCode>0.0</c:formatCode>
                <c:ptCount val="3"/>
                <c:pt idx="0">
                  <c:v>40.700395016712243</c:v>
                </c:pt>
                <c:pt idx="1">
                  <c:v>45.599817684594349</c:v>
                </c:pt>
                <c:pt idx="2">
                  <c:v>58.18322698268004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54-4B69-A574-A14510968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4208"/>
        <c:axId val="779724752"/>
      </c:scatterChart>
      <c:valAx>
        <c:axId val="77972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Normal, kg/cm²</a:t>
                </a:r>
              </a:p>
            </c:rich>
          </c:tx>
          <c:layout>
            <c:manualLayout>
              <c:xMode val="edge"/>
              <c:yMode val="edge"/>
              <c:x val="0.36814621409921672"/>
              <c:y val="0.929633129192184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752"/>
        <c:crosses val="autoZero"/>
        <c:crossBetween val="midCat"/>
      </c:valAx>
      <c:valAx>
        <c:axId val="779724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665796344647518E-2"/>
              <c:y val="0.285186351706036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48146540737525"/>
          <c:y val="0.15384692298078126"/>
          <c:w val="0.74890831559440896"/>
          <c:h val="0.566546489381135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'15'!$G$16:$H$16</c:f>
              <c:strCache>
                <c:ptCount val="1"/>
                <c:pt idx="0">
                  <c:v>30,57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'15'!$I$26:$I$81</c:f>
              <c:numCache>
                <c:formatCode>0.00</c:formatCode>
                <c:ptCount val="5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5.6000000000000005</c:v>
                </c:pt>
                <c:pt idx="37">
                  <c:v>5.8</c:v>
                </c:pt>
                <c:pt idx="38">
                  <c:v>6</c:v>
                </c:pt>
                <c:pt idx="39">
                  <c:v>6.2</c:v>
                </c:pt>
                <c:pt idx="40">
                  <c:v>6.4</c:v>
                </c:pt>
                <c:pt idx="41">
                  <c:v>6.6000000000000005</c:v>
                </c:pt>
                <c:pt idx="42">
                  <c:v>6.8</c:v>
                </c:pt>
                <c:pt idx="43">
                  <c:v>7</c:v>
                </c:pt>
                <c:pt idx="44">
                  <c:v>7.2</c:v>
                </c:pt>
                <c:pt idx="45">
                  <c:v>7.4</c:v>
                </c:pt>
                <c:pt idx="46">
                  <c:v>7.6000000000000005</c:v>
                </c:pt>
                <c:pt idx="47">
                  <c:v>7.8</c:v>
                </c:pt>
                <c:pt idx="48">
                  <c:v>8</c:v>
                </c:pt>
                <c:pt idx="49">
                  <c:v>8.1999999999999993</c:v>
                </c:pt>
                <c:pt idx="50">
                  <c:v>8.4</c:v>
                </c:pt>
                <c:pt idx="51">
                  <c:v>8.6</c:v>
                </c:pt>
                <c:pt idx="52">
                  <c:v>8.8000000000000007</c:v>
                </c:pt>
                <c:pt idx="53">
                  <c:v>9</c:v>
                </c:pt>
                <c:pt idx="54">
                  <c:v>9.5</c:v>
                </c:pt>
                <c:pt idx="55">
                  <c:v>10</c:v>
                </c:pt>
              </c:numCache>
            </c:numRef>
          </c:xVal>
          <c:yVal>
            <c:numRef>
              <c:f>'15'!$K$26:$K$81</c:f>
              <c:numCache>
                <c:formatCode>0.00</c:formatCode>
                <c:ptCount val="56"/>
                <c:pt idx="0">
                  <c:v>0.26743442098528469</c:v>
                </c:pt>
                <c:pt idx="1">
                  <c:v>2.9213051823416505</c:v>
                </c:pt>
                <c:pt idx="2">
                  <c:v>4.092130518234165</c:v>
                </c:pt>
                <c:pt idx="3">
                  <c:v>4.3262955854126677</c:v>
                </c:pt>
                <c:pt idx="4">
                  <c:v>4.9507357645553416</c:v>
                </c:pt>
                <c:pt idx="5">
                  <c:v>5.6532309660908497</c:v>
                </c:pt>
                <c:pt idx="6">
                  <c:v>6.8240563019833651</c:v>
                </c:pt>
                <c:pt idx="7">
                  <c:v>7.9168266154830453</c:v>
                </c:pt>
                <c:pt idx="8">
                  <c:v>9.3218170185540625</c:v>
                </c:pt>
                <c:pt idx="9">
                  <c:v>10.882917466410747</c:v>
                </c:pt>
                <c:pt idx="10">
                  <c:v>12.209852847088932</c:v>
                </c:pt>
                <c:pt idx="11">
                  <c:v>13.614843250159948</c:v>
                </c:pt>
                <c:pt idx="12">
                  <c:v>14.707613563659628</c:v>
                </c:pt>
                <c:pt idx="13">
                  <c:v>16.112603966730646</c:v>
                </c:pt>
                <c:pt idx="14">
                  <c:v>17.205374280230327</c:v>
                </c:pt>
                <c:pt idx="15">
                  <c:v>20.639795265515037</c:v>
                </c:pt>
                <c:pt idx="16">
                  <c:v>21.498400511836209</c:v>
                </c:pt>
                <c:pt idx="17">
                  <c:v>21.498400511836209</c:v>
                </c:pt>
                <c:pt idx="18">
                  <c:v>21.498400511836209</c:v>
                </c:pt>
                <c:pt idx="19">
                  <c:v>22.669225847728725</c:v>
                </c:pt>
                <c:pt idx="20">
                  <c:v>19.703134996801023</c:v>
                </c:pt>
                <c:pt idx="21">
                  <c:v>20.171465131158026</c:v>
                </c:pt>
                <c:pt idx="22">
                  <c:v>19.703134996801023</c:v>
                </c:pt>
                <c:pt idx="23">
                  <c:v>19.078694817658349</c:v>
                </c:pt>
                <c:pt idx="24">
                  <c:v>19.234804862444015</c:v>
                </c:pt>
                <c:pt idx="25">
                  <c:v>19.468969929622521</c:v>
                </c:pt>
                <c:pt idx="26">
                  <c:v>18.53230966090851</c:v>
                </c:pt>
                <c:pt idx="27">
                  <c:v>19.468969929622521</c:v>
                </c:pt>
                <c:pt idx="28">
                  <c:v>18.376199616122843</c:v>
                </c:pt>
                <c:pt idx="29">
                  <c:v>16.971209213051822</c:v>
                </c:pt>
                <c:pt idx="30">
                  <c:v>18.53230966090851</c:v>
                </c:pt>
                <c:pt idx="31">
                  <c:v>16.73704414587332</c:v>
                </c:pt>
                <c:pt idx="32">
                  <c:v>17.907869481765832</c:v>
                </c:pt>
                <c:pt idx="33">
                  <c:v>19.468969929622521</c:v>
                </c:pt>
                <c:pt idx="34">
                  <c:v>19.937300063979524</c:v>
                </c:pt>
                <c:pt idx="35">
                  <c:v>17.829814459373001</c:v>
                </c:pt>
                <c:pt idx="36">
                  <c:v>19.000639795265513</c:v>
                </c:pt>
                <c:pt idx="37">
                  <c:v>19.703134996801023</c:v>
                </c:pt>
                <c:pt idx="38">
                  <c:v>20.873960332693535</c:v>
                </c:pt>
                <c:pt idx="39">
                  <c:v>20.405630198336532</c:v>
                </c:pt>
                <c:pt idx="40">
                  <c:v>21.108125399872041</c:v>
                </c:pt>
                <c:pt idx="41">
                  <c:v>20.873960332693535</c:v>
                </c:pt>
                <c:pt idx="42">
                  <c:v>19.937300063979524</c:v>
                </c:pt>
                <c:pt idx="43">
                  <c:v>20.171465131158026</c:v>
                </c:pt>
                <c:pt idx="44">
                  <c:v>21.342290467050542</c:v>
                </c:pt>
                <c:pt idx="45">
                  <c:v>21.108125399872041</c:v>
                </c:pt>
                <c:pt idx="46">
                  <c:v>21.342290467050542</c:v>
                </c:pt>
                <c:pt idx="47">
                  <c:v>20.405630198336532</c:v>
                </c:pt>
                <c:pt idx="48">
                  <c:v>20.171465131158026</c:v>
                </c:pt>
                <c:pt idx="49">
                  <c:v>17.907869481765832</c:v>
                </c:pt>
                <c:pt idx="50">
                  <c:v>17.907869481765832</c:v>
                </c:pt>
                <c:pt idx="51">
                  <c:v>18.142034548944338</c:v>
                </c:pt>
                <c:pt idx="52">
                  <c:v>17.439539347408829</c:v>
                </c:pt>
                <c:pt idx="53">
                  <c:v>17.673704414587331</c:v>
                </c:pt>
                <c:pt idx="54">
                  <c:v>17.673704414587331</c:v>
                </c:pt>
                <c:pt idx="55">
                  <c:v>17.907869481765832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4-4BB3-9C3A-A300D0BA2C5D}"/>
            </c:ext>
          </c:extLst>
        </c:ser>
        <c:ser>
          <c:idx val="1"/>
          <c:order val="1"/>
          <c:tx>
            <c:strRef>
              <c:f>'15'!$G$98:$H$98</c:f>
              <c:strCache>
                <c:ptCount val="1"/>
                <c:pt idx="0">
                  <c:v>40,76 [kg/cm²]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'15'!$I$108:$I$165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'15'!$K$108:$K$165</c:f>
              <c:numCache>
                <c:formatCode>0.00</c:formatCode>
                <c:ptCount val="58"/>
                <c:pt idx="0">
                  <c:v>0.26743442098528469</c:v>
                </c:pt>
                <c:pt idx="1">
                  <c:v>3.8579654510556618</c:v>
                </c:pt>
                <c:pt idx="2">
                  <c:v>4.9507357645553416</c:v>
                </c:pt>
                <c:pt idx="3">
                  <c:v>6.121561100447857</c:v>
                </c:pt>
                <c:pt idx="4">
                  <c:v>7.4484964811260381</c:v>
                </c:pt>
                <c:pt idx="5">
                  <c:v>10.414587332053742</c:v>
                </c:pt>
                <c:pt idx="6">
                  <c:v>11.741522712731927</c:v>
                </c:pt>
                <c:pt idx="7">
                  <c:v>12.912348048624439</c:v>
                </c:pt>
                <c:pt idx="8">
                  <c:v>14.473448496481126</c:v>
                </c:pt>
                <c:pt idx="9">
                  <c:v>15.64427383237364</c:v>
                </c:pt>
                <c:pt idx="10">
                  <c:v>17.673704414587331</c:v>
                </c:pt>
                <c:pt idx="11">
                  <c:v>18.298144593730004</c:v>
                </c:pt>
                <c:pt idx="12">
                  <c:v>19.937300063979524</c:v>
                </c:pt>
                <c:pt idx="13">
                  <c:v>20.3275751759437</c:v>
                </c:pt>
                <c:pt idx="14">
                  <c:v>21.732565579014715</c:v>
                </c:pt>
                <c:pt idx="15">
                  <c:v>21.030070377479205</c:v>
                </c:pt>
                <c:pt idx="16">
                  <c:v>22.200895713371718</c:v>
                </c:pt>
                <c:pt idx="17">
                  <c:v>22.200895713371718</c:v>
                </c:pt>
                <c:pt idx="18">
                  <c:v>23.293666026871399</c:v>
                </c:pt>
                <c:pt idx="19">
                  <c:v>23.761996161228403</c:v>
                </c:pt>
                <c:pt idx="20">
                  <c:v>22.825335892514392</c:v>
                </c:pt>
                <c:pt idx="21">
                  <c:v>22.200895713371718</c:v>
                </c:pt>
                <c:pt idx="22">
                  <c:v>21.732565579014715</c:v>
                </c:pt>
                <c:pt idx="23">
                  <c:v>22.591170825335894</c:v>
                </c:pt>
                <c:pt idx="24">
                  <c:v>21.732565579014715</c:v>
                </c:pt>
                <c:pt idx="25">
                  <c:v>20.795905310300704</c:v>
                </c:pt>
                <c:pt idx="26">
                  <c:v>21.030070377479205</c:v>
                </c:pt>
                <c:pt idx="27">
                  <c:v>20.3275751759437</c:v>
                </c:pt>
                <c:pt idx="28">
                  <c:v>18.063979526551503</c:v>
                </c:pt>
                <c:pt idx="29">
                  <c:v>18.53230966090851</c:v>
                </c:pt>
                <c:pt idx="30">
                  <c:v>19.234804862444015</c:v>
                </c:pt>
                <c:pt idx="31">
                  <c:v>18.063979526551503</c:v>
                </c:pt>
                <c:pt idx="32">
                  <c:v>18.376199616122843</c:v>
                </c:pt>
                <c:pt idx="33">
                  <c:v>18.376199616122843</c:v>
                </c:pt>
                <c:pt idx="34">
                  <c:v>20.405630198336532</c:v>
                </c:pt>
                <c:pt idx="35">
                  <c:v>20.639795265515037</c:v>
                </c:pt>
                <c:pt idx="36">
                  <c:v>21.732565579014715</c:v>
                </c:pt>
                <c:pt idx="37">
                  <c:v>21.264235444657711</c:v>
                </c:pt>
                <c:pt idx="38">
                  <c:v>21.264235444657711</c:v>
                </c:pt>
                <c:pt idx="39">
                  <c:v>21.498400511836209</c:v>
                </c:pt>
                <c:pt idx="40">
                  <c:v>22.435060780550224</c:v>
                </c:pt>
                <c:pt idx="41">
                  <c:v>21.966730646193216</c:v>
                </c:pt>
                <c:pt idx="42">
                  <c:v>22.669225847728725</c:v>
                </c:pt>
                <c:pt idx="43">
                  <c:v>24.23032629558541</c:v>
                </c:pt>
                <c:pt idx="44">
                  <c:v>24.23032629558541</c:v>
                </c:pt>
                <c:pt idx="45">
                  <c:v>25.791426743442099</c:v>
                </c:pt>
                <c:pt idx="46">
                  <c:v>26.493921944977608</c:v>
                </c:pt>
                <c:pt idx="47">
                  <c:v>27.586692258477285</c:v>
                </c:pt>
                <c:pt idx="48">
                  <c:v>27.430582213691618</c:v>
                </c:pt>
                <c:pt idx="49">
                  <c:v>26.962252079334611</c:v>
                </c:pt>
                <c:pt idx="50">
                  <c:v>25.791426743442099</c:v>
                </c:pt>
                <c:pt idx="51">
                  <c:v>26.493921944977608</c:v>
                </c:pt>
                <c:pt idx="52">
                  <c:v>27.820857325655787</c:v>
                </c:pt>
                <c:pt idx="53">
                  <c:v>26.962252079334611</c:v>
                </c:pt>
                <c:pt idx="54">
                  <c:v>27.196417146513113</c:v>
                </c:pt>
                <c:pt idx="55">
                  <c:v>27.586692258477285</c:v>
                </c:pt>
                <c:pt idx="56">
                  <c:v>28.055022392834292</c:v>
                </c:pt>
                <c:pt idx="57">
                  <c:v>27.196417146513113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24-4BB3-9C3A-A300D0BA2C5D}"/>
            </c:ext>
          </c:extLst>
        </c:ser>
        <c:ser>
          <c:idx val="2"/>
          <c:order val="2"/>
          <c:tx>
            <c:strRef>
              <c:f>'15'!$G$182:$H$182</c:f>
              <c:strCache>
                <c:ptCount val="1"/>
                <c:pt idx="0">
                  <c:v>51,03 [kg/cm²]</c:v>
                </c:pt>
              </c:strCache>
            </c:strRef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'15'!$I$192:$I$249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'15'!$K$192:$K$249</c:f>
              <c:numCache>
                <c:formatCode>0.00</c:formatCode>
                <c:ptCount val="58"/>
                <c:pt idx="0">
                  <c:v>0.26743442098528469</c:v>
                </c:pt>
                <c:pt idx="1">
                  <c:v>9.9462571976967364</c:v>
                </c:pt>
                <c:pt idx="2">
                  <c:v>11.741522712731927</c:v>
                </c:pt>
                <c:pt idx="3">
                  <c:v>13.614843250159948</c:v>
                </c:pt>
                <c:pt idx="4">
                  <c:v>16.73704414587332</c:v>
                </c:pt>
                <c:pt idx="5">
                  <c:v>19.390914907229686</c:v>
                </c:pt>
                <c:pt idx="6">
                  <c:v>20.639795265515037</c:v>
                </c:pt>
                <c:pt idx="7">
                  <c:v>21.030070377479205</c:v>
                </c:pt>
                <c:pt idx="8">
                  <c:v>24.23032629558541</c:v>
                </c:pt>
                <c:pt idx="9">
                  <c:v>24.932821497120919</c:v>
                </c:pt>
                <c:pt idx="10">
                  <c:v>26.259756877799102</c:v>
                </c:pt>
                <c:pt idx="11">
                  <c:v>27.586692258477285</c:v>
                </c:pt>
                <c:pt idx="12">
                  <c:v>28.991682661548303</c:v>
                </c:pt>
                <c:pt idx="13">
                  <c:v>29.225847728726805</c:v>
                </c:pt>
                <c:pt idx="14">
                  <c:v>29.460012795905307</c:v>
                </c:pt>
                <c:pt idx="15">
                  <c:v>29.069737683941138</c:v>
                </c:pt>
                <c:pt idx="16">
                  <c:v>32.348048624440182</c:v>
                </c:pt>
                <c:pt idx="17">
                  <c:v>31.255278310940497</c:v>
                </c:pt>
                <c:pt idx="18">
                  <c:v>33.284708893154182</c:v>
                </c:pt>
                <c:pt idx="19">
                  <c:v>34.845809341010877</c:v>
                </c:pt>
                <c:pt idx="20">
                  <c:v>36.250799744081888</c:v>
                </c:pt>
                <c:pt idx="21">
                  <c:v>34.221369161868196</c:v>
                </c:pt>
                <c:pt idx="22">
                  <c:v>35.079974408189372</c:v>
                </c:pt>
                <c:pt idx="23">
                  <c:v>36.250799744081888</c:v>
                </c:pt>
                <c:pt idx="24">
                  <c:v>35.00191938579654</c:v>
                </c:pt>
                <c:pt idx="25">
                  <c:v>35.548304542546376</c:v>
                </c:pt>
                <c:pt idx="26">
                  <c:v>35.079974408189372</c:v>
                </c:pt>
                <c:pt idx="27">
                  <c:v>36.32885476647472</c:v>
                </c:pt>
                <c:pt idx="28">
                  <c:v>34.845809341010877</c:v>
                </c:pt>
                <c:pt idx="29">
                  <c:v>34.611644273832368</c:v>
                </c:pt>
                <c:pt idx="30">
                  <c:v>34.611644273832368</c:v>
                </c:pt>
                <c:pt idx="31">
                  <c:v>35.314139475367874</c:v>
                </c:pt>
                <c:pt idx="32">
                  <c:v>33.987204094689695</c:v>
                </c:pt>
                <c:pt idx="33">
                  <c:v>35.314139475367874</c:v>
                </c:pt>
                <c:pt idx="34">
                  <c:v>34.611644273832368</c:v>
                </c:pt>
                <c:pt idx="35">
                  <c:v>36.484964811260397</c:v>
                </c:pt>
                <c:pt idx="36">
                  <c:v>37.81190019193857</c:v>
                </c:pt>
                <c:pt idx="37">
                  <c:v>38.046065259117078</c:v>
                </c:pt>
                <c:pt idx="38">
                  <c:v>36.484964811260397</c:v>
                </c:pt>
                <c:pt idx="39">
                  <c:v>39.163787587971846</c:v>
                </c:pt>
                <c:pt idx="40">
                  <c:v>38.514395393474082</c:v>
                </c:pt>
                <c:pt idx="41">
                  <c:v>38.514395393474082</c:v>
                </c:pt>
                <c:pt idx="42">
                  <c:v>37.109404990403071</c:v>
                </c:pt>
                <c:pt idx="43">
                  <c:v>37.577735124760068</c:v>
                </c:pt>
                <c:pt idx="44">
                  <c:v>39.609085092770307</c:v>
                </c:pt>
                <c:pt idx="45">
                  <c:v>38.046065259117078</c:v>
                </c:pt>
                <c:pt idx="46">
                  <c:v>38.046065259117078</c:v>
                </c:pt>
                <c:pt idx="47">
                  <c:v>39.38643634037107</c:v>
                </c:pt>
                <c:pt idx="48">
                  <c:v>36.250799744081888</c:v>
                </c:pt>
                <c:pt idx="49">
                  <c:v>36.250799744081888</c:v>
                </c:pt>
                <c:pt idx="50">
                  <c:v>34.611644273832368</c:v>
                </c:pt>
                <c:pt idx="51">
                  <c:v>38.28023032629558</c:v>
                </c:pt>
                <c:pt idx="52">
                  <c:v>39.138835572616756</c:v>
                </c:pt>
                <c:pt idx="53">
                  <c:v>38.28023032629558</c:v>
                </c:pt>
                <c:pt idx="54">
                  <c:v>38.046065259117078</c:v>
                </c:pt>
                <c:pt idx="55">
                  <c:v>34.611644273832368</c:v>
                </c:pt>
                <c:pt idx="56">
                  <c:v>32.348048624440182</c:v>
                </c:pt>
                <c:pt idx="57">
                  <c:v>32.348048624440182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24-4BB3-9C3A-A300D0BA2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6928"/>
        <c:axId val="779723120"/>
      </c:scatterChart>
      <c:valAx>
        <c:axId val="779726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0533765956420805"/>
              <c:y val="0.824179285281647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120"/>
        <c:crosses val="autoZero"/>
        <c:crossBetween val="midCat"/>
      </c:valAx>
      <c:valAx>
        <c:axId val="779723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748031496062992E-2"/>
              <c:y val="0.260074413775201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69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990555314443972E-2"/>
          <c:y val="0.91697345524117169"/>
          <c:w val="0.82152286082349935"/>
          <c:h val="6.593483506869335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9713347349906"/>
          <c:y val="0.16483593396979224"/>
          <c:w val="0.74171112118838545"/>
          <c:h val="0.58364089104246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'15'!$G$16:$H$16</c:f>
              <c:strCache>
                <c:ptCount val="1"/>
                <c:pt idx="0">
                  <c:v>30,57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'15'!$I$26:$I$81</c:f>
              <c:numCache>
                <c:formatCode>0.00</c:formatCode>
                <c:ptCount val="5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5.6000000000000005</c:v>
                </c:pt>
                <c:pt idx="37">
                  <c:v>5.8</c:v>
                </c:pt>
                <c:pt idx="38">
                  <c:v>6</c:v>
                </c:pt>
                <c:pt idx="39">
                  <c:v>6.2</c:v>
                </c:pt>
                <c:pt idx="40">
                  <c:v>6.4</c:v>
                </c:pt>
                <c:pt idx="41">
                  <c:v>6.6000000000000005</c:v>
                </c:pt>
                <c:pt idx="42">
                  <c:v>6.8</c:v>
                </c:pt>
                <c:pt idx="43">
                  <c:v>7</c:v>
                </c:pt>
                <c:pt idx="44">
                  <c:v>7.2</c:v>
                </c:pt>
                <c:pt idx="45">
                  <c:v>7.4</c:v>
                </c:pt>
                <c:pt idx="46">
                  <c:v>7.6000000000000005</c:v>
                </c:pt>
                <c:pt idx="47">
                  <c:v>7.8</c:v>
                </c:pt>
                <c:pt idx="48">
                  <c:v>8</c:v>
                </c:pt>
                <c:pt idx="49">
                  <c:v>8.1999999999999993</c:v>
                </c:pt>
                <c:pt idx="50">
                  <c:v>8.4</c:v>
                </c:pt>
                <c:pt idx="51">
                  <c:v>8.6</c:v>
                </c:pt>
                <c:pt idx="52">
                  <c:v>8.8000000000000007</c:v>
                </c:pt>
                <c:pt idx="53">
                  <c:v>9</c:v>
                </c:pt>
                <c:pt idx="54">
                  <c:v>9.5</c:v>
                </c:pt>
                <c:pt idx="55">
                  <c:v>10</c:v>
                </c:pt>
              </c:numCache>
            </c:numRef>
          </c:xVal>
          <c:yVal>
            <c:numRef>
              <c:f>'15'!$L$26:$L$81</c:f>
              <c:numCache>
                <c:formatCode>0.00</c:formatCode>
                <c:ptCount val="56"/>
                <c:pt idx="0">
                  <c:v>0</c:v>
                </c:pt>
                <c:pt idx="1">
                  <c:v>-0.01</c:v>
                </c:pt>
                <c:pt idx="2">
                  <c:v>-0.02</c:v>
                </c:pt>
                <c:pt idx="3">
                  <c:v>-0.08</c:v>
                </c:pt>
                <c:pt idx="4">
                  <c:v>-0.1</c:v>
                </c:pt>
                <c:pt idx="5">
                  <c:v>-0.11</c:v>
                </c:pt>
                <c:pt idx="6">
                  <c:v>-0.13</c:v>
                </c:pt>
                <c:pt idx="7">
                  <c:v>-0.15</c:v>
                </c:pt>
                <c:pt idx="8">
                  <c:v>-0.18</c:v>
                </c:pt>
                <c:pt idx="9">
                  <c:v>-0.22</c:v>
                </c:pt>
                <c:pt idx="10">
                  <c:v>-0.26</c:v>
                </c:pt>
                <c:pt idx="11">
                  <c:v>-0.31</c:v>
                </c:pt>
                <c:pt idx="12">
                  <c:v>-0.36</c:v>
                </c:pt>
                <c:pt idx="13">
                  <c:v>-0.41000000000000003</c:v>
                </c:pt>
                <c:pt idx="14">
                  <c:v>-0.47000000000000003</c:v>
                </c:pt>
                <c:pt idx="15">
                  <c:v>-0.56000000000000005</c:v>
                </c:pt>
                <c:pt idx="16">
                  <c:v>-0.6</c:v>
                </c:pt>
                <c:pt idx="17">
                  <c:v>-0.6</c:v>
                </c:pt>
                <c:pt idx="18">
                  <c:v>-0.65</c:v>
                </c:pt>
                <c:pt idx="19">
                  <c:v>-0.75</c:v>
                </c:pt>
                <c:pt idx="20">
                  <c:v>-0.89</c:v>
                </c:pt>
                <c:pt idx="21">
                  <c:v>0.1</c:v>
                </c:pt>
                <c:pt idx="22">
                  <c:v>0.24</c:v>
                </c:pt>
                <c:pt idx="23">
                  <c:v>0.4</c:v>
                </c:pt>
                <c:pt idx="24">
                  <c:v>0.48</c:v>
                </c:pt>
                <c:pt idx="25">
                  <c:v>0.57999999999999996</c:v>
                </c:pt>
                <c:pt idx="26">
                  <c:v>0.67</c:v>
                </c:pt>
                <c:pt idx="27">
                  <c:v>0.77</c:v>
                </c:pt>
                <c:pt idx="28">
                  <c:v>0.81</c:v>
                </c:pt>
                <c:pt idx="29">
                  <c:v>0.85</c:v>
                </c:pt>
                <c:pt idx="30">
                  <c:v>0.86</c:v>
                </c:pt>
                <c:pt idx="31">
                  <c:v>0.96</c:v>
                </c:pt>
                <c:pt idx="32">
                  <c:v>1</c:v>
                </c:pt>
                <c:pt idx="33">
                  <c:v>1.06</c:v>
                </c:pt>
                <c:pt idx="34">
                  <c:v>1.1599999999999999</c:v>
                </c:pt>
                <c:pt idx="35">
                  <c:v>1.19</c:v>
                </c:pt>
                <c:pt idx="36">
                  <c:v>1.24</c:v>
                </c:pt>
                <c:pt idx="37">
                  <c:v>1.41</c:v>
                </c:pt>
                <c:pt idx="38">
                  <c:v>1.57</c:v>
                </c:pt>
                <c:pt idx="39">
                  <c:v>1.68</c:v>
                </c:pt>
                <c:pt idx="40">
                  <c:v>1.79</c:v>
                </c:pt>
                <c:pt idx="41">
                  <c:v>1.8900000000000001</c:v>
                </c:pt>
                <c:pt idx="42">
                  <c:v>1.9100000000000001</c:v>
                </c:pt>
                <c:pt idx="43">
                  <c:v>2.04</c:v>
                </c:pt>
                <c:pt idx="44">
                  <c:v>2.0100000000000002</c:v>
                </c:pt>
                <c:pt idx="45">
                  <c:v>2.0100000000000002</c:v>
                </c:pt>
                <c:pt idx="46">
                  <c:v>2</c:v>
                </c:pt>
                <c:pt idx="47">
                  <c:v>1.97</c:v>
                </c:pt>
                <c:pt idx="48">
                  <c:v>1.95</c:v>
                </c:pt>
                <c:pt idx="49">
                  <c:v>1.92</c:v>
                </c:pt>
                <c:pt idx="50">
                  <c:v>1.9100000000000001</c:v>
                </c:pt>
                <c:pt idx="51">
                  <c:v>1.9000000000000001</c:v>
                </c:pt>
                <c:pt idx="52">
                  <c:v>1.86</c:v>
                </c:pt>
                <c:pt idx="53">
                  <c:v>1.79</c:v>
                </c:pt>
                <c:pt idx="54">
                  <c:v>1.77</c:v>
                </c:pt>
                <c:pt idx="55">
                  <c:v>1.76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93-43CF-B864-774D629E7147}"/>
            </c:ext>
          </c:extLst>
        </c:ser>
        <c:ser>
          <c:idx val="1"/>
          <c:order val="1"/>
          <c:tx>
            <c:strRef>
              <c:f>'15'!$G$98:$H$98</c:f>
              <c:strCache>
                <c:ptCount val="1"/>
                <c:pt idx="0">
                  <c:v>40,76 [kg/cm²]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'15'!$I$108:$I$165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'15'!$L$108:$L$165</c:f>
              <c:numCache>
                <c:formatCode>0.00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-0.01</c:v>
                </c:pt>
                <c:pt idx="11">
                  <c:v>-0.04</c:v>
                </c:pt>
                <c:pt idx="12">
                  <c:v>-0.06</c:v>
                </c:pt>
                <c:pt idx="13">
                  <c:v>-7.0000000000000007E-2</c:v>
                </c:pt>
                <c:pt idx="14">
                  <c:v>-7.0000000000000007E-2</c:v>
                </c:pt>
                <c:pt idx="15">
                  <c:v>-0.08</c:v>
                </c:pt>
                <c:pt idx="16">
                  <c:v>-0.1</c:v>
                </c:pt>
                <c:pt idx="17">
                  <c:v>-0.11</c:v>
                </c:pt>
                <c:pt idx="18">
                  <c:v>-0.14000000000000001</c:v>
                </c:pt>
                <c:pt idx="19">
                  <c:v>-0.16</c:v>
                </c:pt>
                <c:pt idx="20">
                  <c:v>-0.19</c:v>
                </c:pt>
                <c:pt idx="21">
                  <c:v>-0.19</c:v>
                </c:pt>
                <c:pt idx="22">
                  <c:v>-0.23</c:v>
                </c:pt>
                <c:pt idx="23">
                  <c:v>-0.3</c:v>
                </c:pt>
                <c:pt idx="24">
                  <c:v>-0.31</c:v>
                </c:pt>
                <c:pt idx="25">
                  <c:v>-0.3</c:v>
                </c:pt>
                <c:pt idx="26">
                  <c:v>-0.3</c:v>
                </c:pt>
                <c:pt idx="27">
                  <c:v>-0.28999999999999998</c:v>
                </c:pt>
                <c:pt idx="28">
                  <c:v>-0.28000000000000003</c:v>
                </c:pt>
                <c:pt idx="29">
                  <c:v>-0.25</c:v>
                </c:pt>
                <c:pt idx="30">
                  <c:v>-0.24</c:v>
                </c:pt>
                <c:pt idx="31">
                  <c:v>-0.21</c:v>
                </c:pt>
                <c:pt idx="32">
                  <c:v>-0.2</c:v>
                </c:pt>
                <c:pt idx="33">
                  <c:v>-0.18</c:v>
                </c:pt>
                <c:pt idx="34">
                  <c:v>-0.15</c:v>
                </c:pt>
                <c:pt idx="35">
                  <c:v>-0.13</c:v>
                </c:pt>
                <c:pt idx="36">
                  <c:v>-0.1</c:v>
                </c:pt>
                <c:pt idx="37">
                  <c:v>-0.08</c:v>
                </c:pt>
                <c:pt idx="38">
                  <c:v>-0.08</c:v>
                </c:pt>
                <c:pt idx="39">
                  <c:v>-0.08</c:v>
                </c:pt>
                <c:pt idx="40">
                  <c:v>-0.08</c:v>
                </c:pt>
                <c:pt idx="41">
                  <c:v>-0.08</c:v>
                </c:pt>
                <c:pt idx="42">
                  <c:v>-0.11</c:v>
                </c:pt>
                <c:pt idx="43">
                  <c:v>-0.12</c:v>
                </c:pt>
                <c:pt idx="44">
                  <c:v>-0.12</c:v>
                </c:pt>
                <c:pt idx="45">
                  <c:v>-0.14000000000000001</c:v>
                </c:pt>
                <c:pt idx="46">
                  <c:v>-0.15</c:v>
                </c:pt>
                <c:pt idx="47">
                  <c:v>-0.17</c:v>
                </c:pt>
                <c:pt idx="48">
                  <c:v>-0.19</c:v>
                </c:pt>
                <c:pt idx="49">
                  <c:v>-0.2</c:v>
                </c:pt>
                <c:pt idx="50">
                  <c:v>-0.21</c:v>
                </c:pt>
                <c:pt idx="51">
                  <c:v>-0.22</c:v>
                </c:pt>
                <c:pt idx="52">
                  <c:v>-0.25</c:v>
                </c:pt>
                <c:pt idx="53">
                  <c:v>-0.31</c:v>
                </c:pt>
                <c:pt idx="54">
                  <c:v>-0.31</c:v>
                </c:pt>
                <c:pt idx="55">
                  <c:v>-0.31</c:v>
                </c:pt>
                <c:pt idx="56">
                  <c:v>-0.32</c:v>
                </c:pt>
                <c:pt idx="57">
                  <c:v>-0.32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93-43CF-B864-774D629E7147}"/>
            </c:ext>
          </c:extLst>
        </c:ser>
        <c:ser>
          <c:idx val="2"/>
          <c:order val="2"/>
          <c:tx>
            <c:strRef>
              <c:f>'15'!$G$182:$H$182</c:f>
              <c:strCache>
                <c:ptCount val="1"/>
                <c:pt idx="0">
                  <c:v>51,03 [kg/cm²]</c:v>
                </c:pt>
              </c:strCache>
            </c:strRef>
          </c:tx>
          <c:spPr>
            <a:ln w="3175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'15'!$I$192:$I$249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'15'!$L$192:$L$249</c:f>
              <c:numCache>
                <c:formatCode>0.00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-0.02</c:v>
                </c:pt>
                <c:pt idx="4">
                  <c:v>-0.02</c:v>
                </c:pt>
                <c:pt idx="5">
                  <c:v>-0.02</c:v>
                </c:pt>
                <c:pt idx="6">
                  <c:v>-0.02</c:v>
                </c:pt>
                <c:pt idx="7">
                  <c:v>-0.01</c:v>
                </c:pt>
                <c:pt idx="8">
                  <c:v>-0.02</c:v>
                </c:pt>
                <c:pt idx="9">
                  <c:v>-0.06</c:v>
                </c:pt>
                <c:pt idx="10">
                  <c:v>-0.06</c:v>
                </c:pt>
                <c:pt idx="11">
                  <c:v>-7.0000000000000007E-2</c:v>
                </c:pt>
                <c:pt idx="12">
                  <c:v>-0.08</c:v>
                </c:pt>
                <c:pt idx="13">
                  <c:v>-0.09</c:v>
                </c:pt>
                <c:pt idx="14">
                  <c:v>-0.09</c:v>
                </c:pt>
                <c:pt idx="15">
                  <c:v>-0.09</c:v>
                </c:pt>
                <c:pt idx="16">
                  <c:v>-0.1</c:v>
                </c:pt>
                <c:pt idx="17">
                  <c:v>-0.1</c:v>
                </c:pt>
                <c:pt idx="18">
                  <c:v>-0.11</c:v>
                </c:pt>
                <c:pt idx="19">
                  <c:v>-0.11</c:v>
                </c:pt>
                <c:pt idx="20">
                  <c:v>-0.14000000000000001</c:v>
                </c:pt>
                <c:pt idx="21">
                  <c:v>-0.12</c:v>
                </c:pt>
                <c:pt idx="22">
                  <c:v>-0.12</c:v>
                </c:pt>
                <c:pt idx="23">
                  <c:v>-0.12</c:v>
                </c:pt>
                <c:pt idx="24">
                  <c:v>-0.12</c:v>
                </c:pt>
                <c:pt idx="25">
                  <c:v>-0.13</c:v>
                </c:pt>
                <c:pt idx="26">
                  <c:v>-0.12</c:v>
                </c:pt>
                <c:pt idx="27">
                  <c:v>-0.11</c:v>
                </c:pt>
                <c:pt idx="28">
                  <c:v>-0.1</c:v>
                </c:pt>
                <c:pt idx="29">
                  <c:v>-0.09</c:v>
                </c:pt>
                <c:pt idx="30">
                  <c:v>-0.1</c:v>
                </c:pt>
                <c:pt idx="31">
                  <c:v>-0.1</c:v>
                </c:pt>
                <c:pt idx="32">
                  <c:v>-0.09</c:v>
                </c:pt>
                <c:pt idx="33">
                  <c:v>-0.09</c:v>
                </c:pt>
                <c:pt idx="34">
                  <c:v>-0.08</c:v>
                </c:pt>
                <c:pt idx="35">
                  <c:v>-0.08</c:v>
                </c:pt>
                <c:pt idx="36">
                  <c:v>-0.08</c:v>
                </c:pt>
                <c:pt idx="37">
                  <c:v>-0.08</c:v>
                </c:pt>
                <c:pt idx="38">
                  <c:v>-0.08</c:v>
                </c:pt>
                <c:pt idx="39">
                  <c:v>-0.06</c:v>
                </c:pt>
                <c:pt idx="40">
                  <c:v>-0.05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0.02</c:v>
                </c:pt>
                <c:pt idx="50">
                  <c:v>0.02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0.1</c:v>
                </c:pt>
                <c:pt idx="54">
                  <c:v>0.13</c:v>
                </c:pt>
                <c:pt idx="55">
                  <c:v>0.13</c:v>
                </c:pt>
                <c:pt idx="56">
                  <c:v>0.13</c:v>
                </c:pt>
                <c:pt idx="57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93-43CF-B864-774D629E7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3664"/>
        <c:axId val="779725840"/>
      </c:scatterChart>
      <c:valAx>
        <c:axId val="779723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3856921026232978"/>
              <c:y val="0.83883129993366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5840"/>
        <c:crossesAt val="-4"/>
        <c:crossBetween val="midCat"/>
      </c:valAx>
      <c:valAx>
        <c:axId val="77972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Desplaz. Vertical, mm</a:t>
                </a:r>
              </a:p>
            </c:rich>
          </c:tx>
          <c:layout>
            <c:manualLayout>
              <c:xMode val="edge"/>
              <c:yMode val="edge"/>
              <c:x val="1.9197207678883072E-2"/>
              <c:y val="0.321124474825262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6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388259059240635E-2"/>
          <c:y val="0.91575206945285681"/>
          <c:w val="0.84031441096041004"/>
          <c:h val="6.22718314056897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73281114012185"/>
          <c:y val="0.17654398755711093"/>
          <c:w val="0.79634464751958223"/>
          <c:h val="0.6382735491396909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linear"/>
            <c:dispRSqr val="1"/>
            <c:dispEq val="1"/>
            <c:trendlineLbl>
              <c:layout>
                <c:manualLayout>
                  <c:x val="0.10206810541770832"/>
                  <c:y val="0.2639070671721590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Ref>
              <c:f>'15'!$Q$60:$Q$62</c:f>
              <c:numCache>
                <c:formatCode>0.0</c:formatCode>
                <c:ptCount val="3"/>
                <c:pt idx="0">
                  <c:v>30.570575454494982</c:v>
                </c:pt>
                <c:pt idx="1">
                  <c:v>40.760767272659969</c:v>
                </c:pt>
                <c:pt idx="2">
                  <c:v>51.025340053001351</c:v>
                </c:pt>
              </c:numCache>
            </c:numRef>
          </c:xVal>
          <c:yVal>
            <c:numRef>
              <c:f>'15'!$R$60:$R$62</c:f>
              <c:numCache>
                <c:formatCode>0.0</c:formatCode>
                <c:ptCount val="3"/>
                <c:pt idx="0">
                  <c:v>22.669225847728725</c:v>
                </c:pt>
                <c:pt idx="1">
                  <c:v>28.055022392834292</c:v>
                </c:pt>
                <c:pt idx="2">
                  <c:v>39.609085092770307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AE-443F-8469-BE57011BC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4208"/>
        <c:axId val="779724752"/>
      </c:scatterChart>
      <c:valAx>
        <c:axId val="77972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Normal, kg/cm²</a:t>
                </a:r>
              </a:p>
            </c:rich>
          </c:tx>
          <c:layout>
            <c:manualLayout>
              <c:xMode val="edge"/>
              <c:yMode val="edge"/>
              <c:x val="0.36814621409921672"/>
              <c:y val="0.929633129192184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752"/>
        <c:crosses val="autoZero"/>
        <c:crossBetween val="midCat"/>
      </c:valAx>
      <c:valAx>
        <c:axId val="779724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665796344647518E-2"/>
              <c:y val="0.285186351706036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8146540737525"/>
          <c:y val="0.15384692298078126"/>
          <c:w val="0.74890831559440896"/>
          <c:h val="0.566546489381135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'41'!$G$16:$H$16</c:f>
              <c:strCache>
                <c:ptCount val="1"/>
                <c:pt idx="0">
                  <c:v>40,81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'41'!$I$26:$I$83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'41'!$K$26:$K$83</c:f>
              <c:numCache>
                <c:formatCode>0.00</c:formatCode>
                <c:ptCount val="58"/>
                <c:pt idx="0">
                  <c:v>0.19514472455648924</c:v>
                </c:pt>
                <c:pt idx="1">
                  <c:v>2.1316526610644253</c:v>
                </c:pt>
                <c:pt idx="2">
                  <c:v>3.1568627450980391</c:v>
                </c:pt>
                <c:pt idx="3">
                  <c:v>4.1251167133520061</c:v>
                </c:pt>
                <c:pt idx="4">
                  <c:v>4.9794584500466845</c:v>
                </c:pt>
                <c:pt idx="5">
                  <c:v>7.257703081232493</c:v>
                </c:pt>
                <c:pt idx="6">
                  <c:v>10.732026143790849</c:v>
                </c:pt>
                <c:pt idx="7">
                  <c:v>18.364145658263304</c:v>
                </c:pt>
                <c:pt idx="8">
                  <c:v>36.646591970121378</c:v>
                </c:pt>
                <c:pt idx="9">
                  <c:v>42.224556489262362</c:v>
                </c:pt>
                <c:pt idx="10">
                  <c:v>47.260971055088696</c:v>
                </c:pt>
                <c:pt idx="11">
                  <c:v>60.79971988795517</c:v>
                </c:pt>
                <c:pt idx="12">
                  <c:v>57.821195144724548</c:v>
                </c:pt>
                <c:pt idx="13">
                  <c:v>58.741830065359473</c:v>
                </c:pt>
                <c:pt idx="14">
                  <c:v>64.53641456582632</c:v>
                </c:pt>
                <c:pt idx="15">
                  <c:v>66.756769374416422</c:v>
                </c:pt>
                <c:pt idx="16">
                  <c:v>59.662464985994383</c:v>
                </c:pt>
                <c:pt idx="17">
                  <c:v>61.3954248366013</c:v>
                </c:pt>
                <c:pt idx="18">
                  <c:v>62.965919701213807</c:v>
                </c:pt>
                <c:pt idx="19">
                  <c:v>67.677404295051346</c:v>
                </c:pt>
                <c:pt idx="20">
                  <c:v>71.630718954248351</c:v>
                </c:pt>
                <c:pt idx="21">
                  <c:v>73.959383753501385</c:v>
                </c:pt>
                <c:pt idx="22">
                  <c:v>67.027544351073743</c:v>
                </c:pt>
                <c:pt idx="23">
                  <c:v>63.940709617180197</c:v>
                </c:pt>
                <c:pt idx="24">
                  <c:v>65.944444444444443</c:v>
                </c:pt>
                <c:pt idx="25">
                  <c:v>70.818394024276358</c:v>
                </c:pt>
                <c:pt idx="26">
                  <c:v>72.11811391223155</c:v>
                </c:pt>
                <c:pt idx="27">
                  <c:v>69.302054154995318</c:v>
                </c:pt>
                <c:pt idx="28">
                  <c:v>70.818394024276358</c:v>
                </c:pt>
                <c:pt idx="29">
                  <c:v>73.959383753501385</c:v>
                </c:pt>
                <c:pt idx="30">
                  <c:v>73.79691876750698</c:v>
                </c:pt>
                <c:pt idx="31">
                  <c:v>70.980859010270763</c:v>
                </c:pt>
                <c:pt idx="32">
                  <c:v>73.03874883286646</c:v>
                </c:pt>
                <c:pt idx="33">
                  <c:v>75.096638655462172</c:v>
                </c:pt>
                <c:pt idx="34">
                  <c:v>74.121848739495789</c:v>
                </c:pt>
                <c:pt idx="35">
                  <c:v>76.612978524743227</c:v>
                </c:pt>
                <c:pt idx="36">
                  <c:v>76.233893557422959</c:v>
                </c:pt>
                <c:pt idx="37">
                  <c:v>75.259103641456576</c:v>
                </c:pt>
                <c:pt idx="38">
                  <c:v>81.378618113912225</c:v>
                </c:pt>
                <c:pt idx="39">
                  <c:v>79.320728291316513</c:v>
                </c:pt>
                <c:pt idx="40">
                  <c:v>81.270308123249293</c:v>
                </c:pt>
                <c:pt idx="41">
                  <c:v>78.075163398692794</c:v>
                </c:pt>
                <c:pt idx="42">
                  <c:v>76.99206349206348</c:v>
                </c:pt>
                <c:pt idx="43">
                  <c:v>72.659663865546207</c:v>
                </c:pt>
                <c:pt idx="44">
                  <c:v>75.692343604108302</c:v>
                </c:pt>
                <c:pt idx="45">
                  <c:v>71.305788982259557</c:v>
                </c:pt>
                <c:pt idx="46">
                  <c:v>71.793183940242756</c:v>
                </c:pt>
                <c:pt idx="47">
                  <c:v>70.222689075630242</c:v>
                </c:pt>
                <c:pt idx="48">
                  <c:v>74.284313725490179</c:v>
                </c:pt>
                <c:pt idx="49">
                  <c:v>71.95564892623716</c:v>
                </c:pt>
                <c:pt idx="50">
                  <c:v>71.630718954248351</c:v>
                </c:pt>
                <c:pt idx="51">
                  <c:v>78.075163398692794</c:v>
                </c:pt>
                <c:pt idx="52">
                  <c:v>76.342203548085891</c:v>
                </c:pt>
                <c:pt idx="53">
                  <c:v>72.605508870214734</c:v>
                </c:pt>
                <c:pt idx="54">
                  <c:v>75.475723622782439</c:v>
                </c:pt>
                <c:pt idx="55">
                  <c:v>75.746498599439761</c:v>
                </c:pt>
                <c:pt idx="56">
                  <c:v>78.237628384687198</c:v>
                </c:pt>
                <c:pt idx="57">
                  <c:v>75.096638655462172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0-49EB-9322-7D37F5858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6928"/>
        <c:axId val="7797231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FF00FF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FF00FF"/>
                    </a:solidFill>
                    <a:ln>
                      <a:solidFill>
                        <a:srgbClr val="FF00FF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880-49EB-9322-7D37F585891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008000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880-49EB-9322-7D37F585891E}"/>
                  </c:ext>
                </c:extLst>
              </c15:ser>
            </c15:filteredScatterSeries>
          </c:ext>
        </c:extLst>
      </c:scatterChart>
      <c:valAx>
        <c:axId val="779726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0533765956420805"/>
              <c:y val="0.8241792852816475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120"/>
        <c:crosses val="autoZero"/>
        <c:crossBetween val="midCat"/>
      </c:valAx>
      <c:valAx>
        <c:axId val="779723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748031496062992E-2"/>
              <c:y val="0.260074413775201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69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0990555314443972E-2"/>
          <c:y val="0.91697345524117169"/>
          <c:w val="0.82152286082349935"/>
          <c:h val="6.593483506869335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59713347349906"/>
          <c:y val="0.16483593396979224"/>
          <c:w val="0.74171112118838545"/>
          <c:h val="0.58364089104246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'41'!$G$16:$H$16</c:f>
              <c:strCache>
                <c:ptCount val="1"/>
                <c:pt idx="0">
                  <c:v>40,81 [kg/cm²]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'41'!$I$26:$I$83</c:f>
              <c:numCache>
                <c:formatCode>0.00</c:formatCode>
                <c:ptCount val="5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2.6</c:v>
                </c:pt>
                <c:pt idx="24">
                  <c:v>2.8000000000000003</c:v>
                </c:pt>
                <c:pt idx="25">
                  <c:v>3</c:v>
                </c:pt>
                <c:pt idx="26">
                  <c:v>3.2</c:v>
                </c:pt>
                <c:pt idx="27">
                  <c:v>3.4</c:v>
                </c:pt>
                <c:pt idx="28">
                  <c:v>3.6</c:v>
                </c:pt>
                <c:pt idx="29">
                  <c:v>3.8000000000000003</c:v>
                </c:pt>
                <c:pt idx="30">
                  <c:v>4</c:v>
                </c:pt>
                <c:pt idx="31">
                  <c:v>4.2</c:v>
                </c:pt>
                <c:pt idx="32">
                  <c:v>4.4000000000000004</c:v>
                </c:pt>
                <c:pt idx="33">
                  <c:v>4.6000000000000005</c:v>
                </c:pt>
                <c:pt idx="34">
                  <c:v>4.8</c:v>
                </c:pt>
                <c:pt idx="35">
                  <c:v>5</c:v>
                </c:pt>
                <c:pt idx="36">
                  <c:v>5.2</c:v>
                </c:pt>
                <c:pt idx="37">
                  <c:v>5.4</c:v>
                </c:pt>
                <c:pt idx="38">
                  <c:v>5.6000000000000005</c:v>
                </c:pt>
                <c:pt idx="39">
                  <c:v>5.8</c:v>
                </c:pt>
                <c:pt idx="40">
                  <c:v>6</c:v>
                </c:pt>
                <c:pt idx="41">
                  <c:v>6.2</c:v>
                </c:pt>
                <c:pt idx="42">
                  <c:v>6.4</c:v>
                </c:pt>
                <c:pt idx="43">
                  <c:v>6.6000000000000005</c:v>
                </c:pt>
                <c:pt idx="44">
                  <c:v>6.8</c:v>
                </c:pt>
                <c:pt idx="45">
                  <c:v>7</c:v>
                </c:pt>
                <c:pt idx="46">
                  <c:v>7.2</c:v>
                </c:pt>
                <c:pt idx="47">
                  <c:v>7.4</c:v>
                </c:pt>
                <c:pt idx="48">
                  <c:v>7.6000000000000005</c:v>
                </c:pt>
                <c:pt idx="49">
                  <c:v>7.8</c:v>
                </c:pt>
                <c:pt idx="50">
                  <c:v>8</c:v>
                </c:pt>
                <c:pt idx="51">
                  <c:v>8.1999999999999993</c:v>
                </c:pt>
                <c:pt idx="52">
                  <c:v>8.4</c:v>
                </c:pt>
                <c:pt idx="53">
                  <c:v>8.6</c:v>
                </c:pt>
                <c:pt idx="54">
                  <c:v>8.8000000000000007</c:v>
                </c:pt>
                <c:pt idx="55">
                  <c:v>9</c:v>
                </c:pt>
                <c:pt idx="56">
                  <c:v>9.5</c:v>
                </c:pt>
                <c:pt idx="57">
                  <c:v>10</c:v>
                </c:pt>
              </c:numCache>
            </c:numRef>
          </c:xVal>
          <c:yVal>
            <c:numRef>
              <c:f>'41'!$L$26:$L$83</c:f>
              <c:numCache>
                <c:formatCode>0.00</c:formatCode>
                <c:ptCount val="58"/>
                <c:pt idx="0">
                  <c:v>0</c:v>
                </c:pt>
                <c:pt idx="1">
                  <c:v>-0.01</c:v>
                </c:pt>
                <c:pt idx="2">
                  <c:v>-0.01</c:v>
                </c:pt>
                <c:pt idx="3">
                  <c:v>-0.06</c:v>
                </c:pt>
                <c:pt idx="4">
                  <c:v>-0.05</c:v>
                </c:pt>
                <c:pt idx="5">
                  <c:v>-0.05</c:v>
                </c:pt>
                <c:pt idx="6">
                  <c:v>-0.04</c:v>
                </c:pt>
                <c:pt idx="7">
                  <c:v>-0.02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0.1</c:v>
                </c:pt>
                <c:pt idx="12">
                  <c:v>0.5</c:v>
                </c:pt>
                <c:pt idx="13">
                  <c:v>0.6</c:v>
                </c:pt>
                <c:pt idx="14">
                  <c:v>0.6</c:v>
                </c:pt>
                <c:pt idx="15">
                  <c:v>0.70000000000000007</c:v>
                </c:pt>
                <c:pt idx="16">
                  <c:v>0.75</c:v>
                </c:pt>
                <c:pt idx="17">
                  <c:v>0.70000000000000007</c:v>
                </c:pt>
                <c:pt idx="18">
                  <c:v>0.65</c:v>
                </c:pt>
                <c:pt idx="19">
                  <c:v>0.70000000000000007</c:v>
                </c:pt>
                <c:pt idx="20">
                  <c:v>0.8</c:v>
                </c:pt>
                <c:pt idx="21">
                  <c:v>0.9</c:v>
                </c:pt>
                <c:pt idx="22">
                  <c:v>1</c:v>
                </c:pt>
                <c:pt idx="23">
                  <c:v>1.2</c:v>
                </c:pt>
                <c:pt idx="24">
                  <c:v>1</c:v>
                </c:pt>
                <c:pt idx="25">
                  <c:v>1.1200000000000001</c:v>
                </c:pt>
                <c:pt idx="26">
                  <c:v>1.1599999999999999</c:v>
                </c:pt>
                <c:pt idx="27">
                  <c:v>1.3</c:v>
                </c:pt>
                <c:pt idx="28">
                  <c:v>1.3900000000000001</c:v>
                </c:pt>
                <c:pt idx="29">
                  <c:v>1.45</c:v>
                </c:pt>
                <c:pt idx="30">
                  <c:v>1.54</c:v>
                </c:pt>
                <c:pt idx="31">
                  <c:v>1.78</c:v>
                </c:pt>
                <c:pt idx="32">
                  <c:v>1.6300000000000001</c:v>
                </c:pt>
                <c:pt idx="33">
                  <c:v>1.75</c:v>
                </c:pt>
                <c:pt idx="34">
                  <c:v>1.9000000000000001</c:v>
                </c:pt>
                <c:pt idx="35">
                  <c:v>2.06</c:v>
                </c:pt>
                <c:pt idx="36">
                  <c:v>2.09</c:v>
                </c:pt>
                <c:pt idx="37">
                  <c:v>2.2800000000000002</c:v>
                </c:pt>
                <c:pt idx="38">
                  <c:v>2.2200000000000002</c:v>
                </c:pt>
                <c:pt idx="39">
                  <c:v>2.38</c:v>
                </c:pt>
                <c:pt idx="40">
                  <c:v>2.5500000000000003</c:v>
                </c:pt>
                <c:pt idx="41">
                  <c:v>2.7600000000000002</c:v>
                </c:pt>
                <c:pt idx="42">
                  <c:v>2.85</c:v>
                </c:pt>
                <c:pt idx="43">
                  <c:v>2.98</c:v>
                </c:pt>
                <c:pt idx="44">
                  <c:v>2.81</c:v>
                </c:pt>
                <c:pt idx="45">
                  <c:v>2.92</c:v>
                </c:pt>
                <c:pt idx="46">
                  <c:v>3</c:v>
                </c:pt>
                <c:pt idx="47">
                  <c:v>3.14</c:v>
                </c:pt>
                <c:pt idx="48">
                  <c:v>3.2</c:v>
                </c:pt>
                <c:pt idx="49">
                  <c:v>3.35</c:v>
                </c:pt>
                <c:pt idx="50">
                  <c:v>3.45</c:v>
                </c:pt>
                <c:pt idx="51">
                  <c:v>3.43</c:v>
                </c:pt>
                <c:pt idx="52">
                  <c:v>3.59</c:v>
                </c:pt>
                <c:pt idx="53">
                  <c:v>3.7</c:v>
                </c:pt>
                <c:pt idx="54">
                  <c:v>3.72</c:v>
                </c:pt>
                <c:pt idx="55">
                  <c:v>3.84</c:v>
                </c:pt>
                <c:pt idx="56">
                  <c:v>3.99</c:v>
                </c:pt>
                <c:pt idx="57">
                  <c:v>4.0999999999999996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01-412B-8E51-C507417E5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3664"/>
        <c:axId val="7797258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FF00FF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FF00FF"/>
                    </a:solidFill>
                    <a:ln>
                      <a:solidFill>
                        <a:srgbClr val="FF00FF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'41'!#REF!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601-412B-8E51-C507417E591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3175">
                    <a:solidFill>
                      <a:srgbClr val="008000"/>
                    </a:solidFill>
                    <a:prstDash val="solid"/>
                  </a:ln>
                </c:spPr>
                <c:marker>
                  <c:symbol val="circle"/>
                  <c:size val="3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'41'!#REF!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601-412B-8E51-C507417E5918}"/>
                  </c:ext>
                </c:extLst>
              </c15:ser>
            </c15:filteredScatterSeries>
          </c:ext>
        </c:extLst>
      </c:scatterChart>
      <c:valAx>
        <c:axId val="779723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Desplazamiento Horizontal, mm</a:t>
                </a:r>
              </a:p>
            </c:rich>
          </c:tx>
          <c:layout>
            <c:manualLayout>
              <c:xMode val="edge"/>
              <c:yMode val="edge"/>
              <c:x val="0.33856921026232978"/>
              <c:y val="0.83883129993366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5840"/>
        <c:crossesAt val="-4"/>
        <c:crossBetween val="midCat"/>
      </c:valAx>
      <c:valAx>
        <c:axId val="77972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Desplaz. Vertical, mm</a:t>
                </a:r>
              </a:p>
            </c:rich>
          </c:tx>
          <c:layout>
            <c:manualLayout>
              <c:xMode val="edge"/>
              <c:yMode val="edge"/>
              <c:x val="1.9197207678883072E-2"/>
              <c:y val="0.321124474825262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36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388259059240635E-2"/>
          <c:y val="0.91575206945285681"/>
          <c:w val="0.84031441096041004"/>
          <c:h val="6.227183140568970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73281114012185"/>
          <c:y val="0.17654398755711093"/>
          <c:w val="0.79634464751958223"/>
          <c:h val="0.6382735491396909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linear"/>
            <c:dispRSqr val="1"/>
            <c:dispEq val="1"/>
            <c:trendlineLbl>
              <c:layout>
                <c:manualLayout>
                  <c:x val="2.0657202637328818E-2"/>
                  <c:y val="0.1991992650531263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Ref>
              <c:f>'41'!$Q$60:$Q$62</c:f>
              <c:numCache>
                <c:formatCode>0.0</c:formatCode>
                <c:ptCount val="3"/>
                <c:pt idx="0">
                  <c:v>40.814938281527922</c:v>
                </c:pt>
                <c:pt idx="1">
                  <c:v>0</c:v>
                </c:pt>
              </c:numCache>
            </c:numRef>
          </c:xVal>
          <c:yVal>
            <c:numRef>
              <c:f>'41'!$R$60:$R$62</c:f>
              <c:numCache>
                <c:formatCode>0.0</c:formatCode>
                <c:ptCount val="3"/>
                <c:pt idx="0">
                  <c:v>81.378618113912225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0F-4F98-8777-C8408EF82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724208"/>
        <c:axId val="779724752"/>
      </c:scatterChart>
      <c:valAx>
        <c:axId val="77972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Normal, kg/cm²</a:t>
                </a:r>
              </a:p>
            </c:rich>
          </c:tx>
          <c:layout>
            <c:manualLayout>
              <c:xMode val="edge"/>
              <c:yMode val="edge"/>
              <c:x val="0.36814621409921672"/>
              <c:y val="0.929633129192184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752"/>
        <c:crosses val="autoZero"/>
        <c:crossBetween val="midCat"/>
      </c:valAx>
      <c:valAx>
        <c:axId val="779724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de Corte, kg/cm²</a:t>
                </a:r>
              </a:p>
            </c:rich>
          </c:tx>
          <c:layout>
            <c:manualLayout>
              <c:xMode val="edge"/>
              <c:yMode val="edge"/>
              <c:x val="1.5665796344647518E-2"/>
              <c:y val="0.285186351706036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779724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4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jpeg"/><Relationship Id="rId5" Type="http://schemas.openxmlformats.org/officeDocument/2006/relationships/image" Target="../media/image2.jpeg"/><Relationship Id="rId4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chart" Target="../charts/chart6.xml"/><Relationship Id="rId7" Type="http://schemas.openxmlformats.org/officeDocument/2006/relationships/image" Target="../media/image8.jpe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0" Type="http://schemas.openxmlformats.org/officeDocument/2006/relationships/image" Target="../media/image11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jpeg"/><Relationship Id="rId3" Type="http://schemas.openxmlformats.org/officeDocument/2006/relationships/chart" Target="../charts/chart9.xml"/><Relationship Id="rId7" Type="http://schemas.openxmlformats.org/officeDocument/2006/relationships/image" Target="../media/image16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5.jpeg"/><Relationship Id="rId11" Type="http://schemas.openxmlformats.org/officeDocument/2006/relationships/image" Target="../media/image20.jpeg"/><Relationship Id="rId5" Type="http://schemas.openxmlformats.org/officeDocument/2006/relationships/image" Target="../media/image14.jpeg"/><Relationship Id="rId10" Type="http://schemas.openxmlformats.org/officeDocument/2006/relationships/image" Target="../media/image19.jpeg"/><Relationship Id="rId4" Type="http://schemas.openxmlformats.org/officeDocument/2006/relationships/image" Target="../media/image13.jpeg"/><Relationship Id="rId9" Type="http://schemas.openxmlformats.org/officeDocument/2006/relationships/image" Target="../media/image18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3" Type="http://schemas.openxmlformats.org/officeDocument/2006/relationships/chart" Target="../charts/chart12.xml"/><Relationship Id="rId7" Type="http://schemas.openxmlformats.org/officeDocument/2006/relationships/image" Target="../media/image24.jpe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image" Target="../media/image23.jpeg"/><Relationship Id="rId5" Type="http://schemas.openxmlformats.org/officeDocument/2006/relationships/image" Target="../media/image22.jpeg"/><Relationship Id="rId4" Type="http://schemas.openxmlformats.org/officeDocument/2006/relationships/image" Target="../media/image21.jpeg"/><Relationship Id="rId9" Type="http://schemas.openxmlformats.org/officeDocument/2006/relationships/image" Target="../media/image2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0</xdr:rowOff>
    </xdr:from>
    <xdr:to>
      <xdr:col>19</xdr:col>
      <xdr:colOff>457200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20</xdr:row>
      <xdr:rowOff>0</xdr:rowOff>
    </xdr:from>
    <xdr:to>
      <xdr:col>19</xdr:col>
      <xdr:colOff>457200</xdr:colOff>
      <xdr:row>37</xdr:row>
      <xdr:rowOff>9525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247650</xdr:colOff>
      <xdr:row>38</xdr:row>
      <xdr:rowOff>0</xdr:rowOff>
    </xdr:from>
    <xdr:to>
      <xdr:col>19</xdr:col>
      <xdr:colOff>466725</xdr:colOff>
      <xdr:row>54</xdr:row>
      <xdr:rowOff>133350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285750</xdr:colOff>
      <xdr:row>3</xdr:row>
      <xdr:rowOff>28575</xdr:rowOff>
    </xdr:from>
    <xdr:to>
      <xdr:col>19</xdr:col>
      <xdr:colOff>438149</xdr:colOff>
      <xdr:row>4</xdr:row>
      <xdr:rowOff>57150</xdr:rowOff>
    </xdr:to>
    <xdr:sp macro="" textlink="$AK$5">
      <xdr:nvSpPr>
        <xdr:cNvPr id="5" name="2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106275" y="4953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1D65BC8-4CFD-4CDC-B37C-8692F0C2F6F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(22,50-22,82)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</xdr:row>
      <xdr:rowOff>9525</xdr:rowOff>
    </xdr:from>
    <xdr:to>
      <xdr:col>19</xdr:col>
      <xdr:colOff>428624</xdr:colOff>
      <xdr:row>3</xdr:row>
      <xdr:rowOff>38100</xdr:rowOff>
    </xdr:to>
    <xdr:sp macro="" textlink="$AK$4">
      <xdr:nvSpPr>
        <xdr:cNvPr id="6" name="16 CuadroText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877425" y="314325"/>
          <a:ext cx="3581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4566E55-B9ED-4BF4-A11F-29D5E2F74F81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14</xdr:col>
      <xdr:colOff>314325</xdr:colOff>
      <xdr:row>21</xdr:row>
      <xdr:rowOff>47625</xdr:rowOff>
    </xdr:from>
    <xdr:to>
      <xdr:col>19</xdr:col>
      <xdr:colOff>466724</xdr:colOff>
      <xdr:row>22</xdr:row>
      <xdr:rowOff>76200</xdr:rowOff>
    </xdr:to>
    <xdr:sp macro="" textlink="$AK$5">
      <xdr:nvSpPr>
        <xdr:cNvPr id="7" name="17 CuadroText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134850" y="32575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81B9E9-F92B-4E74-BAE4-127F374F48E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(22,50-22,82)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20</xdr:row>
      <xdr:rowOff>28575</xdr:rowOff>
    </xdr:from>
    <xdr:to>
      <xdr:col>19</xdr:col>
      <xdr:colOff>428624</xdr:colOff>
      <xdr:row>21</xdr:row>
      <xdr:rowOff>57150</xdr:rowOff>
    </xdr:to>
    <xdr:sp macro="" textlink="$AK$4">
      <xdr:nvSpPr>
        <xdr:cNvPr id="8" name="18 CuadroTex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9877425" y="3076575"/>
          <a:ext cx="3581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8AB040-A209-4C3E-AFF6-C092286F2F2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15</xdr:col>
      <xdr:colOff>66675</xdr:colOff>
      <xdr:row>38</xdr:row>
      <xdr:rowOff>66675</xdr:rowOff>
    </xdr:from>
    <xdr:to>
      <xdr:col>19</xdr:col>
      <xdr:colOff>247650</xdr:colOff>
      <xdr:row>39</xdr:row>
      <xdr:rowOff>57150</xdr:rowOff>
    </xdr:to>
    <xdr:sp macro="" textlink="$AK$4">
      <xdr:nvSpPr>
        <xdr:cNvPr id="9" name="20 CuadroText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353675" y="5857875"/>
          <a:ext cx="2924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2FC64DE-9678-438A-8D76-1BE04179FA25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21</xdr:col>
      <xdr:colOff>581025</xdr:colOff>
      <xdr:row>44</xdr:row>
      <xdr:rowOff>92446</xdr:rowOff>
    </xdr:from>
    <xdr:to>
      <xdr:col>27</xdr:col>
      <xdr:colOff>378600</xdr:colOff>
      <xdr:row>45</xdr:row>
      <xdr:rowOff>147796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18268950" y="6807571"/>
          <a:ext cx="3960000" cy="20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27</xdr:col>
      <xdr:colOff>590550</xdr:colOff>
      <xdr:row>44</xdr:row>
      <xdr:rowOff>94828</xdr:rowOff>
    </xdr:from>
    <xdr:to>
      <xdr:col>33</xdr:col>
      <xdr:colOff>169050</xdr:colOff>
      <xdr:row>45</xdr:row>
      <xdr:rowOff>147796</xdr:rowOff>
    </xdr:to>
    <xdr:sp macro="" textlink="">
      <xdr:nvSpPr>
        <xdr:cNvPr id="11" name="Text Box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22440900" y="6809953"/>
          <a:ext cx="3960000" cy="2053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581024</xdr:colOff>
      <xdr:row>24</xdr:row>
      <xdr:rowOff>28575</xdr:rowOff>
    </xdr:from>
    <xdr:to>
      <xdr:col>27</xdr:col>
      <xdr:colOff>378599</xdr:colOff>
      <xdr:row>41</xdr:row>
      <xdr:rowOff>137775</xdr:rowOff>
    </xdr:to>
    <xdr:sp macro="" textlink="">
      <xdr:nvSpPr>
        <xdr:cNvPr id="12" name="Rectangle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18268949" y="368617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2</xdr:row>
      <xdr:rowOff>38100</xdr:rowOff>
    </xdr:from>
    <xdr:to>
      <xdr:col>27</xdr:col>
      <xdr:colOff>378599</xdr:colOff>
      <xdr:row>19</xdr:row>
      <xdr:rowOff>147300</xdr:rowOff>
    </xdr:to>
    <xdr:sp macro="" textlink="">
      <xdr:nvSpPr>
        <xdr:cNvPr id="14" name="Rectangle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18268949" y="3429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590549</xdr:colOff>
      <xdr:row>2</xdr:row>
      <xdr:rowOff>38100</xdr:rowOff>
    </xdr:from>
    <xdr:to>
      <xdr:col>33</xdr:col>
      <xdr:colOff>169049</xdr:colOff>
      <xdr:row>19</xdr:row>
      <xdr:rowOff>147300</xdr:rowOff>
    </xdr:to>
    <xdr:sp macro="" textlink="">
      <xdr:nvSpPr>
        <xdr:cNvPr id="16" name="Rectangle 2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rrowheads="1"/>
        </xdr:cNvSpPr>
      </xdr:nvSpPr>
      <xdr:spPr bwMode="auto">
        <a:xfrm>
          <a:off x="22440899" y="3429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24</xdr:row>
      <xdr:rowOff>28575</xdr:rowOff>
    </xdr:from>
    <xdr:to>
      <xdr:col>33</xdr:col>
      <xdr:colOff>169050</xdr:colOff>
      <xdr:row>41</xdr:row>
      <xdr:rowOff>137775</xdr:rowOff>
    </xdr:to>
    <xdr:sp macro="" textlink="">
      <xdr:nvSpPr>
        <xdr:cNvPr id="17" name="Rectangle 2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22440900" y="368617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42</xdr:row>
      <xdr:rowOff>66675</xdr:rowOff>
    </xdr:from>
    <xdr:to>
      <xdr:col>27</xdr:col>
      <xdr:colOff>378599</xdr:colOff>
      <xdr:row>45</xdr:row>
      <xdr:rowOff>41475</xdr:rowOff>
    </xdr:to>
    <xdr:grpSp>
      <xdr:nvGrpSpPr>
        <xdr:cNvPr id="20" name="24 Grup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>
          <a:grpSpLocks/>
        </xdr:cNvGrpSpPr>
      </xdr:nvGrpSpPr>
      <xdr:grpSpPr bwMode="auto">
        <a:xfrm>
          <a:off x="18268949" y="6477000"/>
          <a:ext cx="3960000" cy="432000"/>
          <a:chOff x="17078326" y="7448551"/>
          <a:chExt cx="2562224" cy="333375"/>
        </a:xfrm>
      </xdr:grpSpPr>
      <xdr:sp macro="" textlink="$AK$4">
        <xdr:nvSpPr>
          <xdr:cNvPr id="21" name="25 CuadroTexto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D80FA1A-2848-4898-B457-2CD769715A09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2" name="26 CuadroTexto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C9D029F-31DF-4BFB-BA5E-2AC9C47A9F2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(22,50-22,82)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42</xdr:row>
      <xdr:rowOff>66674</xdr:rowOff>
    </xdr:from>
    <xdr:to>
      <xdr:col>33</xdr:col>
      <xdr:colOff>169050</xdr:colOff>
      <xdr:row>45</xdr:row>
      <xdr:rowOff>41474</xdr:rowOff>
    </xdr:to>
    <xdr:grpSp>
      <xdr:nvGrpSpPr>
        <xdr:cNvPr id="23" name="27 Grup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22440900" y="6476999"/>
          <a:ext cx="3960000" cy="432000"/>
          <a:chOff x="17078326" y="7448551"/>
          <a:chExt cx="2562224" cy="333375"/>
        </a:xfrm>
      </xdr:grpSpPr>
      <xdr:sp macro="" textlink="$AK$4">
        <xdr:nvSpPr>
          <xdr:cNvPr id="24" name="28 CuadroTexto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51C3D02-D201-4F9D-A478-959BCF18215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5" name="29 CuadroText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19536D1-27BE-448B-BE0C-F99628D7BA26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(22,50-22,82)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581024</xdr:colOff>
      <xdr:row>20</xdr:row>
      <xdr:rowOff>76200</xdr:rowOff>
    </xdr:from>
    <xdr:to>
      <xdr:col>27</xdr:col>
      <xdr:colOff>378599</xdr:colOff>
      <xdr:row>23</xdr:row>
      <xdr:rowOff>51000</xdr:rowOff>
    </xdr:to>
    <xdr:grpSp>
      <xdr:nvGrpSpPr>
        <xdr:cNvPr id="32" name="39 Grupo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>
          <a:grpSpLocks/>
        </xdr:cNvGrpSpPr>
      </xdr:nvGrpSpPr>
      <xdr:grpSpPr bwMode="auto">
        <a:xfrm>
          <a:off x="18268949" y="3133725"/>
          <a:ext cx="3960000" cy="432000"/>
          <a:chOff x="17078326" y="7448551"/>
          <a:chExt cx="2562224" cy="333375"/>
        </a:xfrm>
      </xdr:grpSpPr>
      <xdr:sp macro="" textlink="$AK$4">
        <xdr:nvSpPr>
          <xdr:cNvPr id="33" name="40 CuadroTexto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5A33A04-E52C-4DA2-A122-75C848159D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4" name="41 CuadroTexto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22FC8FB0-DD3C-435D-BF00-5A5BE9F46122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(22,50-22,82)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590549</xdr:colOff>
      <xdr:row>20</xdr:row>
      <xdr:rowOff>76199</xdr:rowOff>
    </xdr:from>
    <xdr:to>
      <xdr:col>33</xdr:col>
      <xdr:colOff>169049</xdr:colOff>
      <xdr:row>23</xdr:row>
      <xdr:rowOff>50999</xdr:rowOff>
    </xdr:to>
    <xdr:grpSp>
      <xdr:nvGrpSpPr>
        <xdr:cNvPr id="35" name="42 Grup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>
          <a:grpSpLocks/>
        </xdr:cNvGrpSpPr>
      </xdr:nvGrpSpPr>
      <xdr:grpSpPr bwMode="auto">
        <a:xfrm>
          <a:off x="22440899" y="3133724"/>
          <a:ext cx="3960000" cy="432000"/>
          <a:chOff x="17078326" y="7448551"/>
          <a:chExt cx="2562224" cy="333375"/>
        </a:xfrm>
      </xdr:grpSpPr>
      <xdr:sp macro="" textlink="$AK$4">
        <xdr:nvSpPr>
          <xdr:cNvPr id="36" name="43 CuadroTexto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1CFD8B2-E9C0-41FE-B0CF-CDE2406B1B0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7" name="44 CuadroTexto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B8805A4-E194-4722-9E59-ECBDFB9456F1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(22,50-22,82)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15</xdr:col>
      <xdr:colOff>76200</xdr:colOff>
      <xdr:row>39</xdr:row>
      <xdr:rowOff>85725</xdr:rowOff>
    </xdr:from>
    <xdr:to>
      <xdr:col>19</xdr:col>
      <xdr:colOff>247650</xdr:colOff>
      <xdr:row>40</xdr:row>
      <xdr:rowOff>114300</xdr:rowOff>
    </xdr:to>
    <xdr:sp macro="" textlink="$AK$5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0363200" y="6029325"/>
          <a:ext cx="29146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3DBAB7F-6BDA-48EB-9E30-2C0C8059920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(22,50-22,82)</a:t>
          </a:fld>
          <a:endParaRPr lang="es-CL" sz="1100"/>
        </a:p>
      </xdr:txBody>
    </xdr:sp>
    <xdr:clientData/>
  </xdr:twoCellAnchor>
  <xdr:twoCellAnchor editAs="oneCell">
    <xdr:from>
      <xdr:col>21</xdr:col>
      <xdr:colOff>581026</xdr:colOff>
      <xdr:row>2</xdr:row>
      <xdr:rowOff>28576</xdr:rowOff>
    </xdr:from>
    <xdr:to>
      <xdr:col>27</xdr:col>
      <xdr:colOff>400051</xdr:colOff>
      <xdr:row>19</xdr:row>
      <xdr:rowOff>142876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3B7A1980-4E68-492B-B818-958315AF36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1" y="342901"/>
          <a:ext cx="3981450" cy="2705100"/>
        </a:xfrm>
        <a:prstGeom prst="rect">
          <a:avLst/>
        </a:prstGeom>
      </xdr:spPr>
    </xdr:pic>
    <xdr:clientData/>
  </xdr:twoCellAnchor>
  <xdr:twoCellAnchor editAs="oneCell">
    <xdr:from>
      <xdr:col>21</xdr:col>
      <xdr:colOff>581026</xdr:colOff>
      <xdr:row>24</xdr:row>
      <xdr:rowOff>28574</xdr:rowOff>
    </xdr:from>
    <xdr:to>
      <xdr:col>27</xdr:col>
      <xdr:colOff>381001</xdr:colOff>
      <xdr:row>41</xdr:row>
      <xdr:rowOff>133349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9BCC39D-32EF-44AC-88E5-97921DD57D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1" y="3695699"/>
          <a:ext cx="3962400" cy="2695575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</xdr:row>
      <xdr:rowOff>28575</xdr:rowOff>
    </xdr:from>
    <xdr:to>
      <xdr:col>33</xdr:col>
      <xdr:colOff>180975</xdr:colOff>
      <xdr:row>19</xdr:row>
      <xdr:rowOff>145426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D83F2BCC-BC09-48CE-8F10-174E6E6E9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42900"/>
          <a:ext cx="3971925" cy="2707651"/>
        </a:xfrm>
        <a:prstGeom prst="rect">
          <a:avLst/>
        </a:prstGeom>
      </xdr:spPr>
    </xdr:pic>
    <xdr:clientData/>
  </xdr:twoCellAnchor>
  <xdr:twoCellAnchor editAs="oneCell">
    <xdr:from>
      <xdr:col>27</xdr:col>
      <xdr:colOff>600076</xdr:colOff>
      <xdr:row>24</xdr:row>
      <xdr:rowOff>38100</xdr:rowOff>
    </xdr:from>
    <xdr:to>
      <xdr:col>33</xdr:col>
      <xdr:colOff>180976</xdr:colOff>
      <xdr:row>41</xdr:row>
      <xdr:rowOff>146939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A04A0C1C-7B69-49BB-9B67-0AA53EAB64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50426" y="3705225"/>
          <a:ext cx="3962400" cy="26996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0</xdr:rowOff>
    </xdr:from>
    <xdr:to>
      <xdr:col>19</xdr:col>
      <xdr:colOff>457200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8FFEFE-0272-46D6-8CD1-97D27384E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20</xdr:row>
      <xdr:rowOff>0</xdr:rowOff>
    </xdr:from>
    <xdr:to>
      <xdr:col>19</xdr:col>
      <xdr:colOff>457200</xdr:colOff>
      <xdr:row>37</xdr:row>
      <xdr:rowOff>9525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974989E8-1BDF-4953-AB1D-F03C2AA18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247650</xdr:colOff>
      <xdr:row>38</xdr:row>
      <xdr:rowOff>0</xdr:rowOff>
    </xdr:from>
    <xdr:to>
      <xdr:col>19</xdr:col>
      <xdr:colOff>466725</xdr:colOff>
      <xdr:row>54</xdr:row>
      <xdr:rowOff>133350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C08A7F67-F87B-44EF-A97B-2F433A87B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285750</xdr:colOff>
      <xdr:row>2</xdr:row>
      <xdr:rowOff>142875</xdr:rowOff>
    </xdr:from>
    <xdr:to>
      <xdr:col>19</xdr:col>
      <xdr:colOff>438149</xdr:colOff>
      <xdr:row>4</xdr:row>
      <xdr:rowOff>19050</xdr:rowOff>
    </xdr:to>
    <xdr:sp macro="" textlink="$AK$5">
      <xdr:nvSpPr>
        <xdr:cNvPr id="5" name="2 CuadroTexto">
          <a:extLst>
            <a:ext uri="{FF2B5EF4-FFF2-40B4-BE49-F238E27FC236}">
              <a16:creationId xmlns:a16="http://schemas.microsoft.com/office/drawing/2014/main" id="{C69EBB5D-34EA-4B67-AACC-F2F4849EF7AD}"/>
            </a:ext>
          </a:extLst>
        </xdr:cNvPr>
        <xdr:cNvSpPr txBox="1"/>
      </xdr:nvSpPr>
      <xdr:spPr>
        <a:xfrm>
          <a:off x="12106275" y="4572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1D65BC8-4CFD-4CDC-B37C-8692F0C2F6F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(23,40-23,50) 	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</xdr:row>
      <xdr:rowOff>9525</xdr:rowOff>
    </xdr:from>
    <xdr:to>
      <xdr:col>19</xdr:col>
      <xdr:colOff>428624</xdr:colOff>
      <xdr:row>3</xdr:row>
      <xdr:rowOff>38100</xdr:rowOff>
    </xdr:to>
    <xdr:sp macro="" textlink="$AK$4">
      <xdr:nvSpPr>
        <xdr:cNvPr id="6" name="16 CuadroTexto">
          <a:extLst>
            <a:ext uri="{FF2B5EF4-FFF2-40B4-BE49-F238E27FC236}">
              <a16:creationId xmlns:a16="http://schemas.microsoft.com/office/drawing/2014/main" id="{C21A07DB-519B-4895-95CC-17746FBD9D26}"/>
            </a:ext>
          </a:extLst>
        </xdr:cNvPr>
        <xdr:cNvSpPr txBox="1"/>
      </xdr:nvSpPr>
      <xdr:spPr>
        <a:xfrm>
          <a:off x="12096750" y="3238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4566E55-B9ED-4BF4-A11F-29D5E2F74F81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14</xdr:col>
      <xdr:colOff>285750</xdr:colOff>
      <xdr:row>21</xdr:row>
      <xdr:rowOff>9525</xdr:rowOff>
    </xdr:from>
    <xdr:to>
      <xdr:col>19</xdr:col>
      <xdr:colOff>438149</xdr:colOff>
      <xdr:row>22</xdr:row>
      <xdr:rowOff>38100</xdr:rowOff>
    </xdr:to>
    <xdr:sp macro="" textlink="$AK$5">
      <xdr:nvSpPr>
        <xdr:cNvPr id="7" name="17 CuadroTexto">
          <a:extLst>
            <a:ext uri="{FF2B5EF4-FFF2-40B4-BE49-F238E27FC236}">
              <a16:creationId xmlns:a16="http://schemas.microsoft.com/office/drawing/2014/main" id="{BB6EA1E0-300D-41E5-AFE7-B0802C043133}"/>
            </a:ext>
          </a:extLst>
        </xdr:cNvPr>
        <xdr:cNvSpPr txBox="1"/>
      </xdr:nvSpPr>
      <xdr:spPr>
        <a:xfrm>
          <a:off x="12106275" y="32194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81B9E9-F92B-4E74-BAE4-127F374F48E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(23,40-23,50) 	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20</xdr:row>
      <xdr:rowOff>28575</xdr:rowOff>
    </xdr:from>
    <xdr:to>
      <xdr:col>19</xdr:col>
      <xdr:colOff>428624</xdr:colOff>
      <xdr:row>21</xdr:row>
      <xdr:rowOff>57150</xdr:rowOff>
    </xdr:to>
    <xdr:sp macro="" textlink="$AK$4">
      <xdr:nvSpPr>
        <xdr:cNvPr id="8" name="18 CuadroTexto">
          <a:extLst>
            <a:ext uri="{FF2B5EF4-FFF2-40B4-BE49-F238E27FC236}">
              <a16:creationId xmlns:a16="http://schemas.microsoft.com/office/drawing/2014/main" id="{37AB496D-9B8B-4092-8543-927351E34336}"/>
            </a:ext>
          </a:extLst>
        </xdr:cNvPr>
        <xdr:cNvSpPr txBox="1"/>
      </xdr:nvSpPr>
      <xdr:spPr>
        <a:xfrm>
          <a:off x="12096750" y="30861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8AB040-A209-4C3E-AFF6-C092286F2F2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15</xdr:col>
      <xdr:colOff>66675</xdr:colOff>
      <xdr:row>38</xdr:row>
      <xdr:rowOff>66675</xdr:rowOff>
    </xdr:from>
    <xdr:to>
      <xdr:col>19</xdr:col>
      <xdr:colOff>247650</xdr:colOff>
      <xdr:row>39</xdr:row>
      <xdr:rowOff>57150</xdr:rowOff>
    </xdr:to>
    <xdr:sp macro="" textlink="$AK$4">
      <xdr:nvSpPr>
        <xdr:cNvPr id="9" name="20 CuadroTexto">
          <a:extLst>
            <a:ext uri="{FF2B5EF4-FFF2-40B4-BE49-F238E27FC236}">
              <a16:creationId xmlns:a16="http://schemas.microsoft.com/office/drawing/2014/main" id="{BAE8A09B-AC1B-4184-8398-9F637C76A63C}"/>
            </a:ext>
          </a:extLst>
        </xdr:cNvPr>
        <xdr:cNvSpPr txBox="1"/>
      </xdr:nvSpPr>
      <xdr:spPr>
        <a:xfrm>
          <a:off x="12725400" y="5867400"/>
          <a:ext cx="35337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2FC64DE-9678-438A-8D76-1BE04179FA25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21</xdr:col>
      <xdr:colOff>581025</xdr:colOff>
      <xdr:row>90</xdr:row>
      <xdr:rowOff>6721</xdr:rowOff>
    </xdr:from>
    <xdr:to>
      <xdr:col>27</xdr:col>
      <xdr:colOff>378600</xdr:colOff>
      <xdr:row>91</xdr:row>
      <xdr:rowOff>62071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A34DDF09-BAEE-4372-A0E3-F2B724325A69}"/>
            </a:ext>
          </a:extLst>
        </xdr:cNvPr>
        <xdr:cNvSpPr txBox="1">
          <a:spLocks noChangeArrowheads="1"/>
        </xdr:cNvSpPr>
      </xdr:nvSpPr>
      <xdr:spPr bwMode="auto">
        <a:xfrm>
          <a:off x="18268950" y="13732246"/>
          <a:ext cx="3960000" cy="20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27</xdr:col>
      <xdr:colOff>590550</xdr:colOff>
      <xdr:row>90</xdr:row>
      <xdr:rowOff>9103</xdr:rowOff>
    </xdr:from>
    <xdr:to>
      <xdr:col>33</xdr:col>
      <xdr:colOff>169050</xdr:colOff>
      <xdr:row>91</xdr:row>
      <xdr:rowOff>62071</xdr:rowOff>
    </xdr:to>
    <xdr:sp macro="" textlink="">
      <xdr:nvSpPr>
        <xdr:cNvPr id="11" name="Text Box 15">
          <a:extLst>
            <a:ext uri="{FF2B5EF4-FFF2-40B4-BE49-F238E27FC236}">
              <a16:creationId xmlns:a16="http://schemas.microsoft.com/office/drawing/2014/main" id="{04DC13AD-DC43-4FBD-82A3-F5F80B5DD5D9}"/>
            </a:ext>
          </a:extLst>
        </xdr:cNvPr>
        <xdr:cNvSpPr txBox="1">
          <a:spLocks noChangeArrowheads="1"/>
        </xdr:cNvSpPr>
      </xdr:nvSpPr>
      <xdr:spPr bwMode="auto">
        <a:xfrm>
          <a:off x="22440900" y="13734628"/>
          <a:ext cx="3960000" cy="2053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581024</xdr:colOff>
      <xdr:row>24</xdr:row>
      <xdr:rowOff>28575</xdr:rowOff>
    </xdr:from>
    <xdr:to>
      <xdr:col>27</xdr:col>
      <xdr:colOff>378599</xdr:colOff>
      <xdr:row>41</xdr:row>
      <xdr:rowOff>137775</xdr:rowOff>
    </xdr:to>
    <xdr:sp macro="" textlink="">
      <xdr:nvSpPr>
        <xdr:cNvPr id="12" name="Rectangle 16">
          <a:extLst>
            <a:ext uri="{FF2B5EF4-FFF2-40B4-BE49-F238E27FC236}">
              <a16:creationId xmlns:a16="http://schemas.microsoft.com/office/drawing/2014/main" id="{FE690B67-5081-4318-9046-93AF3CAE673E}"/>
            </a:ext>
          </a:extLst>
        </xdr:cNvPr>
        <xdr:cNvSpPr>
          <a:spLocks noChangeArrowheads="1"/>
        </xdr:cNvSpPr>
      </xdr:nvSpPr>
      <xdr:spPr bwMode="auto">
        <a:xfrm>
          <a:off x="18268949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46</xdr:row>
      <xdr:rowOff>66675</xdr:rowOff>
    </xdr:from>
    <xdr:to>
      <xdr:col>27</xdr:col>
      <xdr:colOff>378599</xdr:colOff>
      <xdr:row>64</xdr:row>
      <xdr:rowOff>23475</xdr:rowOff>
    </xdr:to>
    <xdr:sp macro="" textlink="">
      <xdr:nvSpPr>
        <xdr:cNvPr id="13" name="Rectangle 17">
          <a:extLst>
            <a:ext uri="{FF2B5EF4-FFF2-40B4-BE49-F238E27FC236}">
              <a16:creationId xmlns:a16="http://schemas.microsoft.com/office/drawing/2014/main" id="{C9E78C20-0460-40B2-A1FE-79D840B43887}"/>
            </a:ext>
          </a:extLst>
        </xdr:cNvPr>
        <xdr:cNvSpPr>
          <a:spLocks noChangeArrowheads="1"/>
        </xdr:cNvSpPr>
      </xdr:nvSpPr>
      <xdr:spPr bwMode="auto">
        <a:xfrm>
          <a:off x="18268949" y="70866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2</xdr:row>
      <xdr:rowOff>38100</xdr:rowOff>
    </xdr:from>
    <xdr:to>
      <xdr:col>27</xdr:col>
      <xdr:colOff>378599</xdr:colOff>
      <xdr:row>19</xdr:row>
      <xdr:rowOff>147300</xdr:rowOff>
    </xdr:to>
    <xdr:sp macro="" textlink="">
      <xdr:nvSpPr>
        <xdr:cNvPr id="14" name="Rectangle 18">
          <a:extLst>
            <a:ext uri="{FF2B5EF4-FFF2-40B4-BE49-F238E27FC236}">
              <a16:creationId xmlns:a16="http://schemas.microsoft.com/office/drawing/2014/main" id="{1C50C239-D511-40D0-A4A5-598B9BDD3C33}"/>
            </a:ext>
          </a:extLst>
        </xdr:cNvPr>
        <xdr:cNvSpPr>
          <a:spLocks noChangeArrowheads="1"/>
        </xdr:cNvSpPr>
      </xdr:nvSpPr>
      <xdr:spPr bwMode="auto">
        <a:xfrm>
          <a:off x="1826894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581025</xdr:colOff>
      <xdr:row>69</xdr:row>
      <xdr:rowOff>0</xdr:rowOff>
    </xdr:from>
    <xdr:to>
      <xdr:col>27</xdr:col>
      <xdr:colOff>378600</xdr:colOff>
      <xdr:row>86</xdr:row>
      <xdr:rowOff>109200</xdr:rowOff>
    </xdr:to>
    <xdr:sp macro="" textlink="">
      <xdr:nvSpPr>
        <xdr:cNvPr id="15" name="Rectangle 19">
          <a:extLst>
            <a:ext uri="{FF2B5EF4-FFF2-40B4-BE49-F238E27FC236}">
              <a16:creationId xmlns:a16="http://schemas.microsoft.com/office/drawing/2014/main" id="{F9EF0F37-BAA1-495B-8573-D01781E13A7D}"/>
            </a:ext>
          </a:extLst>
        </xdr:cNvPr>
        <xdr:cNvSpPr>
          <a:spLocks noChangeArrowheads="1"/>
        </xdr:cNvSpPr>
      </xdr:nvSpPr>
      <xdr:spPr bwMode="auto">
        <a:xfrm>
          <a:off x="18268950" y="105251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590549</xdr:colOff>
      <xdr:row>2</xdr:row>
      <xdr:rowOff>38100</xdr:rowOff>
    </xdr:from>
    <xdr:to>
      <xdr:col>33</xdr:col>
      <xdr:colOff>169049</xdr:colOff>
      <xdr:row>19</xdr:row>
      <xdr:rowOff>147300</xdr:rowOff>
    </xdr:to>
    <xdr:sp macro="" textlink="">
      <xdr:nvSpPr>
        <xdr:cNvPr id="16" name="Rectangle 20">
          <a:extLst>
            <a:ext uri="{FF2B5EF4-FFF2-40B4-BE49-F238E27FC236}">
              <a16:creationId xmlns:a16="http://schemas.microsoft.com/office/drawing/2014/main" id="{EC5A5FD9-2875-4277-8CFC-BCEB5671A685}"/>
            </a:ext>
          </a:extLst>
        </xdr:cNvPr>
        <xdr:cNvSpPr>
          <a:spLocks noChangeArrowheads="1"/>
        </xdr:cNvSpPr>
      </xdr:nvSpPr>
      <xdr:spPr bwMode="auto">
        <a:xfrm>
          <a:off x="2244089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24</xdr:row>
      <xdr:rowOff>28575</xdr:rowOff>
    </xdr:from>
    <xdr:to>
      <xdr:col>33</xdr:col>
      <xdr:colOff>169050</xdr:colOff>
      <xdr:row>41</xdr:row>
      <xdr:rowOff>137775</xdr:rowOff>
    </xdr:to>
    <xdr:sp macro="" textlink="">
      <xdr:nvSpPr>
        <xdr:cNvPr id="17" name="Rectangle 21">
          <a:extLst>
            <a:ext uri="{FF2B5EF4-FFF2-40B4-BE49-F238E27FC236}">
              <a16:creationId xmlns:a16="http://schemas.microsoft.com/office/drawing/2014/main" id="{10BB2A1B-EA44-4B2B-86A1-BE33B006FEE0}"/>
            </a:ext>
          </a:extLst>
        </xdr:cNvPr>
        <xdr:cNvSpPr>
          <a:spLocks noChangeArrowheads="1"/>
        </xdr:cNvSpPr>
      </xdr:nvSpPr>
      <xdr:spPr bwMode="auto">
        <a:xfrm>
          <a:off x="22440900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46</xdr:row>
      <xdr:rowOff>66675</xdr:rowOff>
    </xdr:from>
    <xdr:to>
      <xdr:col>33</xdr:col>
      <xdr:colOff>169050</xdr:colOff>
      <xdr:row>64</xdr:row>
      <xdr:rowOff>23475</xdr:rowOff>
    </xdr:to>
    <xdr:sp macro="" textlink="">
      <xdr:nvSpPr>
        <xdr:cNvPr id="18" name="Rectangle 22">
          <a:extLst>
            <a:ext uri="{FF2B5EF4-FFF2-40B4-BE49-F238E27FC236}">
              <a16:creationId xmlns:a16="http://schemas.microsoft.com/office/drawing/2014/main" id="{E0C9603A-452E-49C4-969E-D3756E5FD2CF}"/>
            </a:ext>
          </a:extLst>
        </xdr:cNvPr>
        <xdr:cNvSpPr>
          <a:spLocks noChangeArrowheads="1"/>
        </xdr:cNvSpPr>
      </xdr:nvSpPr>
      <xdr:spPr bwMode="auto">
        <a:xfrm>
          <a:off x="22440900" y="70866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69</xdr:row>
      <xdr:rowOff>0</xdr:rowOff>
    </xdr:from>
    <xdr:to>
      <xdr:col>33</xdr:col>
      <xdr:colOff>169050</xdr:colOff>
      <xdr:row>86</xdr:row>
      <xdr:rowOff>109200</xdr:rowOff>
    </xdr:to>
    <xdr:sp macro="" textlink="">
      <xdr:nvSpPr>
        <xdr:cNvPr id="19" name="Rectangle 23">
          <a:extLst>
            <a:ext uri="{FF2B5EF4-FFF2-40B4-BE49-F238E27FC236}">
              <a16:creationId xmlns:a16="http://schemas.microsoft.com/office/drawing/2014/main" id="{9A17A895-3EED-41A4-907E-6DFF5AD7C29C}"/>
            </a:ext>
          </a:extLst>
        </xdr:cNvPr>
        <xdr:cNvSpPr>
          <a:spLocks noChangeArrowheads="1"/>
        </xdr:cNvSpPr>
      </xdr:nvSpPr>
      <xdr:spPr bwMode="auto">
        <a:xfrm>
          <a:off x="22440900" y="105251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42</xdr:row>
      <xdr:rowOff>66675</xdr:rowOff>
    </xdr:from>
    <xdr:to>
      <xdr:col>27</xdr:col>
      <xdr:colOff>378599</xdr:colOff>
      <xdr:row>45</xdr:row>
      <xdr:rowOff>41475</xdr:rowOff>
    </xdr:to>
    <xdr:grpSp>
      <xdr:nvGrpSpPr>
        <xdr:cNvPr id="20" name="24 Grupo">
          <a:extLst>
            <a:ext uri="{FF2B5EF4-FFF2-40B4-BE49-F238E27FC236}">
              <a16:creationId xmlns:a16="http://schemas.microsoft.com/office/drawing/2014/main" id="{9E01B7A1-EDD4-44F3-8554-9B4B50CC0B49}"/>
            </a:ext>
          </a:extLst>
        </xdr:cNvPr>
        <xdr:cNvGrpSpPr>
          <a:grpSpLocks/>
        </xdr:cNvGrpSpPr>
      </xdr:nvGrpSpPr>
      <xdr:grpSpPr bwMode="auto">
        <a:xfrm>
          <a:off x="18268949" y="6477000"/>
          <a:ext cx="3960000" cy="432000"/>
          <a:chOff x="17078326" y="7448551"/>
          <a:chExt cx="2562224" cy="333375"/>
        </a:xfrm>
      </xdr:grpSpPr>
      <xdr:sp macro="" textlink="$AK$4">
        <xdr:nvSpPr>
          <xdr:cNvPr id="21" name="25 CuadroTexto">
            <a:extLst>
              <a:ext uri="{FF2B5EF4-FFF2-40B4-BE49-F238E27FC236}">
                <a16:creationId xmlns:a16="http://schemas.microsoft.com/office/drawing/2014/main" id="{5B9FCA7A-61A1-43B6-91F5-79F9F6BEE67C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D80FA1A-2848-4898-B457-2CD769715A09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2" name="26 CuadroTexto">
            <a:extLst>
              <a:ext uri="{FF2B5EF4-FFF2-40B4-BE49-F238E27FC236}">
                <a16:creationId xmlns:a16="http://schemas.microsoft.com/office/drawing/2014/main" id="{398D0D52-AA1F-4B98-8FE0-4FF0BD071119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C9D029F-31DF-4BFB-BA5E-2AC9C47A9F2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42</xdr:row>
      <xdr:rowOff>66674</xdr:rowOff>
    </xdr:from>
    <xdr:to>
      <xdr:col>33</xdr:col>
      <xdr:colOff>169050</xdr:colOff>
      <xdr:row>45</xdr:row>
      <xdr:rowOff>41474</xdr:rowOff>
    </xdr:to>
    <xdr:grpSp>
      <xdr:nvGrpSpPr>
        <xdr:cNvPr id="23" name="27 Grupo">
          <a:extLst>
            <a:ext uri="{FF2B5EF4-FFF2-40B4-BE49-F238E27FC236}">
              <a16:creationId xmlns:a16="http://schemas.microsoft.com/office/drawing/2014/main" id="{8022CB6A-2115-4BB1-B8E1-4AED4E675CD0}"/>
            </a:ext>
          </a:extLst>
        </xdr:cNvPr>
        <xdr:cNvGrpSpPr>
          <a:grpSpLocks/>
        </xdr:cNvGrpSpPr>
      </xdr:nvGrpSpPr>
      <xdr:grpSpPr bwMode="auto">
        <a:xfrm>
          <a:off x="22440900" y="6476999"/>
          <a:ext cx="3960000" cy="432000"/>
          <a:chOff x="17078326" y="7448551"/>
          <a:chExt cx="2562224" cy="333375"/>
        </a:xfrm>
      </xdr:grpSpPr>
      <xdr:sp macro="" textlink="$AK$4">
        <xdr:nvSpPr>
          <xdr:cNvPr id="24" name="28 CuadroTexto">
            <a:extLst>
              <a:ext uri="{FF2B5EF4-FFF2-40B4-BE49-F238E27FC236}">
                <a16:creationId xmlns:a16="http://schemas.microsoft.com/office/drawing/2014/main" id="{DA5DBB44-A247-47DB-BAC4-5B56C8417471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51C3D02-D201-4F9D-A478-959BCF18215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5" name="29 CuadroTexto">
            <a:extLst>
              <a:ext uri="{FF2B5EF4-FFF2-40B4-BE49-F238E27FC236}">
                <a16:creationId xmlns:a16="http://schemas.microsoft.com/office/drawing/2014/main" id="{1C452FCB-50B1-4BA2-BCE2-680DF56B88FF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19536D1-27BE-448B-BE0C-F99628D7BA26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581025</xdr:colOff>
      <xdr:row>87</xdr:row>
      <xdr:rowOff>38099</xdr:rowOff>
    </xdr:from>
    <xdr:to>
      <xdr:col>27</xdr:col>
      <xdr:colOff>378600</xdr:colOff>
      <xdr:row>90</xdr:row>
      <xdr:rowOff>48899</xdr:rowOff>
    </xdr:to>
    <xdr:grpSp>
      <xdr:nvGrpSpPr>
        <xdr:cNvPr id="26" name="33 Grupo">
          <a:extLst>
            <a:ext uri="{FF2B5EF4-FFF2-40B4-BE49-F238E27FC236}">
              <a16:creationId xmlns:a16="http://schemas.microsoft.com/office/drawing/2014/main" id="{68049AF6-D3EC-497A-8B0A-A6B764670A13}"/>
            </a:ext>
          </a:extLst>
        </xdr:cNvPr>
        <xdr:cNvGrpSpPr>
          <a:grpSpLocks/>
        </xdr:cNvGrpSpPr>
      </xdr:nvGrpSpPr>
      <xdr:grpSpPr bwMode="auto">
        <a:xfrm>
          <a:off x="18268950" y="13306424"/>
          <a:ext cx="3960000" cy="468000"/>
          <a:chOff x="17078326" y="7448551"/>
          <a:chExt cx="2562224" cy="333375"/>
        </a:xfrm>
      </xdr:grpSpPr>
      <xdr:sp macro="" textlink="$AK$4">
        <xdr:nvSpPr>
          <xdr:cNvPr id="27" name="34 CuadroTexto">
            <a:extLst>
              <a:ext uri="{FF2B5EF4-FFF2-40B4-BE49-F238E27FC236}">
                <a16:creationId xmlns:a16="http://schemas.microsoft.com/office/drawing/2014/main" id="{6780ABCE-DA19-4B29-B54F-A8083FEFCDDD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BF9B00D8-985C-4CF6-80B4-2E1FDCD91705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8" name="35 CuadroTexto">
            <a:extLst>
              <a:ext uri="{FF2B5EF4-FFF2-40B4-BE49-F238E27FC236}">
                <a16:creationId xmlns:a16="http://schemas.microsoft.com/office/drawing/2014/main" id="{9D767B91-EE13-49C7-8EB5-0F101C67E97D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EB3228D6-073D-4E4B-8F1F-B6096FD11EA0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87</xdr:row>
      <xdr:rowOff>38100</xdr:rowOff>
    </xdr:from>
    <xdr:to>
      <xdr:col>33</xdr:col>
      <xdr:colOff>169050</xdr:colOff>
      <xdr:row>90</xdr:row>
      <xdr:rowOff>12900</xdr:rowOff>
    </xdr:to>
    <xdr:grpSp>
      <xdr:nvGrpSpPr>
        <xdr:cNvPr id="29" name="36 Grupo">
          <a:extLst>
            <a:ext uri="{FF2B5EF4-FFF2-40B4-BE49-F238E27FC236}">
              <a16:creationId xmlns:a16="http://schemas.microsoft.com/office/drawing/2014/main" id="{F300B475-C457-4FF2-BD3F-F243748B35B0}"/>
            </a:ext>
          </a:extLst>
        </xdr:cNvPr>
        <xdr:cNvGrpSpPr>
          <a:grpSpLocks/>
        </xdr:cNvGrpSpPr>
      </xdr:nvGrpSpPr>
      <xdr:grpSpPr bwMode="auto">
        <a:xfrm>
          <a:off x="22440900" y="13306425"/>
          <a:ext cx="3960000" cy="432000"/>
          <a:chOff x="17078326" y="7448551"/>
          <a:chExt cx="2562224" cy="333375"/>
        </a:xfrm>
      </xdr:grpSpPr>
      <xdr:sp macro="" textlink="$AK$4">
        <xdr:nvSpPr>
          <xdr:cNvPr id="30" name="37 CuadroTexto">
            <a:extLst>
              <a:ext uri="{FF2B5EF4-FFF2-40B4-BE49-F238E27FC236}">
                <a16:creationId xmlns:a16="http://schemas.microsoft.com/office/drawing/2014/main" id="{B1C6116C-D44B-4E8C-97A4-343FF9300919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DD64D5-5952-42FC-B75C-C693AE6EFA40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1" name="38 CuadroTexto">
            <a:extLst>
              <a:ext uri="{FF2B5EF4-FFF2-40B4-BE49-F238E27FC236}">
                <a16:creationId xmlns:a16="http://schemas.microsoft.com/office/drawing/2014/main" id="{AFCC9E56-A041-4820-A84A-298BAC5F5E16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C0B0EC8-987D-4FAB-9320-EC995B4E27DE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581024</xdr:colOff>
      <xdr:row>20</xdr:row>
      <xdr:rowOff>76200</xdr:rowOff>
    </xdr:from>
    <xdr:to>
      <xdr:col>27</xdr:col>
      <xdr:colOff>378599</xdr:colOff>
      <xdr:row>23</xdr:row>
      <xdr:rowOff>51000</xdr:rowOff>
    </xdr:to>
    <xdr:grpSp>
      <xdr:nvGrpSpPr>
        <xdr:cNvPr id="32" name="39 Grupo">
          <a:extLst>
            <a:ext uri="{FF2B5EF4-FFF2-40B4-BE49-F238E27FC236}">
              <a16:creationId xmlns:a16="http://schemas.microsoft.com/office/drawing/2014/main" id="{423209F6-FB79-4AB2-A09B-0252C8701B63}"/>
            </a:ext>
          </a:extLst>
        </xdr:cNvPr>
        <xdr:cNvGrpSpPr>
          <a:grpSpLocks/>
        </xdr:cNvGrpSpPr>
      </xdr:nvGrpSpPr>
      <xdr:grpSpPr bwMode="auto">
        <a:xfrm>
          <a:off x="18268949" y="3133725"/>
          <a:ext cx="3960000" cy="432000"/>
          <a:chOff x="17078326" y="7448551"/>
          <a:chExt cx="2562224" cy="333375"/>
        </a:xfrm>
      </xdr:grpSpPr>
      <xdr:sp macro="" textlink="$AK$4">
        <xdr:nvSpPr>
          <xdr:cNvPr id="33" name="40 CuadroTexto">
            <a:extLst>
              <a:ext uri="{FF2B5EF4-FFF2-40B4-BE49-F238E27FC236}">
                <a16:creationId xmlns:a16="http://schemas.microsoft.com/office/drawing/2014/main" id="{F7F3034B-B083-4106-ABFA-365A6D7596BA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5A33A04-E52C-4DA2-A122-75C848159D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4" name="41 CuadroTexto">
            <a:extLst>
              <a:ext uri="{FF2B5EF4-FFF2-40B4-BE49-F238E27FC236}">
                <a16:creationId xmlns:a16="http://schemas.microsoft.com/office/drawing/2014/main" id="{F1767806-28AA-4A31-A031-F8C0BF404484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22FC8FB0-DD3C-435D-BF00-5A5BE9F46122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590549</xdr:colOff>
      <xdr:row>20</xdr:row>
      <xdr:rowOff>76199</xdr:rowOff>
    </xdr:from>
    <xdr:to>
      <xdr:col>33</xdr:col>
      <xdr:colOff>169049</xdr:colOff>
      <xdr:row>23</xdr:row>
      <xdr:rowOff>50999</xdr:rowOff>
    </xdr:to>
    <xdr:grpSp>
      <xdr:nvGrpSpPr>
        <xdr:cNvPr id="35" name="42 Grupo">
          <a:extLst>
            <a:ext uri="{FF2B5EF4-FFF2-40B4-BE49-F238E27FC236}">
              <a16:creationId xmlns:a16="http://schemas.microsoft.com/office/drawing/2014/main" id="{69FACE7E-5648-4A44-929F-7896EB50AFAB}"/>
            </a:ext>
          </a:extLst>
        </xdr:cNvPr>
        <xdr:cNvGrpSpPr>
          <a:grpSpLocks/>
        </xdr:cNvGrpSpPr>
      </xdr:nvGrpSpPr>
      <xdr:grpSpPr bwMode="auto">
        <a:xfrm>
          <a:off x="22440899" y="3133724"/>
          <a:ext cx="3960000" cy="432000"/>
          <a:chOff x="17078326" y="7448551"/>
          <a:chExt cx="2562224" cy="333375"/>
        </a:xfrm>
      </xdr:grpSpPr>
      <xdr:sp macro="" textlink="$AK$4">
        <xdr:nvSpPr>
          <xdr:cNvPr id="36" name="43 CuadroTexto">
            <a:extLst>
              <a:ext uri="{FF2B5EF4-FFF2-40B4-BE49-F238E27FC236}">
                <a16:creationId xmlns:a16="http://schemas.microsoft.com/office/drawing/2014/main" id="{26FB5970-C914-4F6B-BC9C-F3BB2BE78436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1CFD8B2-E9C0-41FE-B0CF-CDE2406B1B0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7" name="44 CuadroTexto">
            <a:extLst>
              <a:ext uri="{FF2B5EF4-FFF2-40B4-BE49-F238E27FC236}">
                <a16:creationId xmlns:a16="http://schemas.microsoft.com/office/drawing/2014/main" id="{43A0F402-92A4-4420-9C9A-037BCFB8F3A1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B8805A4-E194-4722-9E59-ECBDFB9456F1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15</xdr:col>
      <xdr:colOff>76200</xdr:colOff>
      <xdr:row>39</xdr:row>
      <xdr:rowOff>85725</xdr:rowOff>
    </xdr:from>
    <xdr:to>
      <xdr:col>19</xdr:col>
      <xdr:colOff>247650</xdr:colOff>
      <xdr:row>40</xdr:row>
      <xdr:rowOff>114300</xdr:rowOff>
    </xdr:to>
    <xdr:sp macro="" textlink="$AK$5">
      <xdr:nvSpPr>
        <xdr:cNvPr id="38" name="CuadroTexto 37">
          <a:extLst>
            <a:ext uri="{FF2B5EF4-FFF2-40B4-BE49-F238E27FC236}">
              <a16:creationId xmlns:a16="http://schemas.microsoft.com/office/drawing/2014/main" id="{73E67E47-806B-41FE-B012-8B346ABE30F1}"/>
            </a:ext>
          </a:extLst>
        </xdr:cNvPr>
        <xdr:cNvSpPr txBox="1"/>
      </xdr:nvSpPr>
      <xdr:spPr>
        <a:xfrm>
          <a:off x="12734925" y="6038850"/>
          <a:ext cx="35242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3DBAB7F-6BDA-48EB-9E30-2C0C8059920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(23,40-23,50) 	</a:t>
          </a:fld>
          <a:endParaRPr lang="es-CL" sz="1100"/>
        </a:p>
      </xdr:txBody>
    </xdr:sp>
    <xdr:clientData/>
  </xdr:twoCellAnchor>
  <xdr:twoCellAnchor>
    <xdr:from>
      <xdr:col>21</xdr:col>
      <xdr:colOff>581024</xdr:colOff>
      <xdr:row>64</xdr:row>
      <xdr:rowOff>104775</xdr:rowOff>
    </xdr:from>
    <xdr:to>
      <xdr:col>27</xdr:col>
      <xdr:colOff>378599</xdr:colOff>
      <xdr:row>67</xdr:row>
      <xdr:rowOff>79575</xdr:rowOff>
    </xdr:to>
    <xdr:grpSp>
      <xdr:nvGrpSpPr>
        <xdr:cNvPr id="39" name="24 Grupo">
          <a:extLst>
            <a:ext uri="{FF2B5EF4-FFF2-40B4-BE49-F238E27FC236}">
              <a16:creationId xmlns:a16="http://schemas.microsoft.com/office/drawing/2014/main" id="{AAAE76C6-6033-44FE-BAE3-09C36E39D605}"/>
            </a:ext>
          </a:extLst>
        </xdr:cNvPr>
        <xdr:cNvGrpSpPr>
          <a:grpSpLocks/>
        </xdr:cNvGrpSpPr>
      </xdr:nvGrpSpPr>
      <xdr:grpSpPr bwMode="auto">
        <a:xfrm>
          <a:off x="18268949" y="9867900"/>
          <a:ext cx="3960000" cy="432000"/>
          <a:chOff x="17078326" y="7448551"/>
          <a:chExt cx="2562224" cy="333375"/>
        </a:xfrm>
      </xdr:grpSpPr>
      <xdr:sp macro="" textlink="$AK$4">
        <xdr:nvSpPr>
          <xdr:cNvPr id="40" name="25 CuadroTexto">
            <a:extLst>
              <a:ext uri="{FF2B5EF4-FFF2-40B4-BE49-F238E27FC236}">
                <a16:creationId xmlns:a16="http://schemas.microsoft.com/office/drawing/2014/main" id="{C95106FB-B030-443D-A5D9-90C4B31BF123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6281D80-8843-4B23-A592-1972485D043B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41" name="26 CuadroTexto">
            <a:extLst>
              <a:ext uri="{FF2B5EF4-FFF2-40B4-BE49-F238E27FC236}">
                <a16:creationId xmlns:a16="http://schemas.microsoft.com/office/drawing/2014/main" id="{73D3A01D-932A-495C-A278-4CF0FDCBFFDF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8311A36-B476-4E65-9089-B6CC30A4A1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64</xdr:row>
      <xdr:rowOff>104774</xdr:rowOff>
    </xdr:from>
    <xdr:to>
      <xdr:col>33</xdr:col>
      <xdr:colOff>169050</xdr:colOff>
      <xdr:row>67</xdr:row>
      <xdr:rowOff>79574</xdr:rowOff>
    </xdr:to>
    <xdr:grpSp>
      <xdr:nvGrpSpPr>
        <xdr:cNvPr id="42" name="27 Grupo">
          <a:extLst>
            <a:ext uri="{FF2B5EF4-FFF2-40B4-BE49-F238E27FC236}">
              <a16:creationId xmlns:a16="http://schemas.microsoft.com/office/drawing/2014/main" id="{31588CC8-35B8-4E93-B954-2659676F5EE6}"/>
            </a:ext>
          </a:extLst>
        </xdr:cNvPr>
        <xdr:cNvGrpSpPr>
          <a:grpSpLocks/>
        </xdr:cNvGrpSpPr>
      </xdr:nvGrpSpPr>
      <xdr:grpSpPr bwMode="auto">
        <a:xfrm>
          <a:off x="22440900" y="9867899"/>
          <a:ext cx="3960000" cy="432000"/>
          <a:chOff x="17078326" y="7448551"/>
          <a:chExt cx="2562224" cy="333375"/>
        </a:xfrm>
      </xdr:grpSpPr>
      <xdr:sp macro="" textlink="$AK$4">
        <xdr:nvSpPr>
          <xdr:cNvPr id="43" name="28 CuadroTexto">
            <a:extLst>
              <a:ext uri="{FF2B5EF4-FFF2-40B4-BE49-F238E27FC236}">
                <a16:creationId xmlns:a16="http://schemas.microsoft.com/office/drawing/2014/main" id="{82A872BE-DABB-4A3A-888D-075F278E63C8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244F492-E6C9-4A5F-8E4C-D824AEC4D68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44" name="29 CuadroTexto">
            <a:extLst>
              <a:ext uri="{FF2B5EF4-FFF2-40B4-BE49-F238E27FC236}">
                <a16:creationId xmlns:a16="http://schemas.microsoft.com/office/drawing/2014/main" id="{0D4AB618-DE90-460B-A688-D2CF4A47A5EB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C1C1ACF6-A665-4F91-A94D-601A2D96B1F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(23,40-23,50) 	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21</xdr:col>
      <xdr:colOff>581025</xdr:colOff>
      <xdr:row>24</xdr:row>
      <xdr:rowOff>28574</xdr:rowOff>
    </xdr:from>
    <xdr:to>
      <xdr:col>27</xdr:col>
      <xdr:colOff>390526</xdr:colOff>
      <xdr:row>41</xdr:row>
      <xdr:rowOff>133349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AFE0733F-4F48-458D-89FD-A18D303E12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0" y="3695699"/>
          <a:ext cx="3971926" cy="2695575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571500</xdr:colOff>
      <xdr:row>2</xdr:row>
      <xdr:rowOff>38101</xdr:rowOff>
    </xdr:from>
    <xdr:to>
      <xdr:col>27</xdr:col>
      <xdr:colOff>381001</xdr:colOff>
      <xdr:row>20</xdr:row>
      <xdr:rowOff>1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FFA00E9A-E568-4327-AE51-9EA5BA976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59425" y="352426"/>
          <a:ext cx="3971926" cy="2705100"/>
        </a:xfrm>
        <a:prstGeom prst="rect">
          <a:avLst/>
        </a:prstGeom>
      </xdr:spPr>
    </xdr:pic>
    <xdr:clientData/>
  </xdr:twoCellAnchor>
  <xdr:twoCellAnchor editAs="oneCell">
    <xdr:from>
      <xdr:col>21</xdr:col>
      <xdr:colOff>581025</xdr:colOff>
      <xdr:row>68</xdr:row>
      <xdr:rowOff>142875</xdr:rowOff>
    </xdr:from>
    <xdr:to>
      <xdr:col>27</xdr:col>
      <xdr:colOff>390525</xdr:colOff>
      <xdr:row>86</xdr:row>
      <xdr:rowOff>104774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A7CED84F-FECA-4B9D-A2D9-C98010EA44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0" y="10515600"/>
          <a:ext cx="3971925" cy="2705099"/>
        </a:xfrm>
        <a:prstGeom prst="rect">
          <a:avLst/>
        </a:prstGeom>
      </xdr:spPr>
    </xdr:pic>
    <xdr:clientData/>
  </xdr:twoCellAnchor>
  <xdr:twoCellAnchor editAs="oneCell">
    <xdr:from>
      <xdr:col>21</xdr:col>
      <xdr:colOff>581026</xdr:colOff>
      <xdr:row>46</xdr:row>
      <xdr:rowOff>76200</xdr:rowOff>
    </xdr:from>
    <xdr:to>
      <xdr:col>27</xdr:col>
      <xdr:colOff>381001</xdr:colOff>
      <xdr:row>64</xdr:row>
      <xdr:rowOff>28575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CB99263B-5DE6-4371-9D25-818C0504D6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1" y="7096125"/>
          <a:ext cx="3962400" cy="2695575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</xdr:row>
      <xdr:rowOff>47625</xdr:rowOff>
    </xdr:from>
    <xdr:to>
      <xdr:col>33</xdr:col>
      <xdr:colOff>180975</xdr:colOff>
      <xdr:row>19</xdr:row>
      <xdr:rowOff>142874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C7A5E38E-75BF-4D39-8180-003893A702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61950"/>
          <a:ext cx="3971925" cy="2686049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24</xdr:row>
      <xdr:rowOff>28574</xdr:rowOff>
    </xdr:from>
    <xdr:to>
      <xdr:col>33</xdr:col>
      <xdr:colOff>180975</xdr:colOff>
      <xdr:row>41</xdr:row>
      <xdr:rowOff>133349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D1247E92-8EF4-49CD-A3A0-0495F4F4D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695699"/>
          <a:ext cx="3971925" cy="2695575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46</xdr:row>
      <xdr:rowOff>57150</xdr:rowOff>
    </xdr:from>
    <xdr:to>
      <xdr:col>33</xdr:col>
      <xdr:colOff>171450</xdr:colOff>
      <xdr:row>64</xdr:row>
      <xdr:rowOff>19049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1703B367-DDA7-4434-A993-B98AF0C2BD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7077075"/>
          <a:ext cx="3962400" cy="2705099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69</xdr:row>
      <xdr:rowOff>0</xdr:rowOff>
    </xdr:from>
    <xdr:to>
      <xdr:col>33</xdr:col>
      <xdr:colOff>180975</xdr:colOff>
      <xdr:row>86</xdr:row>
      <xdr:rowOff>114300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509EAC97-0D72-4BA5-8414-7FCDD2D806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10525125"/>
          <a:ext cx="3971925" cy="2705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0</xdr:rowOff>
    </xdr:from>
    <xdr:to>
      <xdr:col>19</xdr:col>
      <xdr:colOff>457200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D2DE9C-DDD4-4AAA-95B3-1E863F2ED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20</xdr:row>
      <xdr:rowOff>0</xdr:rowOff>
    </xdr:from>
    <xdr:to>
      <xdr:col>19</xdr:col>
      <xdr:colOff>457200</xdr:colOff>
      <xdr:row>37</xdr:row>
      <xdr:rowOff>9525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E3C85D3-37F2-485A-B85A-F461DF6B14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247650</xdr:colOff>
      <xdr:row>38</xdr:row>
      <xdr:rowOff>0</xdr:rowOff>
    </xdr:from>
    <xdr:to>
      <xdr:col>19</xdr:col>
      <xdr:colOff>466725</xdr:colOff>
      <xdr:row>54</xdr:row>
      <xdr:rowOff>133350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D94CAFFF-98E4-4E20-92A4-793212D4D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285750</xdr:colOff>
      <xdr:row>2</xdr:row>
      <xdr:rowOff>142875</xdr:rowOff>
    </xdr:from>
    <xdr:to>
      <xdr:col>19</xdr:col>
      <xdr:colOff>438149</xdr:colOff>
      <xdr:row>4</xdr:row>
      <xdr:rowOff>19050</xdr:rowOff>
    </xdr:to>
    <xdr:sp macro="" textlink="$AK$5">
      <xdr:nvSpPr>
        <xdr:cNvPr id="5" name="2 CuadroTexto">
          <a:extLst>
            <a:ext uri="{FF2B5EF4-FFF2-40B4-BE49-F238E27FC236}">
              <a16:creationId xmlns:a16="http://schemas.microsoft.com/office/drawing/2014/main" id="{178B1E68-2C78-4E12-BB4E-7AF1D7CF069A}"/>
            </a:ext>
          </a:extLst>
        </xdr:cNvPr>
        <xdr:cNvSpPr txBox="1"/>
      </xdr:nvSpPr>
      <xdr:spPr>
        <a:xfrm>
          <a:off x="12106275" y="4572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1D65BC8-4CFD-4CDC-B37C-8692F0C2F6F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(25,8-25,16)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</xdr:row>
      <xdr:rowOff>9525</xdr:rowOff>
    </xdr:from>
    <xdr:to>
      <xdr:col>19</xdr:col>
      <xdr:colOff>428624</xdr:colOff>
      <xdr:row>3</xdr:row>
      <xdr:rowOff>38100</xdr:rowOff>
    </xdr:to>
    <xdr:sp macro="" textlink="$AK$4">
      <xdr:nvSpPr>
        <xdr:cNvPr id="6" name="16 CuadroTexto">
          <a:extLst>
            <a:ext uri="{FF2B5EF4-FFF2-40B4-BE49-F238E27FC236}">
              <a16:creationId xmlns:a16="http://schemas.microsoft.com/office/drawing/2014/main" id="{B804E414-2967-48BB-ADE1-FD1268E49115}"/>
            </a:ext>
          </a:extLst>
        </xdr:cNvPr>
        <xdr:cNvSpPr txBox="1"/>
      </xdr:nvSpPr>
      <xdr:spPr>
        <a:xfrm>
          <a:off x="12096750" y="3238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4566E55-B9ED-4BF4-A11F-29D5E2F74F81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14</xdr:col>
      <xdr:colOff>285750</xdr:colOff>
      <xdr:row>21</xdr:row>
      <xdr:rowOff>9525</xdr:rowOff>
    </xdr:from>
    <xdr:to>
      <xdr:col>19</xdr:col>
      <xdr:colOff>438149</xdr:colOff>
      <xdr:row>22</xdr:row>
      <xdr:rowOff>38100</xdr:rowOff>
    </xdr:to>
    <xdr:sp macro="" textlink="$AK$5">
      <xdr:nvSpPr>
        <xdr:cNvPr id="7" name="17 CuadroTexto">
          <a:extLst>
            <a:ext uri="{FF2B5EF4-FFF2-40B4-BE49-F238E27FC236}">
              <a16:creationId xmlns:a16="http://schemas.microsoft.com/office/drawing/2014/main" id="{AC0476A4-E186-486C-9359-3B3C64F2E57C}"/>
            </a:ext>
          </a:extLst>
        </xdr:cNvPr>
        <xdr:cNvSpPr txBox="1"/>
      </xdr:nvSpPr>
      <xdr:spPr>
        <a:xfrm>
          <a:off x="12106275" y="32194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81B9E9-F92B-4E74-BAE4-127F374F48E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(25,8-25,16)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20</xdr:row>
      <xdr:rowOff>28575</xdr:rowOff>
    </xdr:from>
    <xdr:to>
      <xdr:col>19</xdr:col>
      <xdr:colOff>428624</xdr:colOff>
      <xdr:row>21</xdr:row>
      <xdr:rowOff>57150</xdr:rowOff>
    </xdr:to>
    <xdr:sp macro="" textlink="$AK$4">
      <xdr:nvSpPr>
        <xdr:cNvPr id="8" name="18 CuadroTexto">
          <a:extLst>
            <a:ext uri="{FF2B5EF4-FFF2-40B4-BE49-F238E27FC236}">
              <a16:creationId xmlns:a16="http://schemas.microsoft.com/office/drawing/2014/main" id="{2D69D17D-BD9E-40B2-AAA6-904890B8F69E}"/>
            </a:ext>
          </a:extLst>
        </xdr:cNvPr>
        <xdr:cNvSpPr txBox="1"/>
      </xdr:nvSpPr>
      <xdr:spPr>
        <a:xfrm>
          <a:off x="12096750" y="30861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8AB040-A209-4C3E-AFF6-C092286F2F2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15</xdr:col>
      <xdr:colOff>66675</xdr:colOff>
      <xdr:row>38</xdr:row>
      <xdr:rowOff>66675</xdr:rowOff>
    </xdr:from>
    <xdr:to>
      <xdr:col>19</xdr:col>
      <xdr:colOff>247650</xdr:colOff>
      <xdr:row>39</xdr:row>
      <xdr:rowOff>57150</xdr:rowOff>
    </xdr:to>
    <xdr:sp macro="" textlink="$AK$4">
      <xdr:nvSpPr>
        <xdr:cNvPr id="9" name="20 CuadroTexto">
          <a:extLst>
            <a:ext uri="{FF2B5EF4-FFF2-40B4-BE49-F238E27FC236}">
              <a16:creationId xmlns:a16="http://schemas.microsoft.com/office/drawing/2014/main" id="{CD3F6CF1-74F3-4A2E-AC28-5D60EBEA32F6}"/>
            </a:ext>
          </a:extLst>
        </xdr:cNvPr>
        <xdr:cNvSpPr txBox="1"/>
      </xdr:nvSpPr>
      <xdr:spPr>
        <a:xfrm>
          <a:off x="12725400" y="5867400"/>
          <a:ext cx="35337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2FC64DE-9678-438A-8D76-1BE04179FA25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21</xdr:col>
      <xdr:colOff>581025</xdr:colOff>
      <xdr:row>90</xdr:row>
      <xdr:rowOff>6721</xdr:rowOff>
    </xdr:from>
    <xdr:to>
      <xdr:col>27</xdr:col>
      <xdr:colOff>378600</xdr:colOff>
      <xdr:row>91</xdr:row>
      <xdr:rowOff>62071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8ECA11A-922E-417F-8FF6-17023BA76C69}"/>
            </a:ext>
          </a:extLst>
        </xdr:cNvPr>
        <xdr:cNvSpPr txBox="1">
          <a:spLocks noChangeArrowheads="1"/>
        </xdr:cNvSpPr>
      </xdr:nvSpPr>
      <xdr:spPr bwMode="auto">
        <a:xfrm>
          <a:off x="18268950" y="13732246"/>
          <a:ext cx="3960000" cy="20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27</xdr:col>
      <xdr:colOff>590550</xdr:colOff>
      <xdr:row>90</xdr:row>
      <xdr:rowOff>9103</xdr:rowOff>
    </xdr:from>
    <xdr:to>
      <xdr:col>33</xdr:col>
      <xdr:colOff>169050</xdr:colOff>
      <xdr:row>91</xdr:row>
      <xdr:rowOff>62071</xdr:rowOff>
    </xdr:to>
    <xdr:sp macro="" textlink="">
      <xdr:nvSpPr>
        <xdr:cNvPr id="11" name="Text Box 15">
          <a:extLst>
            <a:ext uri="{FF2B5EF4-FFF2-40B4-BE49-F238E27FC236}">
              <a16:creationId xmlns:a16="http://schemas.microsoft.com/office/drawing/2014/main" id="{912B64D5-D0CA-4FF1-B872-8CFBA8C12029}"/>
            </a:ext>
          </a:extLst>
        </xdr:cNvPr>
        <xdr:cNvSpPr txBox="1">
          <a:spLocks noChangeArrowheads="1"/>
        </xdr:cNvSpPr>
      </xdr:nvSpPr>
      <xdr:spPr bwMode="auto">
        <a:xfrm>
          <a:off x="22440900" y="13734628"/>
          <a:ext cx="3960000" cy="2053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581024</xdr:colOff>
      <xdr:row>24</xdr:row>
      <xdr:rowOff>28575</xdr:rowOff>
    </xdr:from>
    <xdr:to>
      <xdr:col>27</xdr:col>
      <xdr:colOff>378599</xdr:colOff>
      <xdr:row>41</xdr:row>
      <xdr:rowOff>137775</xdr:rowOff>
    </xdr:to>
    <xdr:sp macro="" textlink="">
      <xdr:nvSpPr>
        <xdr:cNvPr id="12" name="Rectangle 16">
          <a:extLst>
            <a:ext uri="{FF2B5EF4-FFF2-40B4-BE49-F238E27FC236}">
              <a16:creationId xmlns:a16="http://schemas.microsoft.com/office/drawing/2014/main" id="{040B16AF-017D-491D-A411-1526F4FB684E}"/>
            </a:ext>
          </a:extLst>
        </xdr:cNvPr>
        <xdr:cNvSpPr>
          <a:spLocks noChangeArrowheads="1"/>
        </xdr:cNvSpPr>
      </xdr:nvSpPr>
      <xdr:spPr bwMode="auto">
        <a:xfrm>
          <a:off x="18268949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46</xdr:row>
      <xdr:rowOff>66675</xdr:rowOff>
    </xdr:from>
    <xdr:to>
      <xdr:col>27</xdr:col>
      <xdr:colOff>378599</xdr:colOff>
      <xdr:row>64</xdr:row>
      <xdr:rowOff>23475</xdr:rowOff>
    </xdr:to>
    <xdr:sp macro="" textlink="">
      <xdr:nvSpPr>
        <xdr:cNvPr id="13" name="Rectangle 17">
          <a:extLst>
            <a:ext uri="{FF2B5EF4-FFF2-40B4-BE49-F238E27FC236}">
              <a16:creationId xmlns:a16="http://schemas.microsoft.com/office/drawing/2014/main" id="{308DC9B8-136A-41A7-A611-472B42560622}"/>
            </a:ext>
          </a:extLst>
        </xdr:cNvPr>
        <xdr:cNvSpPr>
          <a:spLocks noChangeArrowheads="1"/>
        </xdr:cNvSpPr>
      </xdr:nvSpPr>
      <xdr:spPr bwMode="auto">
        <a:xfrm>
          <a:off x="18268949" y="70866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619124</xdr:colOff>
      <xdr:row>2</xdr:row>
      <xdr:rowOff>38100</xdr:rowOff>
    </xdr:from>
    <xdr:to>
      <xdr:col>27</xdr:col>
      <xdr:colOff>416699</xdr:colOff>
      <xdr:row>19</xdr:row>
      <xdr:rowOff>147300</xdr:rowOff>
    </xdr:to>
    <xdr:sp macro="" textlink="">
      <xdr:nvSpPr>
        <xdr:cNvPr id="14" name="Rectangle 18">
          <a:extLst>
            <a:ext uri="{FF2B5EF4-FFF2-40B4-BE49-F238E27FC236}">
              <a16:creationId xmlns:a16="http://schemas.microsoft.com/office/drawing/2014/main" id="{E89734E7-176A-4E69-827A-4940D97139D8}"/>
            </a:ext>
          </a:extLst>
        </xdr:cNvPr>
        <xdr:cNvSpPr>
          <a:spLocks noChangeArrowheads="1"/>
        </xdr:cNvSpPr>
      </xdr:nvSpPr>
      <xdr:spPr bwMode="auto">
        <a:xfrm>
          <a:off x="1830704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581025</xdr:colOff>
      <xdr:row>69</xdr:row>
      <xdr:rowOff>0</xdr:rowOff>
    </xdr:from>
    <xdr:to>
      <xdr:col>27</xdr:col>
      <xdr:colOff>378600</xdr:colOff>
      <xdr:row>86</xdr:row>
      <xdr:rowOff>109200</xdr:rowOff>
    </xdr:to>
    <xdr:sp macro="" textlink="">
      <xdr:nvSpPr>
        <xdr:cNvPr id="15" name="Rectangle 19">
          <a:extLst>
            <a:ext uri="{FF2B5EF4-FFF2-40B4-BE49-F238E27FC236}">
              <a16:creationId xmlns:a16="http://schemas.microsoft.com/office/drawing/2014/main" id="{6A2CCB2D-A316-4371-AD67-90455ECC9DFA}"/>
            </a:ext>
          </a:extLst>
        </xdr:cNvPr>
        <xdr:cNvSpPr>
          <a:spLocks noChangeArrowheads="1"/>
        </xdr:cNvSpPr>
      </xdr:nvSpPr>
      <xdr:spPr bwMode="auto">
        <a:xfrm>
          <a:off x="18268950" y="105251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590549</xdr:colOff>
      <xdr:row>2</xdr:row>
      <xdr:rowOff>38100</xdr:rowOff>
    </xdr:from>
    <xdr:to>
      <xdr:col>33</xdr:col>
      <xdr:colOff>169049</xdr:colOff>
      <xdr:row>19</xdr:row>
      <xdr:rowOff>147300</xdr:rowOff>
    </xdr:to>
    <xdr:sp macro="" textlink="">
      <xdr:nvSpPr>
        <xdr:cNvPr id="16" name="Rectangle 20">
          <a:extLst>
            <a:ext uri="{FF2B5EF4-FFF2-40B4-BE49-F238E27FC236}">
              <a16:creationId xmlns:a16="http://schemas.microsoft.com/office/drawing/2014/main" id="{FF0D4859-D8A5-43CC-AF3A-65633ACE364E}"/>
            </a:ext>
          </a:extLst>
        </xdr:cNvPr>
        <xdr:cNvSpPr>
          <a:spLocks noChangeArrowheads="1"/>
        </xdr:cNvSpPr>
      </xdr:nvSpPr>
      <xdr:spPr bwMode="auto">
        <a:xfrm>
          <a:off x="2244089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24</xdr:row>
      <xdr:rowOff>28575</xdr:rowOff>
    </xdr:from>
    <xdr:to>
      <xdr:col>33</xdr:col>
      <xdr:colOff>169050</xdr:colOff>
      <xdr:row>41</xdr:row>
      <xdr:rowOff>137775</xdr:rowOff>
    </xdr:to>
    <xdr:sp macro="" textlink="">
      <xdr:nvSpPr>
        <xdr:cNvPr id="17" name="Rectangle 21">
          <a:extLst>
            <a:ext uri="{FF2B5EF4-FFF2-40B4-BE49-F238E27FC236}">
              <a16:creationId xmlns:a16="http://schemas.microsoft.com/office/drawing/2014/main" id="{96CFDE87-ED07-44F3-9FFC-0B11D2944594}"/>
            </a:ext>
          </a:extLst>
        </xdr:cNvPr>
        <xdr:cNvSpPr>
          <a:spLocks noChangeArrowheads="1"/>
        </xdr:cNvSpPr>
      </xdr:nvSpPr>
      <xdr:spPr bwMode="auto">
        <a:xfrm>
          <a:off x="22440900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46</xdr:row>
      <xdr:rowOff>66675</xdr:rowOff>
    </xdr:from>
    <xdr:to>
      <xdr:col>33</xdr:col>
      <xdr:colOff>169050</xdr:colOff>
      <xdr:row>64</xdr:row>
      <xdr:rowOff>23475</xdr:rowOff>
    </xdr:to>
    <xdr:sp macro="" textlink="">
      <xdr:nvSpPr>
        <xdr:cNvPr id="18" name="Rectangle 22">
          <a:extLst>
            <a:ext uri="{FF2B5EF4-FFF2-40B4-BE49-F238E27FC236}">
              <a16:creationId xmlns:a16="http://schemas.microsoft.com/office/drawing/2014/main" id="{E14F172B-62BC-4EA0-B17E-2A0C247D983F}"/>
            </a:ext>
          </a:extLst>
        </xdr:cNvPr>
        <xdr:cNvSpPr>
          <a:spLocks noChangeArrowheads="1"/>
        </xdr:cNvSpPr>
      </xdr:nvSpPr>
      <xdr:spPr bwMode="auto">
        <a:xfrm>
          <a:off x="22440900" y="70866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69</xdr:row>
      <xdr:rowOff>0</xdr:rowOff>
    </xdr:from>
    <xdr:to>
      <xdr:col>33</xdr:col>
      <xdr:colOff>169050</xdr:colOff>
      <xdr:row>86</xdr:row>
      <xdr:rowOff>109200</xdr:rowOff>
    </xdr:to>
    <xdr:sp macro="" textlink="">
      <xdr:nvSpPr>
        <xdr:cNvPr id="19" name="Rectangle 23">
          <a:extLst>
            <a:ext uri="{FF2B5EF4-FFF2-40B4-BE49-F238E27FC236}">
              <a16:creationId xmlns:a16="http://schemas.microsoft.com/office/drawing/2014/main" id="{A50C5AB7-FF7D-4FB1-8824-55ABB2618A9B}"/>
            </a:ext>
          </a:extLst>
        </xdr:cNvPr>
        <xdr:cNvSpPr>
          <a:spLocks noChangeArrowheads="1"/>
        </xdr:cNvSpPr>
      </xdr:nvSpPr>
      <xdr:spPr bwMode="auto">
        <a:xfrm>
          <a:off x="22440900" y="105251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42</xdr:row>
      <xdr:rowOff>66675</xdr:rowOff>
    </xdr:from>
    <xdr:to>
      <xdr:col>27</xdr:col>
      <xdr:colOff>378599</xdr:colOff>
      <xdr:row>45</xdr:row>
      <xdr:rowOff>41475</xdr:rowOff>
    </xdr:to>
    <xdr:grpSp>
      <xdr:nvGrpSpPr>
        <xdr:cNvPr id="20" name="24 Grupo">
          <a:extLst>
            <a:ext uri="{FF2B5EF4-FFF2-40B4-BE49-F238E27FC236}">
              <a16:creationId xmlns:a16="http://schemas.microsoft.com/office/drawing/2014/main" id="{DEC08E35-DD74-468B-BC13-82BAC9AAD063}"/>
            </a:ext>
          </a:extLst>
        </xdr:cNvPr>
        <xdr:cNvGrpSpPr>
          <a:grpSpLocks/>
        </xdr:cNvGrpSpPr>
      </xdr:nvGrpSpPr>
      <xdr:grpSpPr bwMode="auto">
        <a:xfrm>
          <a:off x="18268949" y="6477000"/>
          <a:ext cx="3960000" cy="432000"/>
          <a:chOff x="17078326" y="7448551"/>
          <a:chExt cx="2562224" cy="333375"/>
        </a:xfrm>
      </xdr:grpSpPr>
      <xdr:sp macro="" textlink="$AK$4">
        <xdr:nvSpPr>
          <xdr:cNvPr id="21" name="25 CuadroTexto">
            <a:extLst>
              <a:ext uri="{FF2B5EF4-FFF2-40B4-BE49-F238E27FC236}">
                <a16:creationId xmlns:a16="http://schemas.microsoft.com/office/drawing/2014/main" id="{58B59E76-9898-470B-9122-40C0BABE8E55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D80FA1A-2848-4898-B457-2CD769715A09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2" name="26 CuadroTexto">
            <a:extLst>
              <a:ext uri="{FF2B5EF4-FFF2-40B4-BE49-F238E27FC236}">
                <a16:creationId xmlns:a16="http://schemas.microsoft.com/office/drawing/2014/main" id="{6F8F32BC-5D8A-443B-9710-4009DFBFD4E5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C9D029F-31DF-4BFB-BA5E-2AC9C47A9F2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42</xdr:row>
      <xdr:rowOff>66674</xdr:rowOff>
    </xdr:from>
    <xdr:to>
      <xdr:col>33</xdr:col>
      <xdr:colOff>169050</xdr:colOff>
      <xdr:row>45</xdr:row>
      <xdr:rowOff>41474</xdr:rowOff>
    </xdr:to>
    <xdr:grpSp>
      <xdr:nvGrpSpPr>
        <xdr:cNvPr id="23" name="27 Grupo">
          <a:extLst>
            <a:ext uri="{FF2B5EF4-FFF2-40B4-BE49-F238E27FC236}">
              <a16:creationId xmlns:a16="http://schemas.microsoft.com/office/drawing/2014/main" id="{D77CFFE7-2DDD-45CD-BAFA-13C94A7AB07B}"/>
            </a:ext>
          </a:extLst>
        </xdr:cNvPr>
        <xdr:cNvGrpSpPr>
          <a:grpSpLocks/>
        </xdr:cNvGrpSpPr>
      </xdr:nvGrpSpPr>
      <xdr:grpSpPr bwMode="auto">
        <a:xfrm>
          <a:off x="22440900" y="6476999"/>
          <a:ext cx="3960000" cy="432000"/>
          <a:chOff x="17078326" y="7448551"/>
          <a:chExt cx="2562224" cy="333375"/>
        </a:xfrm>
      </xdr:grpSpPr>
      <xdr:sp macro="" textlink="$AK$4">
        <xdr:nvSpPr>
          <xdr:cNvPr id="24" name="28 CuadroTexto">
            <a:extLst>
              <a:ext uri="{FF2B5EF4-FFF2-40B4-BE49-F238E27FC236}">
                <a16:creationId xmlns:a16="http://schemas.microsoft.com/office/drawing/2014/main" id="{A0435CFC-39A3-4706-8F74-30D40CFC4809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51C3D02-D201-4F9D-A478-959BCF18215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5" name="29 CuadroTexto">
            <a:extLst>
              <a:ext uri="{FF2B5EF4-FFF2-40B4-BE49-F238E27FC236}">
                <a16:creationId xmlns:a16="http://schemas.microsoft.com/office/drawing/2014/main" id="{7B7ABFB4-B2A7-4C1C-BAC7-A944F9FAB8F9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19536D1-27BE-448B-BE0C-F99628D7BA26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581025</xdr:colOff>
      <xdr:row>87</xdr:row>
      <xdr:rowOff>38099</xdr:rowOff>
    </xdr:from>
    <xdr:to>
      <xdr:col>27</xdr:col>
      <xdr:colOff>378600</xdr:colOff>
      <xdr:row>90</xdr:row>
      <xdr:rowOff>48899</xdr:rowOff>
    </xdr:to>
    <xdr:grpSp>
      <xdr:nvGrpSpPr>
        <xdr:cNvPr id="26" name="33 Grupo">
          <a:extLst>
            <a:ext uri="{FF2B5EF4-FFF2-40B4-BE49-F238E27FC236}">
              <a16:creationId xmlns:a16="http://schemas.microsoft.com/office/drawing/2014/main" id="{0275D13B-F7CD-4FE8-816E-B14030D9474E}"/>
            </a:ext>
          </a:extLst>
        </xdr:cNvPr>
        <xdr:cNvGrpSpPr>
          <a:grpSpLocks/>
        </xdr:cNvGrpSpPr>
      </xdr:nvGrpSpPr>
      <xdr:grpSpPr bwMode="auto">
        <a:xfrm>
          <a:off x="18268950" y="13306424"/>
          <a:ext cx="3960000" cy="468000"/>
          <a:chOff x="17078326" y="7448551"/>
          <a:chExt cx="2562224" cy="333375"/>
        </a:xfrm>
      </xdr:grpSpPr>
      <xdr:sp macro="" textlink="$AK$4">
        <xdr:nvSpPr>
          <xdr:cNvPr id="27" name="34 CuadroTexto">
            <a:extLst>
              <a:ext uri="{FF2B5EF4-FFF2-40B4-BE49-F238E27FC236}">
                <a16:creationId xmlns:a16="http://schemas.microsoft.com/office/drawing/2014/main" id="{71FF54AE-0129-4CEE-803C-3572839B93AE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BF9B00D8-985C-4CF6-80B4-2E1FDCD91705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8" name="35 CuadroTexto">
            <a:extLst>
              <a:ext uri="{FF2B5EF4-FFF2-40B4-BE49-F238E27FC236}">
                <a16:creationId xmlns:a16="http://schemas.microsoft.com/office/drawing/2014/main" id="{B615D43F-4042-4D18-9255-0AABB10AF187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EB3228D6-073D-4E4B-8F1F-B6096FD11EA0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87</xdr:row>
      <xdr:rowOff>38100</xdr:rowOff>
    </xdr:from>
    <xdr:to>
      <xdr:col>33</xdr:col>
      <xdr:colOff>169050</xdr:colOff>
      <xdr:row>90</xdr:row>
      <xdr:rowOff>12900</xdr:rowOff>
    </xdr:to>
    <xdr:grpSp>
      <xdr:nvGrpSpPr>
        <xdr:cNvPr id="29" name="36 Grupo">
          <a:extLst>
            <a:ext uri="{FF2B5EF4-FFF2-40B4-BE49-F238E27FC236}">
              <a16:creationId xmlns:a16="http://schemas.microsoft.com/office/drawing/2014/main" id="{4E180CA7-0A40-4413-BB06-71C2559C8A2E}"/>
            </a:ext>
          </a:extLst>
        </xdr:cNvPr>
        <xdr:cNvGrpSpPr>
          <a:grpSpLocks/>
        </xdr:cNvGrpSpPr>
      </xdr:nvGrpSpPr>
      <xdr:grpSpPr bwMode="auto">
        <a:xfrm>
          <a:off x="22440900" y="13306425"/>
          <a:ext cx="3960000" cy="432000"/>
          <a:chOff x="17078326" y="7448551"/>
          <a:chExt cx="2562224" cy="333375"/>
        </a:xfrm>
      </xdr:grpSpPr>
      <xdr:sp macro="" textlink="$AK$4">
        <xdr:nvSpPr>
          <xdr:cNvPr id="30" name="37 CuadroTexto">
            <a:extLst>
              <a:ext uri="{FF2B5EF4-FFF2-40B4-BE49-F238E27FC236}">
                <a16:creationId xmlns:a16="http://schemas.microsoft.com/office/drawing/2014/main" id="{ED566F41-5C56-493D-875F-D33AEE9390A7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DD64D5-5952-42FC-B75C-C693AE6EFA40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1" name="38 CuadroTexto">
            <a:extLst>
              <a:ext uri="{FF2B5EF4-FFF2-40B4-BE49-F238E27FC236}">
                <a16:creationId xmlns:a16="http://schemas.microsoft.com/office/drawing/2014/main" id="{A8BD5905-155A-465A-A85B-7836E1525789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C0B0EC8-987D-4FAB-9320-EC995B4E27DE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581024</xdr:colOff>
      <xdr:row>20</xdr:row>
      <xdr:rowOff>76200</xdr:rowOff>
    </xdr:from>
    <xdr:to>
      <xdr:col>27</xdr:col>
      <xdr:colOff>378599</xdr:colOff>
      <xdr:row>23</xdr:row>
      <xdr:rowOff>51000</xdr:rowOff>
    </xdr:to>
    <xdr:grpSp>
      <xdr:nvGrpSpPr>
        <xdr:cNvPr id="32" name="39 Grupo">
          <a:extLst>
            <a:ext uri="{FF2B5EF4-FFF2-40B4-BE49-F238E27FC236}">
              <a16:creationId xmlns:a16="http://schemas.microsoft.com/office/drawing/2014/main" id="{F0AC9D66-A47D-4EC6-91CA-0A428C4FA06D}"/>
            </a:ext>
          </a:extLst>
        </xdr:cNvPr>
        <xdr:cNvGrpSpPr>
          <a:grpSpLocks/>
        </xdr:cNvGrpSpPr>
      </xdr:nvGrpSpPr>
      <xdr:grpSpPr bwMode="auto">
        <a:xfrm>
          <a:off x="18268949" y="3133725"/>
          <a:ext cx="3960000" cy="432000"/>
          <a:chOff x="17078326" y="7448551"/>
          <a:chExt cx="2562224" cy="333375"/>
        </a:xfrm>
      </xdr:grpSpPr>
      <xdr:sp macro="" textlink="$AK$4">
        <xdr:nvSpPr>
          <xdr:cNvPr id="33" name="40 CuadroTexto">
            <a:extLst>
              <a:ext uri="{FF2B5EF4-FFF2-40B4-BE49-F238E27FC236}">
                <a16:creationId xmlns:a16="http://schemas.microsoft.com/office/drawing/2014/main" id="{62D271CF-709C-4C45-8291-5B135E25A652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5A33A04-E52C-4DA2-A122-75C848159D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4" name="41 CuadroTexto">
            <a:extLst>
              <a:ext uri="{FF2B5EF4-FFF2-40B4-BE49-F238E27FC236}">
                <a16:creationId xmlns:a16="http://schemas.microsoft.com/office/drawing/2014/main" id="{614BAFB2-4D7B-423C-86FF-B4F84D902670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22FC8FB0-DD3C-435D-BF00-5A5BE9F46122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590549</xdr:colOff>
      <xdr:row>20</xdr:row>
      <xdr:rowOff>76199</xdr:rowOff>
    </xdr:from>
    <xdr:to>
      <xdr:col>33</xdr:col>
      <xdr:colOff>169049</xdr:colOff>
      <xdr:row>23</xdr:row>
      <xdr:rowOff>50999</xdr:rowOff>
    </xdr:to>
    <xdr:grpSp>
      <xdr:nvGrpSpPr>
        <xdr:cNvPr id="35" name="42 Grupo">
          <a:extLst>
            <a:ext uri="{FF2B5EF4-FFF2-40B4-BE49-F238E27FC236}">
              <a16:creationId xmlns:a16="http://schemas.microsoft.com/office/drawing/2014/main" id="{A5D8B5E1-F957-4ACB-B3A9-3FEE0D82E395}"/>
            </a:ext>
          </a:extLst>
        </xdr:cNvPr>
        <xdr:cNvGrpSpPr>
          <a:grpSpLocks/>
        </xdr:cNvGrpSpPr>
      </xdr:nvGrpSpPr>
      <xdr:grpSpPr bwMode="auto">
        <a:xfrm>
          <a:off x="22440899" y="3133724"/>
          <a:ext cx="3960000" cy="432000"/>
          <a:chOff x="17078326" y="7448551"/>
          <a:chExt cx="2562224" cy="333375"/>
        </a:xfrm>
      </xdr:grpSpPr>
      <xdr:sp macro="" textlink="$AK$4">
        <xdr:nvSpPr>
          <xdr:cNvPr id="36" name="43 CuadroTexto">
            <a:extLst>
              <a:ext uri="{FF2B5EF4-FFF2-40B4-BE49-F238E27FC236}">
                <a16:creationId xmlns:a16="http://schemas.microsoft.com/office/drawing/2014/main" id="{0D33CA2F-D94B-4FDC-A61F-A3CFC7A253C1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1CFD8B2-E9C0-41FE-B0CF-CDE2406B1B0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7" name="44 CuadroTexto">
            <a:extLst>
              <a:ext uri="{FF2B5EF4-FFF2-40B4-BE49-F238E27FC236}">
                <a16:creationId xmlns:a16="http://schemas.microsoft.com/office/drawing/2014/main" id="{4CD56EE6-96C8-4125-8357-C0E027C309EB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B8805A4-E194-4722-9E59-ECBDFB9456F1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15</xdr:col>
      <xdr:colOff>76200</xdr:colOff>
      <xdr:row>39</xdr:row>
      <xdr:rowOff>85725</xdr:rowOff>
    </xdr:from>
    <xdr:to>
      <xdr:col>19</xdr:col>
      <xdr:colOff>247650</xdr:colOff>
      <xdr:row>40</xdr:row>
      <xdr:rowOff>114300</xdr:rowOff>
    </xdr:to>
    <xdr:sp macro="" textlink="$AK$5">
      <xdr:nvSpPr>
        <xdr:cNvPr id="38" name="CuadroTexto 37">
          <a:extLst>
            <a:ext uri="{FF2B5EF4-FFF2-40B4-BE49-F238E27FC236}">
              <a16:creationId xmlns:a16="http://schemas.microsoft.com/office/drawing/2014/main" id="{FF19C64F-4D48-497D-8FBB-604F1C8EBC56}"/>
            </a:ext>
          </a:extLst>
        </xdr:cNvPr>
        <xdr:cNvSpPr txBox="1"/>
      </xdr:nvSpPr>
      <xdr:spPr>
        <a:xfrm>
          <a:off x="12734925" y="6038850"/>
          <a:ext cx="35242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3DBAB7F-6BDA-48EB-9E30-2C0C8059920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(25,8-25,16)</a:t>
          </a:fld>
          <a:endParaRPr lang="es-CL" sz="1100"/>
        </a:p>
      </xdr:txBody>
    </xdr:sp>
    <xdr:clientData/>
  </xdr:twoCellAnchor>
  <xdr:twoCellAnchor>
    <xdr:from>
      <xdr:col>21</xdr:col>
      <xdr:colOff>581024</xdr:colOff>
      <xdr:row>64</xdr:row>
      <xdr:rowOff>104775</xdr:rowOff>
    </xdr:from>
    <xdr:to>
      <xdr:col>27</xdr:col>
      <xdr:colOff>378599</xdr:colOff>
      <xdr:row>67</xdr:row>
      <xdr:rowOff>79575</xdr:rowOff>
    </xdr:to>
    <xdr:grpSp>
      <xdr:nvGrpSpPr>
        <xdr:cNvPr id="39" name="24 Grupo">
          <a:extLst>
            <a:ext uri="{FF2B5EF4-FFF2-40B4-BE49-F238E27FC236}">
              <a16:creationId xmlns:a16="http://schemas.microsoft.com/office/drawing/2014/main" id="{D4DB9637-E410-4EB8-9A85-D98A44ECAA8D}"/>
            </a:ext>
          </a:extLst>
        </xdr:cNvPr>
        <xdr:cNvGrpSpPr>
          <a:grpSpLocks/>
        </xdr:cNvGrpSpPr>
      </xdr:nvGrpSpPr>
      <xdr:grpSpPr bwMode="auto">
        <a:xfrm>
          <a:off x="18268949" y="9867900"/>
          <a:ext cx="3960000" cy="432000"/>
          <a:chOff x="17078326" y="7448551"/>
          <a:chExt cx="2562224" cy="333375"/>
        </a:xfrm>
      </xdr:grpSpPr>
      <xdr:sp macro="" textlink="$AK$4">
        <xdr:nvSpPr>
          <xdr:cNvPr id="40" name="25 CuadroTexto">
            <a:extLst>
              <a:ext uri="{FF2B5EF4-FFF2-40B4-BE49-F238E27FC236}">
                <a16:creationId xmlns:a16="http://schemas.microsoft.com/office/drawing/2014/main" id="{D81BCEAC-A967-4DF1-A329-D5B6D2788BC8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6281D80-8843-4B23-A592-1972485D043B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41" name="26 CuadroTexto">
            <a:extLst>
              <a:ext uri="{FF2B5EF4-FFF2-40B4-BE49-F238E27FC236}">
                <a16:creationId xmlns:a16="http://schemas.microsoft.com/office/drawing/2014/main" id="{D15F90B4-ABE1-48A1-88AC-F7179EC5AA07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68311A36-B476-4E65-9089-B6CC30A4A1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64</xdr:row>
      <xdr:rowOff>104774</xdr:rowOff>
    </xdr:from>
    <xdr:to>
      <xdr:col>33</xdr:col>
      <xdr:colOff>169050</xdr:colOff>
      <xdr:row>67</xdr:row>
      <xdr:rowOff>79574</xdr:rowOff>
    </xdr:to>
    <xdr:grpSp>
      <xdr:nvGrpSpPr>
        <xdr:cNvPr id="42" name="27 Grupo">
          <a:extLst>
            <a:ext uri="{FF2B5EF4-FFF2-40B4-BE49-F238E27FC236}">
              <a16:creationId xmlns:a16="http://schemas.microsoft.com/office/drawing/2014/main" id="{3B611357-53B5-4081-AB7E-26D3A44E8617}"/>
            </a:ext>
          </a:extLst>
        </xdr:cNvPr>
        <xdr:cNvGrpSpPr>
          <a:grpSpLocks/>
        </xdr:cNvGrpSpPr>
      </xdr:nvGrpSpPr>
      <xdr:grpSpPr bwMode="auto">
        <a:xfrm>
          <a:off x="22440900" y="9867899"/>
          <a:ext cx="3960000" cy="432000"/>
          <a:chOff x="17078326" y="7448551"/>
          <a:chExt cx="2562224" cy="333375"/>
        </a:xfrm>
      </xdr:grpSpPr>
      <xdr:sp macro="" textlink="$AK$4">
        <xdr:nvSpPr>
          <xdr:cNvPr id="43" name="28 CuadroTexto">
            <a:extLst>
              <a:ext uri="{FF2B5EF4-FFF2-40B4-BE49-F238E27FC236}">
                <a16:creationId xmlns:a16="http://schemas.microsoft.com/office/drawing/2014/main" id="{1E851127-E176-4C27-B7B3-9EEAD0E58267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244F492-E6C9-4A5F-8E4C-D824AEC4D68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44" name="29 CuadroTexto">
            <a:extLst>
              <a:ext uri="{FF2B5EF4-FFF2-40B4-BE49-F238E27FC236}">
                <a16:creationId xmlns:a16="http://schemas.microsoft.com/office/drawing/2014/main" id="{DE4EE233-BED1-4A7A-8F1C-8A3F3F3FC505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C1C1ACF6-A665-4F91-A94D-601A2D96B1F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(25,8-25,16)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21</xdr:col>
      <xdr:colOff>581026</xdr:colOff>
      <xdr:row>24</xdr:row>
      <xdr:rowOff>28576</xdr:rowOff>
    </xdr:from>
    <xdr:to>
      <xdr:col>27</xdr:col>
      <xdr:colOff>390525</xdr:colOff>
      <xdr:row>41</xdr:row>
      <xdr:rowOff>133350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51C9B3E-7B07-47D0-B23C-7146CBF7C3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1" y="3695701"/>
          <a:ext cx="3971924" cy="2695574"/>
        </a:xfrm>
        <a:prstGeom prst="rect">
          <a:avLst/>
        </a:prstGeom>
      </xdr:spPr>
    </xdr:pic>
    <xdr:clientData/>
  </xdr:twoCellAnchor>
  <xdr:twoCellAnchor editAs="oneCell">
    <xdr:from>
      <xdr:col>22</xdr:col>
      <xdr:colOff>9526</xdr:colOff>
      <xdr:row>2</xdr:row>
      <xdr:rowOff>47625</xdr:rowOff>
    </xdr:from>
    <xdr:to>
      <xdr:col>27</xdr:col>
      <xdr:colOff>419100</xdr:colOff>
      <xdr:row>19</xdr:row>
      <xdr:rowOff>142876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9D674955-9EFD-4249-B48E-9DD302CF38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316576" y="361950"/>
          <a:ext cx="3952874" cy="2686051"/>
        </a:xfrm>
        <a:prstGeom prst="rect">
          <a:avLst/>
        </a:prstGeom>
      </xdr:spPr>
    </xdr:pic>
    <xdr:clientData/>
  </xdr:twoCellAnchor>
  <xdr:twoCellAnchor editAs="oneCell">
    <xdr:from>
      <xdr:col>21</xdr:col>
      <xdr:colOff>581025</xdr:colOff>
      <xdr:row>68</xdr:row>
      <xdr:rowOff>142876</xdr:rowOff>
    </xdr:from>
    <xdr:to>
      <xdr:col>27</xdr:col>
      <xdr:colOff>381000</xdr:colOff>
      <xdr:row>86</xdr:row>
      <xdr:rowOff>123826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96E0F94C-E144-44DE-9F3F-A6E2AAACB2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0" y="10515601"/>
          <a:ext cx="3962400" cy="272415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571500</xdr:colOff>
      <xdr:row>46</xdr:row>
      <xdr:rowOff>66675</xdr:rowOff>
    </xdr:from>
    <xdr:to>
      <xdr:col>27</xdr:col>
      <xdr:colOff>390525</xdr:colOff>
      <xdr:row>64</xdr:row>
      <xdr:rowOff>17336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99C03E94-6F17-4A87-AE0A-9E57CFC543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59425" y="7086600"/>
          <a:ext cx="3981450" cy="2693861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24</xdr:row>
      <xdr:rowOff>38100</xdr:rowOff>
    </xdr:from>
    <xdr:to>
      <xdr:col>33</xdr:col>
      <xdr:colOff>171450</xdr:colOff>
      <xdr:row>41</xdr:row>
      <xdr:rowOff>144246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2334383D-E737-4953-831D-12369AB542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705225"/>
          <a:ext cx="3962400" cy="2696946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</xdr:row>
      <xdr:rowOff>38100</xdr:rowOff>
    </xdr:from>
    <xdr:to>
      <xdr:col>33</xdr:col>
      <xdr:colOff>180976</xdr:colOff>
      <xdr:row>20</xdr:row>
      <xdr:rowOff>15200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AC18FF32-FFE7-417F-A4CC-757B0B865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52425"/>
          <a:ext cx="3971926" cy="2720300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590551</xdr:colOff>
      <xdr:row>69</xdr:row>
      <xdr:rowOff>0</xdr:rowOff>
    </xdr:from>
    <xdr:to>
      <xdr:col>33</xdr:col>
      <xdr:colOff>171451</xdr:colOff>
      <xdr:row>86</xdr:row>
      <xdr:rowOff>114300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D9C6EF57-F1BC-49F0-95D5-26F6905B73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1" y="10525125"/>
          <a:ext cx="3962400" cy="2705100"/>
        </a:xfrm>
        <a:prstGeom prst="rect">
          <a:avLst/>
        </a:prstGeom>
      </xdr:spPr>
    </xdr:pic>
    <xdr:clientData/>
  </xdr:twoCellAnchor>
  <xdr:twoCellAnchor editAs="oneCell">
    <xdr:from>
      <xdr:col>27</xdr:col>
      <xdr:colOff>581026</xdr:colOff>
      <xdr:row>46</xdr:row>
      <xdr:rowOff>66676</xdr:rowOff>
    </xdr:from>
    <xdr:to>
      <xdr:col>33</xdr:col>
      <xdr:colOff>180976</xdr:colOff>
      <xdr:row>64</xdr:row>
      <xdr:rowOff>19050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FA71820-8CB2-49ED-B187-6F4CF5306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31376" y="7086601"/>
          <a:ext cx="3981450" cy="26955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2</xdr:row>
      <xdr:rowOff>0</xdr:rowOff>
    </xdr:from>
    <xdr:to>
      <xdr:col>19</xdr:col>
      <xdr:colOff>457200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6DF29D-C4FF-4F99-BD0E-5B894FDA1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20</xdr:row>
      <xdr:rowOff>0</xdr:rowOff>
    </xdr:from>
    <xdr:to>
      <xdr:col>19</xdr:col>
      <xdr:colOff>457200</xdr:colOff>
      <xdr:row>37</xdr:row>
      <xdr:rowOff>9525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0E651BE-DED7-46BA-A7C2-60DA092D1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247650</xdr:colOff>
      <xdr:row>38</xdr:row>
      <xdr:rowOff>0</xdr:rowOff>
    </xdr:from>
    <xdr:to>
      <xdr:col>19</xdr:col>
      <xdr:colOff>466725</xdr:colOff>
      <xdr:row>54</xdr:row>
      <xdr:rowOff>133350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11AB38F9-A110-49A9-896F-6EE7E08C9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390525</xdr:colOff>
      <xdr:row>3</xdr:row>
      <xdr:rowOff>28575</xdr:rowOff>
    </xdr:from>
    <xdr:to>
      <xdr:col>19</xdr:col>
      <xdr:colOff>542924</xdr:colOff>
      <xdr:row>4</xdr:row>
      <xdr:rowOff>57150</xdr:rowOff>
    </xdr:to>
    <xdr:sp macro="" textlink="$AK$5">
      <xdr:nvSpPr>
        <xdr:cNvPr id="5" name="2 CuadroTexto">
          <a:extLst>
            <a:ext uri="{FF2B5EF4-FFF2-40B4-BE49-F238E27FC236}">
              <a16:creationId xmlns:a16="http://schemas.microsoft.com/office/drawing/2014/main" id="{834EC114-2A48-4EFF-999F-FC0FEF2F868D}"/>
            </a:ext>
          </a:extLst>
        </xdr:cNvPr>
        <xdr:cNvSpPr txBox="1"/>
      </xdr:nvSpPr>
      <xdr:spPr>
        <a:xfrm>
          <a:off x="12211050" y="4953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1D65BC8-4CFD-4CDC-B37C-8692F0C2F6F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(44,10-44,30)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</xdr:row>
      <xdr:rowOff>9525</xdr:rowOff>
    </xdr:from>
    <xdr:to>
      <xdr:col>19</xdr:col>
      <xdr:colOff>428624</xdr:colOff>
      <xdr:row>3</xdr:row>
      <xdr:rowOff>38100</xdr:rowOff>
    </xdr:to>
    <xdr:sp macro="" textlink="$AK$4">
      <xdr:nvSpPr>
        <xdr:cNvPr id="6" name="16 CuadroTexto">
          <a:extLst>
            <a:ext uri="{FF2B5EF4-FFF2-40B4-BE49-F238E27FC236}">
              <a16:creationId xmlns:a16="http://schemas.microsoft.com/office/drawing/2014/main" id="{A0D82F9A-AB7A-4412-BEB5-94A163FE34C3}"/>
            </a:ext>
          </a:extLst>
        </xdr:cNvPr>
        <xdr:cNvSpPr txBox="1"/>
      </xdr:nvSpPr>
      <xdr:spPr>
        <a:xfrm>
          <a:off x="12096750" y="3238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4566E55-B9ED-4BF4-A11F-29D5E2F74F81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14</xdr:col>
      <xdr:colOff>314325</xdr:colOff>
      <xdr:row>21</xdr:row>
      <xdr:rowOff>47625</xdr:rowOff>
    </xdr:from>
    <xdr:to>
      <xdr:col>19</xdr:col>
      <xdr:colOff>466724</xdr:colOff>
      <xdr:row>22</xdr:row>
      <xdr:rowOff>76200</xdr:rowOff>
    </xdr:to>
    <xdr:sp macro="" textlink="$AK$5">
      <xdr:nvSpPr>
        <xdr:cNvPr id="7" name="17 CuadroTexto">
          <a:extLst>
            <a:ext uri="{FF2B5EF4-FFF2-40B4-BE49-F238E27FC236}">
              <a16:creationId xmlns:a16="http://schemas.microsoft.com/office/drawing/2014/main" id="{52C5B318-051B-42A6-8E21-E8E59CFF88B5}"/>
            </a:ext>
          </a:extLst>
        </xdr:cNvPr>
        <xdr:cNvSpPr txBox="1"/>
      </xdr:nvSpPr>
      <xdr:spPr>
        <a:xfrm>
          <a:off x="12134850" y="325755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81B9E9-F92B-4E74-BAE4-127F374F48E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(44,10-44,30)</a:t>
          </a:fld>
          <a:endParaRPr lang="es-ES" sz="1100"/>
        </a:p>
      </xdr:txBody>
    </xdr:sp>
    <xdr:clientData/>
  </xdr:twoCellAnchor>
  <xdr:twoCellAnchor>
    <xdr:from>
      <xdr:col>14</xdr:col>
      <xdr:colOff>276225</xdr:colOff>
      <xdr:row>20</xdr:row>
      <xdr:rowOff>28575</xdr:rowOff>
    </xdr:from>
    <xdr:to>
      <xdr:col>19</xdr:col>
      <xdr:colOff>428624</xdr:colOff>
      <xdr:row>21</xdr:row>
      <xdr:rowOff>57150</xdr:rowOff>
    </xdr:to>
    <xdr:sp macro="" textlink="$AK$4">
      <xdr:nvSpPr>
        <xdr:cNvPr id="8" name="18 CuadroTexto">
          <a:extLst>
            <a:ext uri="{FF2B5EF4-FFF2-40B4-BE49-F238E27FC236}">
              <a16:creationId xmlns:a16="http://schemas.microsoft.com/office/drawing/2014/main" id="{3BE1F6C2-49DA-4890-A7A2-A2063856025B}"/>
            </a:ext>
          </a:extLst>
        </xdr:cNvPr>
        <xdr:cNvSpPr txBox="1"/>
      </xdr:nvSpPr>
      <xdr:spPr>
        <a:xfrm>
          <a:off x="12096750" y="3086100"/>
          <a:ext cx="434339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8AB040-A209-4C3E-AFF6-C092286F2F2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15</xdr:col>
      <xdr:colOff>66675</xdr:colOff>
      <xdr:row>38</xdr:row>
      <xdr:rowOff>66675</xdr:rowOff>
    </xdr:from>
    <xdr:to>
      <xdr:col>19</xdr:col>
      <xdr:colOff>247650</xdr:colOff>
      <xdr:row>39</xdr:row>
      <xdr:rowOff>57150</xdr:rowOff>
    </xdr:to>
    <xdr:sp macro="" textlink="$AK$4">
      <xdr:nvSpPr>
        <xdr:cNvPr id="9" name="20 CuadroTexto">
          <a:extLst>
            <a:ext uri="{FF2B5EF4-FFF2-40B4-BE49-F238E27FC236}">
              <a16:creationId xmlns:a16="http://schemas.microsoft.com/office/drawing/2014/main" id="{1239B332-D671-40BB-9812-8581BD1B4491}"/>
            </a:ext>
          </a:extLst>
        </xdr:cNvPr>
        <xdr:cNvSpPr txBox="1"/>
      </xdr:nvSpPr>
      <xdr:spPr>
        <a:xfrm>
          <a:off x="12725400" y="5867400"/>
          <a:ext cx="35337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2FC64DE-9678-438A-8D76-1BE04179FA25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C1BH-L12-L10-3+780-D</a:t>
          </a:fld>
          <a:endParaRPr lang="es-ES" sz="1100"/>
        </a:p>
      </xdr:txBody>
    </xdr:sp>
    <xdr:clientData/>
  </xdr:twoCellAnchor>
  <xdr:twoCellAnchor>
    <xdr:from>
      <xdr:col>21</xdr:col>
      <xdr:colOff>581025</xdr:colOff>
      <xdr:row>44</xdr:row>
      <xdr:rowOff>63871</xdr:rowOff>
    </xdr:from>
    <xdr:to>
      <xdr:col>27</xdr:col>
      <xdr:colOff>378600</xdr:colOff>
      <xdr:row>45</xdr:row>
      <xdr:rowOff>119221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42808CA7-71AD-4AC3-B804-7979271423EC}"/>
            </a:ext>
          </a:extLst>
        </xdr:cNvPr>
        <xdr:cNvSpPr txBox="1">
          <a:spLocks noChangeArrowheads="1"/>
        </xdr:cNvSpPr>
      </xdr:nvSpPr>
      <xdr:spPr bwMode="auto">
        <a:xfrm>
          <a:off x="18268950" y="6778996"/>
          <a:ext cx="3960000" cy="20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27</xdr:col>
      <xdr:colOff>590550</xdr:colOff>
      <xdr:row>90</xdr:row>
      <xdr:rowOff>9103</xdr:rowOff>
    </xdr:from>
    <xdr:to>
      <xdr:col>33</xdr:col>
      <xdr:colOff>169050</xdr:colOff>
      <xdr:row>91</xdr:row>
      <xdr:rowOff>62071</xdr:rowOff>
    </xdr:to>
    <xdr:sp macro="" textlink="">
      <xdr:nvSpPr>
        <xdr:cNvPr id="11" name="Text Box 15">
          <a:extLst>
            <a:ext uri="{FF2B5EF4-FFF2-40B4-BE49-F238E27FC236}">
              <a16:creationId xmlns:a16="http://schemas.microsoft.com/office/drawing/2014/main" id="{4A57067F-DEBC-479B-9877-22A1BA6C36C6}"/>
            </a:ext>
          </a:extLst>
        </xdr:cNvPr>
        <xdr:cNvSpPr txBox="1">
          <a:spLocks noChangeArrowheads="1"/>
        </xdr:cNvSpPr>
      </xdr:nvSpPr>
      <xdr:spPr bwMode="auto">
        <a:xfrm>
          <a:off x="22440900" y="13734628"/>
          <a:ext cx="3960000" cy="2053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581024</xdr:colOff>
      <xdr:row>24</xdr:row>
      <xdr:rowOff>28575</xdr:rowOff>
    </xdr:from>
    <xdr:to>
      <xdr:col>27</xdr:col>
      <xdr:colOff>378599</xdr:colOff>
      <xdr:row>41</xdr:row>
      <xdr:rowOff>137775</xdr:rowOff>
    </xdr:to>
    <xdr:sp macro="" textlink="">
      <xdr:nvSpPr>
        <xdr:cNvPr id="12" name="Rectangle 16">
          <a:extLst>
            <a:ext uri="{FF2B5EF4-FFF2-40B4-BE49-F238E27FC236}">
              <a16:creationId xmlns:a16="http://schemas.microsoft.com/office/drawing/2014/main" id="{1287454C-82EC-4871-B7EA-343056816AE7}"/>
            </a:ext>
          </a:extLst>
        </xdr:cNvPr>
        <xdr:cNvSpPr>
          <a:spLocks noChangeArrowheads="1"/>
        </xdr:cNvSpPr>
      </xdr:nvSpPr>
      <xdr:spPr bwMode="auto">
        <a:xfrm>
          <a:off x="18268949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2</xdr:row>
      <xdr:rowOff>38100</xdr:rowOff>
    </xdr:from>
    <xdr:to>
      <xdr:col>27</xdr:col>
      <xdr:colOff>378599</xdr:colOff>
      <xdr:row>19</xdr:row>
      <xdr:rowOff>147300</xdr:rowOff>
    </xdr:to>
    <xdr:sp macro="" textlink="">
      <xdr:nvSpPr>
        <xdr:cNvPr id="14" name="Rectangle 18">
          <a:extLst>
            <a:ext uri="{FF2B5EF4-FFF2-40B4-BE49-F238E27FC236}">
              <a16:creationId xmlns:a16="http://schemas.microsoft.com/office/drawing/2014/main" id="{71F10A7F-55A6-4308-A53E-F81073EEC898}"/>
            </a:ext>
          </a:extLst>
        </xdr:cNvPr>
        <xdr:cNvSpPr>
          <a:spLocks noChangeArrowheads="1"/>
        </xdr:cNvSpPr>
      </xdr:nvSpPr>
      <xdr:spPr bwMode="auto">
        <a:xfrm>
          <a:off x="1826894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590549</xdr:colOff>
      <xdr:row>2</xdr:row>
      <xdr:rowOff>38100</xdr:rowOff>
    </xdr:from>
    <xdr:to>
      <xdr:col>33</xdr:col>
      <xdr:colOff>169049</xdr:colOff>
      <xdr:row>19</xdr:row>
      <xdr:rowOff>147300</xdr:rowOff>
    </xdr:to>
    <xdr:sp macro="" textlink="">
      <xdr:nvSpPr>
        <xdr:cNvPr id="16" name="Rectangle 20">
          <a:extLst>
            <a:ext uri="{FF2B5EF4-FFF2-40B4-BE49-F238E27FC236}">
              <a16:creationId xmlns:a16="http://schemas.microsoft.com/office/drawing/2014/main" id="{BEFD4CDB-BDF8-4EC6-BB2A-79980FC70D07}"/>
            </a:ext>
          </a:extLst>
        </xdr:cNvPr>
        <xdr:cNvSpPr>
          <a:spLocks noChangeArrowheads="1"/>
        </xdr:cNvSpPr>
      </xdr:nvSpPr>
      <xdr:spPr bwMode="auto">
        <a:xfrm>
          <a:off x="22440899" y="3524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24</xdr:row>
      <xdr:rowOff>28575</xdr:rowOff>
    </xdr:from>
    <xdr:to>
      <xdr:col>33</xdr:col>
      <xdr:colOff>169050</xdr:colOff>
      <xdr:row>41</xdr:row>
      <xdr:rowOff>137775</xdr:rowOff>
    </xdr:to>
    <xdr:sp macro="" textlink="">
      <xdr:nvSpPr>
        <xdr:cNvPr id="17" name="Rectangle 21">
          <a:extLst>
            <a:ext uri="{FF2B5EF4-FFF2-40B4-BE49-F238E27FC236}">
              <a16:creationId xmlns:a16="http://schemas.microsoft.com/office/drawing/2014/main" id="{94A6D20A-3509-4B1A-8923-0F9E4C431500}"/>
            </a:ext>
          </a:extLst>
        </xdr:cNvPr>
        <xdr:cNvSpPr>
          <a:spLocks noChangeArrowheads="1"/>
        </xdr:cNvSpPr>
      </xdr:nvSpPr>
      <xdr:spPr bwMode="auto">
        <a:xfrm>
          <a:off x="22440900" y="36957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46</xdr:row>
      <xdr:rowOff>66675</xdr:rowOff>
    </xdr:from>
    <xdr:to>
      <xdr:col>33</xdr:col>
      <xdr:colOff>169050</xdr:colOff>
      <xdr:row>64</xdr:row>
      <xdr:rowOff>23475</xdr:rowOff>
    </xdr:to>
    <xdr:sp macro="" textlink="">
      <xdr:nvSpPr>
        <xdr:cNvPr id="18" name="Rectangle 22">
          <a:extLst>
            <a:ext uri="{FF2B5EF4-FFF2-40B4-BE49-F238E27FC236}">
              <a16:creationId xmlns:a16="http://schemas.microsoft.com/office/drawing/2014/main" id="{61004570-A7EF-4DB0-8C71-C56460F73696}"/>
            </a:ext>
          </a:extLst>
        </xdr:cNvPr>
        <xdr:cNvSpPr>
          <a:spLocks noChangeArrowheads="1"/>
        </xdr:cNvSpPr>
      </xdr:nvSpPr>
      <xdr:spPr bwMode="auto">
        <a:xfrm>
          <a:off x="22440900" y="7086600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590550</xdr:colOff>
      <xdr:row>69</xdr:row>
      <xdr:rowOff>0</xdr:rowOff>
    </xdr:from>
    <xdr:to>
      <xdr:col>33</xdr:col>
      <xdr:colOff>169050</xdr:colOff>
      <xdr:row>86</xdr:row>
      <xdr:rowOff>109200</xdr:rowOff>
    </xdr:to>
    <xdr:sp macro="" textlink="">
      <xdr:nvSpPr>
        <xdr:cNvPr id="19" name="Rectangle 23">
          <a:extLst>
            <a:ext uri="{FF2B5EF4-FFF2-40B4-BE49-F238E27FC236}">
              <a16:creationId xmlns:a16="http://schemas.microsoft.com/office/drawing/2014/main" id="{5BAA05AD-3A5D-4086-9252-5DF1F2CD8D1B}"/>
            </a:ext>
          </a:extLst>
        </xdr:cNvPr>
        <xdr:cNvSpPr>
          <a:spLocks noChangeArrowheads="1"/>
        </xdr:cNvSpPr>
      </xdr:nvSpPr>
      <xdr:spPr bwMode="auto">
        <a:xfrm>
          <a:off x="22440900" y="10525125"/>
          <a:ext cx="3960000" cy="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581024</xdr:colOff>
      <xdr:row>42</xdr:row>
      <xdr:rowOff>66675</xdr:rowOff>
    </xdr:from>
    <xdr:to>
      <xdr:col>27</xdr:col>
      <xdr:colOff>378599</xdr:colOff>
      <xdr:row>45</xdr:row>
      <xdr:rowOff>41475</xdr:rowOff>
    </xdr:to>
    <xdr:grpSp>
      <xdr:nvGrpSpPr>
        <xdr:cNvPr id="20" name="24 Grupo">
          <a:extLst>
            <a:ext uri="{FF2B5EF4-FFF2-40B4-BE49-F238E27FC236}">
              <a16:creationId xmlns:a16="http://schemas.microsoft.com/office/drawing/2014/main" id="{28CDA483-B4EB-4E32-8548-9B3B8CD41017}"/>
            </a:ext>
          </a:extLst>
        </xdr:cNvPr>
        <xdr:cNvGrpSpPr>
          <a:grpSpLocks/>
        </xdr:cNvGrpSpPr>
      </xdr:nvGrpSpPr>
      <xdr:grpSpPr bwMode="auto">
        <a:xfrm>
          <a:off x="18268949" y="6477000"/>
          <a:ext cx="3960000" cy="432000"/>
          <a:chOff x="17078326" y="7448551"/>
          <a:chExt cx="2562224" cy="333375"/>
        </a:xfrm>
      </xdr:grpSpPr>
      <xdr:sp macro="" textlink="$AK$4">
        <xdr:nvSpPr>
          <xdr:cNvPr id="21" name="25 CuadroTexto">
            <a:extLst>
              <a:ext uri="{FF2B5EF4-FFF2-40B4-BE49-F238E27FC236}">
                <a16:creationId xmlns:a16="http://schemas.microsoft.com/office/drawing/2014/main" id="{16FC61BC-8451-4CB2-81E2-0E2C374597C6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D80FA1A-2848-4898-B457-2CD769715A09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2" name="26 CuadroTexto">
            <a:extLst>
              <a:ext uri="{FF2B5EF4-FFF2-40B4-BE49-F238E27FC236}">
                <a16:creationId xmlns:a16="http://schemas.microsoft.com/office/drawing/2014/main" id="{FA7DD75D-7151-4943-B360-0D549FB0AF6A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4C9D029F-31DF-4BFB-BA5E-2AC9C47A9F2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42</xdr:row>
      <xdr:rowOff>66674</xdr:rowOff>
    </xdr:from>
    <xdr:to>
      <xdr:col>33</xdr:col>
      <xdr:colOff>169050</xdr:colOff>
      <xdr:row>45</xdr:row>
      <xdr:rowOff>41474</xdr:rowOff>
    </xdr:to>
    <xdr:grpSp>
      <xdr:nvGrpSpPr>
        <xdr:cNvPr id="23" name="27 Grupo">
          <a:extLst>
            <a:ext uri="{FF2B5EF4-FFF2-40B4-BE49-F238E27FC236}">
              <a16:creationId xmlns:a16="http://schemas.microsoft.com/office/drawing/2014/main" id="{D435F882-7303-40FD-B8B0-34CDCAC11B11}"/>
            </a:ext>
          </a:extLst>
        </xdr:cNvPr>
        <xdr:cNvGrpSpPr>
          <a:grpSpLocks/>
        </xdr:cNvGrpSpPr>
      </xdr:nvGrpSpPr>
      <xdr:grpSpPr bwMode="auto">
        <a:xfrm>
          <a:off x="22440900" y="6476999"/>
          <a:ext cx="3960000" cy="432000"/>
          <a:chOff x="17078326" y="7448551"/>
          <a:chExt cx="2562224" cy="333375"/>
        </a:xfrm>
      </xdr:grpSpPr>
      <xdr:sp macro="" textlink="$AK$4">
        <xdr:nvSpPr>
          <xdr:cNvPr id="24" name="28 CuadroTexto">
            <a:extLst>
              <a:ext uri="{FF2B5EF4-FFF2-40B4-BE49-F238E27FC236}">
                <a16:creationId xmlns:a16="http://schemas.microsoft.com/office/drawing/2014/main" id="{07F00E91-E7B8-4151-801E-7EC1ED438969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51C3D02-D201-4F9D-A478-959BCF18215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25" name="29 CuadroTexto">
            <a:extLst>
              <a:ext uri="{FF2B5EF4-FFF2-40B4-BE49-F238E27FC236}">
                <a16:creationId xmlns:a16="http://schemas.microsoft.com/office/drawing/2014/main" id="{BB22591F-44B9-45BF-A528-2BC9235A2D1F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19536D1-27BE-448B-BE0C-F99628D7BA26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590550</xdr:colOff>
      <xdr:row>87</xdr:row>
      <xdr:rowOff>38100</xdr:rowOff>
    </xdr:from>
    <xdr:to>
      <xdr:col>33</xdr:col>
      <xdr:colOff>169050</xdr:colOff>
      <xdr:row>90</xdr:row>
      <xdr:rowOff>12900</xdr:rowOff>
    </xdr:to>
    <xdr:grpSp>
      <xdr:nvGrpSpPr>
        <xdr:cNvPr id="29" name="36 Grupo">
          <a:extLst>
            <a:ext uri="{FF2B5EF4-FFF2-40B4-BE49-F238E27FC236}">
              <a16:creationId xmlns:a16="http://schemas.microsoft.com/office/drawing/2014/main" id="{BEADD8A5-5228-4826-B719-9AAAD6B3B525}"/>
            </a:ext>
          </a:extLst>
        </xdr:cNvPr>
        <xdr:cNvGrpSpPr>
          <a:grpSpLocks/>
        </xdr:cNvGrpSpPr>
      </xdr:nvGrpSpPr>
      <xdr:grpSpPr bwMode="auto">
        <a:xfrm>
          <a:off x="22440900" y="13306425"/>
          <a:ext cx="3960000" cy="432000"/>
          <a:chOff x="17078326" y="7448551"/>
          <a:chExt cx="2562224" cy="333375"/>
        </a:xfrm>
      </xdr:grpSpPr>
      <xdr:sp macro="" textlink="$AK$4">
        <xdr:nvSpPr>
          <xdr:cNvPr id="30" name="37 CuadroTexto">
            <a:extLst>
              <a:ext uri="{FF2B5EF4-FFF2-40B4-BE49-F238E27FC236}">
                <a16:creationId xmlns:a16="http://schemas.microsoft.com/office/drawing/2014/main" id="{5813CA83-0207-4815-9CC5-E7ABA387243B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DD64D5-5952-42FC-B75C-C693AE6EFA40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1" name="38 CuadroTexto">
            <a:extLst>
              <a:ext uri="{FF2B5EF4-FFF2-40B4-BE49-F238E27FC236}">
                <a16:creationId xmlns:a16="http://schemas.microsoft.com/office/drawing/2014/main" id="{C1B7ACA5-D0D9-4BE1-A1FE-85C218AD8FE1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C0B0EC8-987D-4FAB-9320-EC995B4E27DE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21</xdr:col>
      <xdr:colOff>581024</xdr:colOff>
      <xdr:row>20</xdr:row>
      <xdr:rowOff>76200</xdr:rowOff>
    </xdr:from>
    <xdr:to>
      <xdr:col>27</xdr:col>
      <xdr:colOff>378599</xdr:colOff>
      <xdr:row>23</xdr:row>
      <xdr:rowOff>51000</xdr:rowOff>
    </xdr:to>
    <xdr:grpSp>
      <xdr:nvGrpSpPr>
        <xdr:cNvPr id="32" name="39 Grupo">
          <a:extLst>
            <a:ext uri="{FF2B5EF4-FFF2-40B4-BE49-F238E27FC236}">
              <a16:creationId xmlns:a16="http://schemas.microsoft.com/office/drawing/2014/main" id="{6FFF11DB-A466-428F-B188-86CD6D1676F2}"/>
            </a:ext>
          </a:extLst>
        </xdr:cNvPr>
        <xdr:cNvGrpSpPr>
          <a:grpSpLocks/>
        </xdr:cNvGrpSpPr>
      </xdr:nvGrpSpPr>
      <xdr:grpSpPr bwMode="auto">
        <a:xfrm>
          <a:off x="18268949" y="3133725"/>
          <a:ext cx="3960000" cy="432000"/>
          <a:chOff x="17078326" y="7448551"/>
          <a:chExt cx="2562224" cy="333375"/>
        </a:xfrm>
      </xdr:grpSpPr>
      <xdr:sp macro="" textlink="$AK$4">
        <xdr:nvSpPr>
          <xdr:cNvPr id="33" name="40 CuadroTexto">
            <a:extLst>
              <a:ext uri="{FF2B5EF4-FFF2-40B4-BE49-F238E27FC236}">
                <a16:creationId xmlns:a16="http://schemas.microsoft.com/office/drawing/2014/main" id="{0F14C71C-1CC1-4E3C-9F6C-FE669AC20EF8}"/>
              </a:ext>
            </a:extLst>
          </xdr:cNvPr>
          <xdr:cNvSpPr txBox="1"/>
        </xdr:nvSpPr>
        <xdr:spPr>
          <a:xfrm>
            <a:off x="17078326" y="7448551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5A33A04-E52C-4DA2-A122-75C848159DA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4" name="41 CuadroTexto">
            <a:extLst>
              <a:ext uri="{FF2B5EF4-FFF2-40B4-BE49-F238E27FC236}">
                <a16:creationId xmlns:a16="http://schemas.microsoft.com/office/drawing/2014/main" id="{5E712765-3A22-45A0-A604-28A083DF61B6}"/>
              </a:ext>
            </a:extLst>
          </xdr:cNvPr>
          <xdr:cNvSpPr txBox="1"/>
        </xdr:nvSpPr>
        <xdr:spPr>
          <a:xfrm>
            <a:off x="17078326" y="7569778"/>
            <a:ext cx="2562224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22FC8FB0-DD3C-435D-BF00-5A5BE9F46122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27</xdr:col>
      <xdr:colOff>590549</xdr:colOff>
      <xdr:row>20</xdr:row>
      <xdr:rowOff>76199</xdr:rowOff>
    </xdr:from>
    <xdr:to>
      <xdr:col>33</xdr:col>
      <xdr:colOff>169049</xdr:colOff>
      <xdr:row>23</xdr:row>
      <xdr:rowOff>50999</xdr:rowOff>
    </xdr:to>
    <xdr:grpSp>
      <xdr:nvGrpSpPr>
        <xdr:cNvPr id="35" name="42 Grupo">
          <a:extLst>
            <a:ext uri="{FF2B5EF4-FFF2-40B4-BE49-F238E27FC236}">
              <a16:creationId xmlns:a16="http://schemas.microsoft.com/office/drawing/2014/main" id="{91CAE703-41C2-4A29-85EB-95AB8049EFD4}"/>
            </a:ext>
          </a:extLst>
        </xdr:cNvPr>
        <xdr:cNvGrpSpPr>
          <a:grpSpLocks/>
        </xdr:cNvGrpSpPr>
      </xdr:nvGrpSpPr>
      <xdr:grpSpPr bwMode="auto">
        <a:xfrm>
          <a:off x="22440899" y="3133724"/>
          <a:ext cx="3960000" cy="432000"/>
          <a:chOff x="17078326" y="7448551"/>
          <a:chExt cx="2562224" cy="333375"/>
        </a:xfrm>
      </xdr:grpSpPr>
      <xdr:sp macro="" textlink="$AK$4">
        <xdr:nvSpPr>
          <xdr:cNvPr id="36" name="43 CuadroTexto">
            <a:extLst>
              <a:ext uri="{FF2B5EF4-FFF2-40B4-BE49-F238E27FC236}">
                <a16:creationId xmlns:a16="http://schemas.microsoft.com/office/drawing/2014/main" id="{94842F14-9E91-41CC-A84B-71DE6E8C5665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1CFD8B2-E9C0-41FE-B0CF-CDE2406B1B0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37" name="44 CuadroTexto">
            <a:extLst>
              <a:ext uri="{FF2B5EF4-FFF2-40B4-BE49-F238E27FC236}">
                <a16:creationId xmlns:a16="http://schemas.microsoft.com/office/drawing/2014/main" id="{243D6C9E-AA36-42A8-8B81-BF403B67780E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7B8805A4-E194-4722-9E59-ECBDFB9456F1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15</xdr:col>
      <xdr:colOff>76200</xdr:colOff>
      <xdr:row>39</xdr:row>
      <xdr:rowOff>85725</xdr:rowOff>
    </xdr:from>
    <xdr:to>
      <xdr:col>19</xdr:col>
      <xdr:colOff>247650</xdr:colOff>
      <xdr:row>40</xdr:row>
      <xdr:rowOff>114300</xdr:rowOff>
    </xdr:to>
    <xdr:sp macro="" textlink="$AK$5">
      <xdr:nvSpPr>
        <xdr:cNvPr id="38" name="CuadroTexto 37">
          <a:extLst>
            <a:ext uri="{FF2B5EF4-FFF2-40B4-BE49-F238E27FC236}">
              <a16:creationId xmlns:a16="http://schemas.microsoft.com/office/drawing/2014/main" id="{442D2594-FE72-43EE-9EA4-71F32FC01291}"/>
            </a:ext>
          </a:extLst>
        </xdr:cNvPr>
        <xdr:cNvSpPr txBox="1"/>
      </xdr:nvSpPr>
      <xdr:spPr>
        <a:xfrm>
          <a:off x="12734925" y="6038850"/>
          <a:ext cx="35242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3DBAB7F-6BDA-48EB-9E30-2C0C80599206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C1BH-L12-L10-3+780-D (44,10-44,30)</a:t>
          </a:fld>
          <a:endParaRPr lang="es-CL" sz="1100"/>
        </a:p>
      </xdr:txBody>
    </xdr:sp>
    <xdr:clientData/>
  </xdr:twoCellAnchor>
  <xdr:twoCellAnchor>
    <xdr:from>
      <xdr:col>27</xdr:col>
      <xdr:colOff>590550</xdr:colOff>
      <xdr:row>64</xdr:row>
      <xdr:rowOff>104774</xdr:rowOff>
    </xdr:from>
    <xdr:to>
      <xdr:col>33</xdr:col>
      <xdr:colOff>169050</xdr:colOff>
      <xdr:row>67</xdr:row>
      <xdr:rowOff>79574</xdr:rowOff>
    </xdr:to>
    <xdr:grpSp>
      <xdr:nvGrpSpPr>
        <xdr:cNvPr id="42" name="27 Grupo">
          <a:extLst>
            <a:ext uri="{FF2B5EF4-FFF2-40B4-BE49-F238E27FC236}">
              <a16:creationId xmlns:a16="http://schemas.microsoft.com/office/drawing/2014/main" id="{0AEB5CE3-B903-46B0-9FA7-4CACF963D1A5}"/>
            </a:ext>
          </a:extLst>
        </xdr:cNvPr>
        <xdr:cNvGrpSpPr>
          <a:grpSpLocks/>
        </xdr:cNvGrpSpPr>
      </xdr:nvGrpSpPr>
      <xdr:grpSpPr bwMode="auto">
        <a:xfrm>
          <a:off x="22440900" y="9867899"/>
          <a:ext cx="3960000" cy="432000"/>
          <a:chOff x="17078326" y="7448551"/>
          <a:chExt cx="2562224" cy="333375"/>
        </a:xfrm>
      </xdr:grpSpPr>
      <xdr:sp macro="" textlink="$AK$4">
        <xdr:nvSpPr>
          <xdr:cNvPr id="43" name="28 CuadroTexto">
            <a:extLst>
              <a:ext uri="{FF2B5EF4-FFF2-40B4-BE49-F238E27FC236}">
                <a16:creationId xmlns:a16="http://schemas.microsoft.com/office/drawing/2014/main" id="{DA411885-5148-46B6-951D-75E6F3C424AD}"/>
              </a:ext>
            </a:extLst>
          </xdr:cNvPr>
          <xdr:cNvSpPr txBox="1"/>
        </xdr:nvSpPr>
        <xdr:spPr>
          <a:xfrm>
            <a:off x="17078326" y="7448551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1244F492-E6C9-4A5F-8E4C-D824AEC4D68F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PROYECTO  :  C1BH-L12-L10-3+780-D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  <xdr:sp macro="" textlink="$AK$5">
        <xdr:nvSpPr>
          <xdr:cNvPr id="44" name="29 CuadroTexto">
            <a:extLst>
              <a:ext uri="{FF2B5EF4-FFF2-40B4-BE49-F238E27FC236}">
                <a16:creationId xmlns:a16="http://schemas.microsoft.com/office/drawing/2014/main" id="{68469FE7-3611-46E0-9EE4-3895FE3DF70F}"/>
              </a:ext>
            </a:extLst>
          </xdr:cNvPr>
          <xdr:cNvSpPr txBox="1"/>
        </xdr:nvSpPr>
        <xdr:spPr>
          <a:xfrm>
            <a:off x="17078326" y="7574493"/>
            <a:ext cx="2562224" cy="2074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C1C1ACF6-A665-4F91-A94D-601A2D96B1FC}" type="TxLink">
              <a:rPr lang="en-US" sz="8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MUESTRA  :  C1BH-L12-L10-3+780-D (44,10-44,30)</a:t>
            </a:fld>
            <a:endParaRPr lang="es-E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21</xdr:col>
      <xdr:colOff>561975</xdr:colOff>
      <xdr:row>2</xdr:row>
      <xdr:rowOff>38100</xdr:rowOff>
    </xdr:from>
    <xdr:to>
      <xdr:col>27</xdr:col>
      <xdr:colOff>381000</xdr:colOff>
      <xdr:row>20</xdr:row>
      <xdr:rowOff>9525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AEF6A40-AF7F-422C-8A03-9ACEFFF0AB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49900" y="352425"/>
          <a:ext cx="3981450" cy="2714625"/>
        </a:xfrm>
        <a:prstGeom prst="rect">
          <a:avLst/>
        </a:prstGeom>
      </xdr:spPr>
    </xdr:pic>
    <xdr:clientData/>
  </xdr:twoCellAnchor>
  <xdr:twoCellAnchor editAs="oneCell">
    <xdr:from>
      <xdr:col>21</xdr:col>
      <xdr:colOff>581025</xdr:colOff>
      <xdr:row>24</xdr:row>
      <xdr:rowOff>19050</xdr:rowOff>
    </xdr:from>
    <xdr:to>
      <xdr:col>27</xdr:col>
      <xdr:colOff>400050</xdr:colOff>
      <xdr:row>42</xdr:row>
      <xdr:rowOff>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30B03A97-395D-4ADB-92AC-D1F68519D7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268950" y="3686175"/>
          <a:ext cx="3981450" cy="2724150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2</xdr:row>
      <xdr:rowOff>38100</xdr:rowOff>
    </xdr:from>
    <xdr:to>
      <xdr:col>33</xdr:col>
      <xdr:colOff>171450</xdr:colOff>
      <xdr:row>20</xdr:row>
      <xdr:rowOff>1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49D3A3A3-3B9E-40DE-9E0E-DB64334F8E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352425"/>
          <a:ext cx="3962400" cy="2705101"/>
        </a:xfrm>
        <a:prstGeom prst="rect">
          <a:avLst/>
        </a:prstGeom>
      </xdr:spPr>
    </xdr:pic>
    <xdr:clientData/>
  </xdr:twoCellAnchor>
  <xdr:twoCellAnchor editAs="oneCell">
    <xdr:from>
      <xdr:col>27</xdr:col>
      <xdr:colOff>600075</xdr:colOff>
      <xdr:row>69</xdr:row>
      <xdr:rowOff>0</xdr:rowOff>
    </xdr:from>
    <xdr:to>
      <xdr:col>33</xdr:col>
      <xdr:colOff>180975</xdr:colOff>
      <xdr:row>86</xdr:row>
      <xdr:rowOff>114299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9C2B2CB4-170A-4A59-96A9-3878A6C594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50425" y="10525125"/>
          <a:ext cx="3962400" cy="2705099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590550</xdr:colOff>
      <xdr:row>46</xdr:row>
      <xdr:rowOff>66675</xdr:rowOff>
    </xdr:from>
    <xdr:to>
      <xdr:col>33</xdr:col>
      <xdr:colOff>180975</xdr:colOff>
      <xdr:row>64</xdr:row>
      <xdr:rowOff>28575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A4589363-CCEE-4995-8438-5538DA845A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900" y="7086600"/>
          <a:ext cx="3971925" cy="2705100"/>
        </a:xfrm>
        <a:prstGeom prst="rect">
          <a:avLst/>
        </a:prstGeom>
      </xdr:spPr>
    </xdr:pic>
    <xdr:clientData/>
  </xdr:twoCellAnchor>
  <xdr:twoCellAnchor editAs="oneCell">
    <xdr:from>
      <xdr:col>27</xdr:col>
      <xdr:colOff>590549</xdr:colOff>
      <xdr:row>24</xdr:row>
      <xdr:rowOff>28574</xdr:rowOff>
    </xdr:from>
    <xdr:to>
      <xdr:col>33</xdr:col>
      <xdr:colOff>171450</xdr:colOff>
      <xdr:row>41</xdr:row>
      <xdr:rowOff>133349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673E06CE-91E1-4A3E-B995-EB5A17346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40899" y="3695699"/>
          <a:ext cx="3962401" cy="26955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9"/>
  <sheetViews>
    <sheetView showGridLines="0" workbookViewId="0">
      <selection activeCell="C3" sqref="C3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62</v>
      </c>
      <c r="D2" s="3"/>
      <c r="E2" s="3"/>
      <c r="F2" s="3"/>
      <c r="G2" s="3"/>
      <c r="H2" s="4"/>
    </row>
    <row r="3" spans="2:8" x14ac:dyDescent="0.15">
      <c r="B3" s="6" t="s">
        <v>6</v>
      </c>
      <c r="C3" s="2" t="s">
        <v>69</v>
      </c>
      <c r="D3" s="3"/>
      <c r="E3" s="3"/>
      <c r="F3" s="3"/>
      <c r="G3" s="3"/>
      <c r="H3" s="4"/>
    </row>
    <row r="4" spans="2:8" x14ac:dyDescent="0.15">
      <c r="B4" s="7" t="s">
        <v>1</v>
      </c>
      <c r="C4" s="2" t="s">
        <v>70</v>
      </c>
      <c r="D4" s="3"/>
      <c r="E4" s="3"/>
      <c r="F4" s="3"/>
      <c r="G4" s="3"/>
      <c r="H4" s="4"/>
    </row>
    <row r="6" spans="2:8" x14ac:dyDescent="0.15">
      <c r="B6" s="93" t="s">
        <v>7</v>
      </c>
      <c r="C6" s="93"/>
      <c r="D6" s="93"/>
    </row>
    <row r="7" spans="2:8" x14ac:dyDescent="0.15">
      <c r="B7" s="94">
        <v>9</v>
      </c>
      <c r="C7" s="94"/>
      <c r="D7" s="94"/>
    </row>
    <row r="10" spans="2:8" x14ac:dyDescent="0.15">
      <c r="B10" s="8" t="s">
        <v>8</v>
      </c>
      <c r="C10" s="8" t="s">
        <v>9</v>
      </c>
    </row>
    <row r="11" spans="2:8" x14ac:dyDescent="0.15">
      <c r="B11" s="9">
        <v>1</v>
      </c>
      <c r="C11" s="90">
        <v>11</v>
      </c>
    </row>
    <row r="12" spans="2:8" x14ac:dyDescent="0.15">
      <c r="B12" s="9">
        <v>2</v>
      </c>
      <c r="C12" s="90">
        <v>12</v>
      </c>
    </row>
    <row r="13" spans="2:8" x14ac:dyDescent="0.15">
      <c r="B13" s="9">
        <v>3</v>
      </c>
      <c r="C13" s="90">
        <v>15</v>
      </c>
    </row>
    <row r="14" spans="2:8" x14ac:dyDescent="0.15">
      <c r="B14" s="9">
        <v>4</v>
      </c>
      <c r="C14" s="90">
        <v>20</v>
      </c>
    </row>
    <row r="15" spans="2:8" x14ac:dyDescent="0.15">
      <c r="B15" s="9">
        <v>5</v>
      </c>
      <c r="C15" s="90">
        <v>25</v>
      </c>
    </row>
    <row r="16" spans="2:8" x14ac:dyDescent="0.15">
      <c r="B16" s="9">
        <v>6</v>
      </c>
      <c r="C16" s="90">
        <v>27</v>
      </c>
    </row>
    <row r="17" spans="2:3" x14ac:dyDescent="0.15">
      <c r="B17" s="9">
        <v>7</v>
      </c>
      <c r="C17" s="90">
        <v>36</v>
      </c>
    </row>
    <row r="18" spans="2:3" x14ac:dyDescent="0.15">
      <c r="B18" s="9">
        <v>8</v>
      </c>
      <c r="C18" s="90">
        <v>38</v>
      </c>
    </row>
    <row r="19" spans="2:3" x14ac:dyDescent="0.15">
      <c r="B19" s="9">
        <v>9</v>
      </c>
      <c r="C19" s="90">
        <v>41</v>
      </c>
    </row>
  </sheetData>
  <sheetProtection algorithmName="SHA-512" hashValue="HNE7cTKTTOQ1AycHggQOuTzUVRbDl4OhVivoQf8v6X7UfD3tbWS4opefzC9z43OMolmx5xNaOheJSutLFBfFUA==" saltValue="o9XaqVdCTUqaQZ364gHoGQ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S255"/>
  <sheetViews>
    <sheetView tabSelected="1" topLeftCell="B7" zoomScaleNormal="100" workbookViewId="0">
      <selection activeCell="G99" sqref="G99"/>
    </sheetView>
  </sheetViews>
  <sheetFormatPr baseColWidth="10" defaultRowHeight="12" x14ac:dyDescent="0.2"/>
  <cols>
    <col min="1" max="1" width="10.25" style="53" customWidth="1"/>
    <col min="2" max="3" width="10.875" style="53" customWidth="1"/>
    <col min="4" max="4" width="11" style="53"/>
    <col min="5" max="5" width="15.875" style="53" customWidth="1"/>
    <col min="6" max="7" width="11.5" style="53" customWidth="1"/>
    <col min="8" max="8" width="4.75" style="53" customWidth="1"/>
    <col min="9" max="13" width="11.5" style="53" customWidth="1"/>
    <col min="14" max="21" width="11" style="53"/>
    <col min="22" max="22" width="8.125" style="53" customWidth="1"/>
    <col min="23" max="23" width="3.375" style="53" customWidth="1"/>
    <col min="24" max="26" width="11" style="58"/>
    <col min="27" max="27" width="10.125" style="58" customWidth="1"/>
    <col min="28" max="28" width="11" style="58"/>
    <col min="29" max="29" width="2.5" style="58" customWidth="1"/>
    <col min="30" max="33" width="11" style="58"/>
    <col min="34" max="34" width="3" style="63" customWidth="1"/>
    <col min="35" max="35" width="6.375" style="63" customWidth="1"/>
    <col min="36" max="36" width="11" style="63"/>
    <col min="37" max="37" width="1" style="63" customWidth="1"/>
    <col min="38" max="16384" width="11" style="53"/>
  </cols>
  <sheetData>
    <row r="1" spans="1:45" x14ac:dyDescent="0.2">
      <c r="A1" s="59" t="s">
        <v>56</v>
      </c>
      <c r="B1" s="60"/>
      <c r="C1" s="61"/>
      <c r="E1" s="97" t="s">
        <v>54</v>
      </c>
      <c r="F1" s="97"/>
      <c r="G1" s="97"/>
      <c r="H1" s="97"/>
      <c r="I1" s="97"/>
      <c r="J1" s="97"/>
      <c r="K1" s="97"/>
      <c r="L1" s="97"/>
      <c r="M1" s="97"/>
      <c r="N1" s="95" t="str">
        <f>+E1</f>
        <v>ENSAYO DE CORTE DIRECTO PARA DISCONTINUIDADES ARTIFICIALES EN ROCAS</v>
      </c>
      <c r="O1" s="95"/>
      <c r="P1" s="95"/>
      <c r="Q1" s="95"/>
      <c r="R1" s="95"/>
      <c r="S1" s="95"/>
      <c r="T1" s="95"/>
      <c r="U1" s="95"/>
      <c r="X1" s="62"/>
      <c r="Y1" s="62"/>
      <c r="Z1" s="62"/>
      <c r="AA1" s="62"/>
      <c r="AB1" s="62"/>
      <c r="AC1" s="62"/>
      <c r="AD1" s="62"/>
      <c r="AE1" s="62"/>
      <c r="AF1" s="62"/>
      <c r="AG1" s="62"/>
    </row>
    <row r="2" spans="1:45" ht="12.75" customHeight="1" x14ac:dyDescent="0.2">
      <c r="A2" s="64" t="s">
        <v>53</v>
      </c>
      <c r="B2" s="65"/>
      <c r="C2" s="66"/>
      <c r="E2" s="16"/>
      <c r="F2" s="16"/>
      <c r="G2" s="16"/>
      <c r="H2" s="16"/>
      <c r="I2" s="16"/>
      <c r="J2" s="16"/>
      <c r="K2" s="16"/>
      <c r="L2" s="16"/>
      <c r="M2" s="16"/>
      <c r="V2" s="98" t="s">
        <v>52</v>
      </c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1:45" x14ac:dyDescent="0.2">
      <c r="A3" s="67" t="s">
        <v>51</v>
      </c>
      <c r="B3" s="68"/>
      <c r="C3" s="69"/>
      <c r="E3" s="12" t="s">
        <v>0</v>
      </c>
      <c r="F3" s="17" t="str">
        <f>B5</f>
        <v>C1BH-L12-L10-3+780-D</v>
      </c>
      <c r="G3" s="18"/>
      <c r="H3" s="18"/>
      <c r="I3" s="18"/>
      <c r="J3" s="18"/>
      <c r="K3" s="18"/>
      <c r="L3" s="19"/>
      <c r="M3" s="16"/>
    </row>
    <row r="4" spans="1:45" x14ac:dyDescent="0.2">
      <c r="E4" s="11" t="s">
        <v>39</v>
      </c>
      <c r="F4" s="20" t="str">
        <f>+'Ingreso Datos'!C3</f>
        <v>1.914.650-G</v>
      </c>
      <c r="G4" s="21"/>
      <c r="H4" s="21"/>
      <c r="I4" s="21"/>
      <c r="J4" s="21"/>
      <c r="K4" s="21"/>
      <c r="L4" s="22"/>
      <c r="M4" s="16"/>
      <c r="AK4" s="70" t="str">
        <f>+CONCATENATE(A5,"  ",":","  ",B5)</f>
        <v>PROYECTO  :  C1BH-L12-L10-3+780-D</v>
      </c>
      <c r="AL4" s="71"/>
      <c r="AM4" s="71"/>
      <c r="AN4" s="71"/>
      <c r="AO4" s="71"/>
      <c r="AP4" s="71"/>
      <c r="AQ4" s="71"/>
      <c r="AR4" s="71"/>
      <c r="AS4" s="71"/>
    </row>
    <row r="5" spans="1:45" x14ac:dyDescent="0.2">
      <c r="A5" s="53" t="s">
        <v>10</v>
      </c>
      <c r="B5" s="72" t="str">
        <f>+'Ingreso Datos'!C2</f>
        <v>C1BH-L12-L10-3+780-D</v>
      </c>
      <c r="E5" s="11" t="s">
        <v>1</v>
      </c>
      <c r="F5" s="20" t="str">
        <f>+'Ingreso Datos'!C4</f>
        <v>-</v>
      </c>
      <c r="G5" s="21"/>
      <c r="H5" s="21"/>
      <c r="I5" s="21"/>
      <c r="J5" s="21"/>
      <c r="K5" s="21"/>
      <c r="L5" s="22"/>
      <c r="M5" s="16"/>
      <c r="AK5" s="70" t="str">
        <f>+CONCATENATE(A7,"  ",":","  ",B7)</f>
        <v>MUESTRA  :  C1BH-L12-L10-3+780-D (22,50-22,82)</v>
      </c>
      <c r="AL5" s="71"/>
      <c r="AM5" s="71"/>
      <c r="AN5" s="71"/>
      <c r="AO5" s="71"/>
      <c r="AP5" s="71"/>
      <c r="AQ5" s="71"/>
      <c r="AR5" s="71"/>
      <c r="AS5" s="71"/>
    </row>
    <row r="6" spans="1:45" x14ac:dyDescent="0.2">
      <c r="A6" s="53" t="s">
        <v>50</v>
      </c>
      <c r="B6" s="91">
        <v>45425</v>
      </c>
      <c r="E6" s="23" t="s">
        <v>38</v>
      </c>
      <c r="F6" s="99">
        <f>+B6</f>
        <v>45425</v>
      </c>
      <c r="G6" s="24"/>
      <c r="H6" s="24"/>
      <c r="I6" s="24"/>
      <c r="J6" s="24"/>
      <c r="K6" s="24"/>
      <c r="L6" s="25"/>
      <c r="M6" s="16"/>
    </row>
    <row r="7" spans="1:45" x14ac:dyDescent="0.2">
      <c r="A7" s="53" t="s">
        <v>11</v>
      </c>
      <c r="B7" s="73" t="s">
        <v>71</v>
      </c>
      <c r="C7" s="74"/>
      <c r="E7" s="23" t="s">
        <v>37</v>
      </c>
      <c r="F7" s="99">
        <f>B6</f>
        <v>45425</v>
      </c>
      <c r="G7" s="24"/>
      <c r="H7" s="24"/>
      <c r="I7" s="24"/>
      <c r="J7" s="24"/>
      <c r="K7" s="24"/>
      <c r="L7" s="25"/>
      <c r="M7" s="16"/>
      <c r="W7" s="58"/>
      <c r="AH7" s="75"/>
    </row>
    <row r="8" spans="1:45" x14ac:dyDescent="0.2">
      <c r="A8" s="53" t="s">
        <v>17</v>
      </c>
      <c r="B8" s="73" t="s">
        <v>66</v>
      </c>
      <c r="C8" s="74"/>
      <c r="E8" s="26"/>
      <c r="F8" s="27"/>
      <c r="G8" s="26"/>
      <c r="H8" s="16"/>
      <c r="I8" s="16"/>
      <c r="J8" s="16"/>
      <c r="K8" s="16"/>
      <c r="L8" s="16"/>
      <c r="M8" s="16"/>
      <c r="W8" s="58"/>
      <c r="AH8" s="75"/>
    </row>
    <row r="9" spans="1:45" x14ac:dyDescent="0.2">
      <c r="A9" s="53" t="s">
        <v>16</v>
      </c>
      <c r="B9" s="73" t="s">
        <v>65</v>
      </c>
      <c r="C9" s="76"/>
      <c r="E9" s="23" t="s">
        <v>36</v>
      </c>
      <c r="F9" s="15" t="str">
        <f>B$7</f>
        <v>C1BH-L12-L10-3+780-D (22,50-22,82)</v>
      </c>
      <c r="G9" s="21"/>
      <c r="H9" s="21"/>
      <c r="I9" s="21"/>
      <c r="J9" s="21"/>
      <c r="K9" s="21"/>
      <c r="L9" s="22"/>
      <c r="M9" s="16"/>
      <c r="W9" s="58"/>
      <c r="AH9" s="75"/>
    </row>
    <row r="10" spans="1:45" x14ac:dyDescent="0.2">
      <c r="A10" s="77" t="s">
        <v>15</v>
      </c>
      <c r="B10" s="73" t="s">
        <v>68</v>
      </c>
      <c r="E10" s="10" t="s">
        <v>3</v>
      </c>
      <c r="F10" s="15" t="str">
        <f>B8</f>
        <v>Toba lítica</v>
      </c>
      <c r="G10" s="21"/>
      <c r="H10" s="28"/>
      <c r="I10" s="28"/>
      <c r="J10" s="28"/>
      <c r="K10" s="28"/>
      <c r="L10" s="29"/>
      <c r="M10" s="16"/>
      <c r="W10" s="58"/>
      <c r="AH10" s="75"/>
    </row>
    <row r="11" spans="1:45" x14ac:dyDescent="0.2">
      <c r="A11" s="53" t="s">
        <v>49</v>
      </c>
      <c r="B11" s="73">
        <v>29.21</v>
      </c>
      <c r="C11" s="53" t="s">
        <v>58</v>
      </c>
      <c r="E11" s="30" t="s">
        <v>4</v>
      </c>
      <c r="F11" s="15" t="str">
        <f>B9</f>
        <v>Óxidos de hierro</v>
      </c>
      <c r="G11" s="21"/>
      <c r="H11" s="28"/>
      <c r="I11" s="28"/>
      <c r="J11" s="28"/>
      <c r="K11" s="28"/>
      <c r="L11" s="29"/>
      <c r="M11" s="16"/>
      <c r="W11" s="58"/>
      <c r="AH11" s="75"/>
    </row>
    <row r="12" spans="1:45" x14ac:dyDescent="0.2">
      <c r="E12" s="30" t="s">
        <v>5</v>
      </c>
      <c r="F12" s="15" t="str">
        <f>B10</f>
        <v>Oxidación y zeolitización</v>
      </c>
      <c r="G12" s="21"/>
      <c r="H12" s="28"/>
      <c r="I12" s="28"/>
      <c r="J12" s="28"/>
      <c r="K12" s="28"/>
      <c r="L12" s="29"/>
      <c r="M12" s="16"/>
      <c r="W12" s="58"/>
      <c r="AH12" s="75"/>
    </row>
    <row r="13" spans="1:45" x14ac:dyDescent="0.2">
      <c r="A13" s="53" t="s">
        <v>59</v>
      </c>
      <c r="C13" s="73">
        <v>10.25</v>
      </c>
      <c r="E13" s="26"/>
      <c r="F13" s="26"/>
      <c r="G13" s="26"/>
      <c r="H13" s="16"/>
      <c r="I13" s="16"/>
      <c r="J13" s="16"/>
      <c r="K13" s="16"/>
      <c r="L13" s="16"/>
      <c r="M13" s="16"/>
      <c r="W13" s="58"/>
      <c r="AH13" s="75"/>
    </row>
    <row r="14" spans="1:45" x14ac:dyDescent="0.2">
      <c r="A14" s="54" t="s">
        <v>22</v>
      </c>
      <c r="B14" s="55" t="s">
        <v>24</v>
      </c>
      <c r="C14" s="54" t="s">
        <v>22</v>
      </c>
      <c r="E14" s="31" t="s">
        <v>48</v>
      </c>
      <c r="F14" s="26"/>
      <c r="G14" s="26"/>
      <c r="H14" s="16"/>
      <c r="I14" s="16"/>
      <c r="J14" s="16"/>
      <c r="K14" s="16"/>
      <c r="L14" s="16"/>
      <c r="M14" s="16"/>
      <c r="W14" s="58"/>
      <c r="AH14" s="75"/>
    </row>
    <row r="15" spans="1:45" x14ac:dyDescent="0.2">
      <c r="A15" s="56" t="s">
        <v>21</v>
      </c>
      <c r="B15" s="56" t="s">
        <v>20</v>
      </c>
      <c r="C15" s="56" t="s">
        <v>19</v>
      </c>
      <c r="E15" s="32" t="s">
        <v>34</v>
      </c>
      <c r="F15" s="33" t="s">
        <v>27</v>
      </c>
      <c r="G15" s="34">
        <f>B11</f>
        <v>29.21</v>
      </c>
      <c r="H15" s="16"/>
      <c r="I15" s="35"/>
      <c r="J15" s="16"/>
      <c r="K15" s="16"/>
      <c r="L15" s="16"/>
      <c r="M15" s="16"/>
      <c r="W15" s="58"/>
      <c r="AH15" s="75"/>
    </row>
    <row r="16" spans="1:45" x14ac:dyDescent="0.2">
      <c r="A16" s="57" t="s">
        <v>18</v>
      </c>
      <c r="B16" s="57" t="s">
        <v>61</v>
      </c>
      <c r="C16" s="57" t="s">
        <v>18</v>
      </c>
      <c r="E16" s="36" t="s">
        <v>33</v>
      </c>
      <c r="F16" s="37" t="s">
        <v>14</v>
      </c>
      <c r="G16" s="38">
        <f>G17/G15</f>
        <v>40.795576849960604</v>
      </c>
      <c r="H16" s="39" t="s">
        <v>14</v>
      </c>
      <c r="I16" s="16"/>
      <c r="J16" s="16"/>
      <c r="K16" s="16"/>
      <c r="L16" s="16"/>
      <c r="M16" s="16"/>
      <c r="W16" s="58"/>
      <c r="AH16" s="75"/>
    </row>
    <row r="17" spans="1:34" x14ac:dyDescent="0.2">
      <c r="A17" s="78">
        <v>0</v>
      </c>
      <c r="B17" s="73">
        <v>0</v>
      </c>
      <c r="C17" s="73">
        <v>0</v>
      </c>
      <c r="E17" s="32" t="s">
        <v>32</v>
      </c>
      <c r="F17" s="33" t="s">
        <v>31</v>
      </c>
      <c r="G17" s="38">
        <f>+G19*$G$20</f>
        <v>1191.6387997873492</v>
      </c>
      <c r="H17" s="40"/>
      <c r="I17" s="35"/>
      <c r="J17" s="16"/>
      <c r="K17" s="16"/>
      <c r="L17" s="16"/>
      <c r="M17" s="16"/>
      <c r="W17" s="58"/>
      <c r="AH17" s="75"/>
    </row>
    <row r="18" spans="1:34" x14ac:dyDescent="0.2">
      <c r="A18" s="78">
        <v>10</v>
      </c>
      <c r="B18" s="73">
        <v>49</v>
      </c>
      <c r="C18" s="73">
        <v>0</v>
      </c>
      <c r="E18" s="32" t="s">
        <v>30</v>
      </c>
      <c r="F18" s="37" t="s">
        <v>29</v>
      </c>
      <c r="G18" s="38">
        <f>3.81</f>
        <v>3.81</v>
      </c>
      <c r="H18" s="41"/>
      <c r="I18" s="16"/>
      <c r="J18" s="16"/>
      <c r="K18" s="16"/>
      <c r="L18" s="16"/>
      <c r="M18" s="16"/>
      <c r="W18" s="58"/>
      <c r="AH18" s="75"/>
    </row>
    <row r="19" spans="1:34" x14ac:dyDescent="0.2">
      <c r="A19" s="78">
        <v>20</v>
      </c>
      <c r="B19" s="73">
        <v>63</v>
      </c>
      <c r="C19" s="73">
        <v>-1</v>
      </c>
      <c r="E19" s="32" t="s">
        <v>28</v>
      </c>
      <c r="F19" s="33" t="s">
        <v>27</v>
      </c>
      <c r="G19" s="38">
        <f>((G18/2)^2)*PI()</f>
        <v>11.400918279693698</v>
      </c>
      <c r="H19" s="40"/>
      <c r="I19" s="16"/>
      <c r="J19" s="16"/>
      <c r="K19" s="16"/>
      <c r="L19" s="16"/>
      <c r="M19" s="16"/>
      <c r="W19" s="58"/>
      <c r="AH19" s="75"/>
    </row>
    <row r="20" spans="1:34" x14ac:dyDescent="0.2">
      <c r="A20" s="78">
        <v>30</v>
      </c>
      <c r="B20" s="73">
        <v>84</v>
      </c>
      <c r="C20" s="73">
        <v>-1</v>
      </c>
      <c r="E20" s="32" t="s">
        <v>60</v>
      </c>
      <c r="F20" s="37" t="s">
        <v>14</v>
      </c>
      <c r="G20" s="38">
        <f>+C13*10.1972</f>
        <v>104.52130000000001</v>
      </c>
      <c r="H20" s="40"/>
      <c r="I20" s="35"/>
      <c r="J20" s="16"/>
      <c r="K20" s="16"/>
      <c r="L20" s="16"/>
      <c r="M20" s="16"/>
      <c r="W20" s="58"/>
      <c r="AH20" s="75"/>
    </row>
    <row r="21" spans="1:34" x14ac:dyDescent="0.2">
      <c r="A21" s="78">
        <v>40</v>
      </c>
      <c r="B21" s="73">
        <v>133</v>
      </c>
      <c r="C21" s="73">
        <v>-1</v>
      </c>
      <c r="E21" s="26"/>
      <c r="F21" s="26"/>
      <c r="G21" s="26"/>
      <c r="H21" s="16"/>
      <c r="I21" s="16"/>
      <c r="J21" s="16"/>
      <c r="K21" s="16"/>
      <c r="L21" s="16"/>
      <c r="M21" s="16"/>
      <c r="W21" s="58"/>
      <c r="AH21" s="75"/>
    </row>
    <row r="22" spans="1:34" x14ac:dyDescent="0.2">
      <c r="A22" s="78">
        <v>50</v>
      </c>
      <c r="B22" s="73">
        <v>208</v>
      </c>
      <c r="C22" s="73">
        <v>-1</v>
      </c>
      <c r="E22" s="42" t="s">
        <v>47</v>
      </c>
      <c r="F22" s="16"/>
      <c r="G22" s="16"/>
      <c r="H22" s="16"/>
      <c r="I22" s="16"/>
      <c r="J22" s="16"/>
      <c r="K22" s="16"/>
      <c r="L22" s="16"/>
      <c r="M22" s="16"/>
      <c r="W22" s="58"/>
      <c r="AH22" s="75"/>
    </row>
    <row r="23" spans="1:34" x14ac:dyDescent="0.2">
      <c r="A23" s="78">
        <v>60</v>
      </c>
      <c r="B23" s="73">
        <v>292</v>
      </c>
      <c r="C23" s="73">
        <v>-1</v>
      </c>
      <c r="E23" s="43" t="s">
        <v>22</v>
      </c>
      <c r="F23" s="44" t="s">
        <v>24</v>
      </c>
      <c r="G23" s="43" t="s">
        <v>22</v>
      </c>
      <c r="H23" s="16"/>
      <c r="I23" s="43" t="s">
        <v>22</v>
      </c>
      <c r="J23" s="43" t="s">
        <v>13</v>
      </c>
      <c r="K23" s="43" t="s">
        <v>23</v>
      </c>
      <c r="L23" s="43" t="s">
        <v>22</v>
      </c>
      <c r="M23" s="16"/>
      <c r="W23" s="58"/>
      <c r="AH23" s="75"/>
    </row>
    <row r="24" spans="1:34" x14ac:dyDescent="0.2">
      <c r="A24" s="78">
        <v>70</v>
      </c>
      <c r="B24" s="73">
        <v>383</v>
      </c>
      <c r="C24" s="73">
        <v>-1</v>
      </c>
      <c r="E24" s="45" t="s">
        <v>21</v>
      </c>
      <c r="F24" s="45" t="s">
        <v>20</v>
      </c>
      <c r="G24" s="45" t="s">
        <v>19</v>
      </c>
      <c r="H24" s="16"/>
      <c r="I24" s="45" t="s">
        <v>21</v>
      </c>
      <c r="J24" s="45" t="s">
        <v>20</v>
      </c>
      <c r="K24" s="45" t="s">
        <v>20</v>
      </c>
      <c r="L24" s="45" t="s">
        <v>19</v>
      </c>
      <c r="M24" s="16"/>
      <c r="W24" s="58"/>
      <c r="AH24" s="75"/>
    </row>
    <row r="25" spans="1:34" x14ac:dyDescent="0.2">
      <c r="A25" s="78">
        <v>80</v>
      </c>
      <c r="B25" s="73">
        <v>516</v>
      </c>
      <c r="C25" s="73">
        <v>5</v>
      </c>
      <c r="E25" s="46" t="s">
        <v>18</v>
      </c>
      <c r="F25" s="46" t="s">
        <v>61</v>
      </c>
      <c r="G25" s="46" t="s">
        <v>18</v>
      </c>
      <c r="H25" s="16"/>
      <c r="I25" s="46" t="s">
        <v>12</v>
      </c>
      <c r="J25" s="46" t="s">
        <v>31</v>
      </c>
      <c r="K25" s="46" t="s">
        <v>14</v>
      </c>
      <c r="L25" s="46" t="s">
        <v>12</v>
      </c>
      <c r="M25" s="16"/>
      <c r="W25" s="58"/>
      <c r="AH25" s="75"/>
    </row>
    <row r="26" spans="1:34" x14ac:dyDescent="0.2">
      <c r="A26" s="78">
        <v>90</v>
      </c>
      <c r="B26" s="73">
        <v>687</v>
      </c>
      <c r="C26" s="73">
        <v>10</v>
      </c>
      <c r="E26" s="47">
        <v>0</v>
      </c>
      <c r="F26" s="47">
        <f t="shared" ref="F26:F57" si="0">B17</f>
        <v>0</v>
      </c>
      <c r="G26" s="47">
        <f t="shared" ref="G26:G57" si="1">C17</f>
        <v>0</v>
      </c>
      <c r="H26" s="48"/>
      <c r="I26" s="47">
        <f t="shared" ref="I26:I57" si="2">+E26*0.01</f>
        <v>0</v>
      </c>
      <c r="J26" s="47">
        <f>+IF(AND(F26&gt;=0,F26&lt;=500),1.22*F26+4.18,IF(AND(F26&gt;500,F26&lt;=4500),1.16*F26+24.01,"Error"))</f>
        <v>4.18</v>
      </c>
      <c r="K26" s="47">
        <f t="shared" ref="K26:K57" si="3">+J26/$G$15</f>
        <v>0.14310167750770283</v>
      </c>
      <c r="L26" s="47">
        <f t="shared" ref="L26:L57" si="4">+G26*0.01</f>
        <v>0</v>
      </c>
      <c r="M26" s="16"/>
      <c r="W26" s="58"/>
      <c r="AH26" s="75"/>
    </row>
    <row r="27" spans="1:34" x14ac:dyDescent="0.2">
      <c r="A27" s="78">
        <v>100</v>
      </c>
      <c r="B27" s="73">
        <v>896</v>
      </c>
      <c r="C27" s="73">
        <v>21</v>
      </c>
      <c r="E27" s="47">
        <v>10</v>
      </c>
      <c r="F27" s="47">
        <f t="shared" si="0"/>
        <v>49</v>
      </c>
      <c r="G27" s="47">
        <f t="shared" si="1"/>
        <v>0</v>
      </c>
      <c r="H27" s="26"/>
      <c r="I27" s="47">
        <f t="shared" si="2"/>
        <v>0.1</v>
      </c>
      <c r="J27" s="47">
        <f t="shared" ref="J27:J83" si="5">+IF(AND(F27&gt;=0,F27&lt;=500),1.22*F27+4.18,IF(AND(F27&gt;500,F27&lt;=4500),1.16*F27+24.01,"Error"))</f>
        <v>63.96</v>
      </c>
      <c r="K27" s="47">
        <f t="shared" si="3"/>
        <v>2.1896610749743237</v>
      </c>
      <c r="L27" s="47">
        <f t="shared" si="4"/>
        <v>0</v>
      </c>
      <c r="M27" s="16"/>
      <c r="W27" s="58"/>
      <c r="AH27" s="75"/>
    </row>
    <row r="28" spans="1:34" x14ac:dyDescent="0.2">
      <c r="A28" s="78">
        <v>110</v>
      </c>
      <c r="B28" s="73">
        <v>1110</v>
      </c>
      <c r="C28" s="73">
        <v>30</v>
      </c>
      <c r="E28" s="47">
        <v>20</v>
      </c>
      <c r="F28" s="47">
        <f t="shared" si="0"/>
        <v>63</v>
      </c>
      <c r="G28" s="47">
        <f t="shared" si="1"/>
        <v>-1</v>
      </c>
      <c r="H28" s="26"/>
      <c r="I28" s="47">
        <f t="shared" si="2"/>
        <v>0.2</v>
      </c>
      <c r="J28" s="47">
        <f t="shared" si="5"/>
        <v>81.039999999999992</v>
      </c>
      <c r="K28" s="47">
        <f t="shared" si="3"/>
        <v>2.7743923313933583</v>
      </c>
      <c r="L28" s="47">
        <f t="shared" si="4"/>
        <v>-0.01</v>
      </c>
      <c r="M28" s="16"/>
      <c r="W28" s="58"/>
      <c r="AH28" s="75"/>
    </row>
    <row r="29" spans="1:34" x14ac:dyDescent="0.2">
      <c r="A29" s="78">
        <v>120</v>
      </c>
      <c r="B29" s="73">
        <v>1134</v>
      </c>
      <c r="C29" s="73">
        <v>62</v>
      </c>
      <c r="E29" s="47">
        <v>30</v>
      </c>
      <c r="F29" s="47">
        <f t="shared" si="0"/>
        <v>84</v>
      </c>
      <c r="G29" s="47">
        <f t="shared" si="1"/>
        <v>-1</v>
      </c>
      <c r="H29" s="26"/>
      <c r="I29" s="47">
        <f t="shared" si="2"/>
        <v>0.3</v>
      </c>
      <c r="J29" s="47">
        <f t="shared" si="5"/>
        <v>106.66</v>
      </c>
      <c r="K29" s="47">
        <f t="shared" si="3"/>
        <v>3.6514892160219099</v>
      </c>
      <c r="L29" s="47">
        <f t="shared" si="4"/>
        <v>-0.01</v>
      </c>
      <c r="M29" s="16"/>
      <c r="W29" s="58"/>
      <c r="AH29" s="75"/>
    </row>
    <row r="30" spans="1:34" x14ac:dyDescent="0.2">
      <c r="A30" s="78">
        <v>130</v>
      </c>
      <c r="B30" s="73">
        <v>1215</v>
      </c>
      <c r="C30" s="73">
        <v>72</v>
      </c>
      <c r="E30" s="47">
        <v>40</v>
      </c>
      <c r="F30" s="47">
        <f t="shared" si="0"/>
        <v>133</v>
      </c>
      <c r="G30" s="47">
        <f t="shared" si="1"/>
        <v>-1</v>
      </c>
      <c r="H30" s="26"/>
      <c r="I30" s="47">
        <f t="shared" si="2"/>
        <v>0.4</v>
      </c>
      <c r="J30" s="47">
        <f t="shared" si="5"/>
        <v>166.44</v>
      </c>
      <c r="K30" s="47">
        <f t="shared" si="3"/>
        <v>5.6980486134885311</v>
      </c>
      <c r="L30" s="47">
        <f t="shared" si="4"/>
        <v>-0.01</v>
      </c>
      <c r="M30" s="16"/>
      <c r="W30" s="58"/>
      <c r="AH30" s="75"/>
    </row>
    <row r="31" spans="1:34" x14ac:dyDescent="0.2">
      <c r="A31" s="78">
        <v>140</v>
      </c>
      <c r="B31" s="73">
        <v>1290</v>
      </c>
      <c r="C31" s="73">
        <v>81</v>
      </c>
      <c r="E31" s="47">
        <v>50</v>
      </c>
      <c r="F31" s="47">
        <f t="shared" si="0"/>
        <v>208</v>
      </c>
      <c r="G31" s="47">
        <f t="shared" si="1"/>
        <v>-1</v>
      </c>
      <c r="H31" s="26"/>
      <c r="I31" s="47">
        <f t="shared" si="2"/>
        <v>0.5</v>
      </c>
      <c r="J31" s="47">
        <f t="shared" si="5"/>
        <v>257.94</v>
      </c>
      <c r="K31" s="47">
        <f t="shared" si="3"/>
        <v>8.83053748716193</v>
      </c>
      <c r="L31" s="47">
        <f t="shared" si="4"/>
        <v>-0.01</v>
      </c>
      <c r="M31" s="16"/>
      <c r="W31" s="58"/>
      <c r="AH31" s="75"/>
    </row>
    <row r="32" spans="1:34" x14ac:dyDescent="0.2">
      <c r="A32" s="78">
        <v>150</v>
      </c>
      <c r="B32" s="73">
        <v>1343</v>
      </c>
      <c r="C32" s="73">
        <v>81</v>
      </c>
      <c r="E32" s="47">
        <v>60</v>
      </c>
      <c r="F32" s="47">
        <f t="shared" si="0"/>
        <v>292</v>
      </c>
      <c r="G32" s="47">
        <f t="shared" si="1"/>
        <v>-1</v>
      </c>
      <c r="H32" s="26"/>
      <c r="I32" s="47">
        <f t="shared" si="2"/>
        <v>0.6</v>
      </c>
      <c r="J32" s="47">
        <f t="shared" si="5"/>
        <v>360.42</v>
      </c>
      <c r="K32" s="47">
        <f t="shared" si="3"/>
        <v>12.338925025676138</v>
      </c>
      <c r="L32" s="47">
        <f t="shared" si="4"/>
        <v>-0.01</v>
      </c>
      <c r="M32" s="16"/>
      <c r="W32" s="58"/>
      <c r="AH32" s="75"/>
    </row>
    <row r="33" spans="1:34" x14ac:dyDescent="0.2">
      <c r="A33" s="78">
        <v>160</v>
      </c>
      <c r="B33" s="73">
        <v>1374</v>
      </c>
      <c r="C33" s="73">
        <v>83</v>
      </c>
      <c r="E33" s="47">
        <v>70</v>
      </c>
      <c r="F33" s="47">
        <f t="shared" si="0"/>
        <v>383</v>
      </c>
      <c r="G33" s="47">
        <f t="shared" si="1"/>
        <v>-1</v>
      </c>
      <c r="H33" s="26"/>
      <c r="I33" s="47">
        <f t="shared" si="2"/>
        <v>0.70000000000000007</v>
      </c>
      <c r="J33" s="47">
        <f t="shared" si="5"/>
        <v>471.44</v>
      </c>
      <c r="K33" s="47">
        <f t="shared" si="3"/>
        <v>16.139678192399863</v>
      </c>
      <c r="L33" s="47">
        <f t="shared" si="4"/>
        <v>-0.01</v>
      </c>
      <c r="M33" s="16"/>
      <c r="W33" s="58"/>
      <c r="AH33" s="75"/>
    </row>
    <row r="34" spans="1:34" x14ac:dyDescent="0.2">
      <c r="A34" s="78">
        <v>170</v>
      </c>
      <c r="B34" s="73">
        <v>1415</v>
      </c>
      <c r="C34" s="73">
        <v>87</v>
      </c>
      <c r="E34" s="47">
        <v>80</v>
      </c>
      <c r="F34" s="47">
        <f t="shared" si="0"/>
        <v>516</v>
      </c>
      <c r="G34" s="47">
        <f t="shared" si="1"/>
        <v>5</v>
      </c>
      <c r="H34" s="26"/>
      <c r="I34" s="47">
        <f t="shared" si="2"/>
        <v>0.8</v>
      </c>
      <c r="J34" s="47">
        <f t="shared" si="5"/>
        <v>622.56999999999994</v>
      </c>
      <c r="K34" s="47">
        <f t="shared" si="3"/>
        <v>21.313591235878121</v>
      </c>
      <c r="L34" s="47">
        <f t="shared" si="4"/>
        <v>0.05</v>
      </c>
      <c r="M34" s="16"/>
      <c r="W34" s="58"/>
      <c r="AH34" s="75"/>
    </row>
    <row r="35" spans="1:34" x14ac:dyDescent="0.2">
      <c r="A35" s="78">
        <v>180</v>
      </c>
      <c r="B35" s="73">
        <v>1461</v>
      </c>
      <c r="C35" s="73">
        <v>89</v>
      </c>
      <c r="E35" s="47">
        <v>90</v>
      </c>
      <c r="F35" s="47">
        <f t="shared" si="0"/>
        <v>687</v>
      </c>
      <c r="G35" s="47">
        <f t="shared" si="1"/>
        <v>10</v>
      </c>
      <c r="H35" s="26"/>
      <c r="I35" s="47">
        <f t="shared" si="2"/>
        <v>0.9</v>
      </c>
      <c r="J35" s="47">
        <f t="shared" si="5"/>
        <v>820.93</v>
      </c>
      <c r="K35" s="47">
        <f t="shared" si="3"/>
        <v>28.104416295789111</v>
      </c>
      <c r="L35" s="47">
        <f t="shared" si="4"/>
        <v>0.1</v>
      </c>
      <c r="M35" s="16"/>
      <c r="W35" s="58"/>
      <c r="AH35" s="75"/>
    </row>
    <row r="36" spans="1:34" x14ac:dyDescent="0.2">
      <c r="A36" s="78">
        <v>190</v>
      </c>
      <c r="B36" s="73">
        <v>1482</v>
      </c>
      <c r="C36" s="73">
        <v>90</v>
      </c>
      <c r="E36" s="47">
        <v>100</v>
      </c>
      <c r="F36" s="47">
        <f t="shared" si="0"/>
        <v>896</v>
      </c>
      <c r="G36" s="47">
        <f t="shared" si="1"/>
        <v>21</v>
      </c>
      <c r="H36" s="26"/>
      <c r="I36" s="47">
        <f t="shared" si="2"/>
        <v>1</v>
      </c>
      <c r="J36" s="47">
        <f t="shared" si="5"/>
        <v>1063.3699999999999</v>
      </c>
      <c r="K36" s="47">
        <f t="shared" si="3"/>
        <v>36.404313591235876</v>
      </c>
      <c r="L36" s="47">
        <f t="shared" si="4"/>
        <v>0.21</v>
      </c>
      <c r="M36" s="16"/>
      <c r="W36" s="58"/>
      <c r="AH36" s="75"/>
    </row>
    <row r="37" spans="1:34" x14ac:dyDescent="0.2">
      <c r="A37" s="78">
        <v>200</v>
      </c>
      <c r="B37" s="73">
        <v>1505</v>
      </c>
      <c r="C37" s="73">
        <v>90</v>
      </c>
      <c r="E37" s="47">
        <v>110</v>
      </c>
      <c r="F37" s="47">
        <f t="shared" si="0"/>
        <v>1110</v>
      </c>
      <c r="G37" s="47">
        <f t="shared" si="1"/>
        <v>30</v>
      </c>
      <c r="H37" s="26"/>
      <c r="I37" s="47">
        <f t="shared" si="2"/>
        <v>1.1000000000000001</v>
      </c>
      <c r="J37" s="47">
        <f t="shared" si="5"/>
        <v>1311.61</v>
      </c>
      <c r="K37" s="47">
        <f t="shared" si="3"/>
        <v>44.902773022937346</v>
      </c>
      <c r="L37" s="47">
        <f t="shared" si="4"/>
        <v>0.3</v>
      </c>
      <c r="M37" s="16"/>
      <c r="W37" s="58"/>
      <c r="AH37" s="75"/>
    </row>
    <row r="38" spans="1:34" x14ac:dyDescent="0.2">
      <c r="A38" s="78">
        <v>220</v>
      </c>
      <c r="B38" s="73">
        <v>1589</v>
      </c>
      <c r="C38" s="73">
        <v>90</v>
      </c>
      <c r="E38" s="47">
        <v>120</v>
      </c>
      <c r="F38" s="47">
        <f t="shared" si="0"/>
        <v>1134</v>
      </c>
      <c r="G38" s="47">
        <f t="shared" si="1"/>
        <v>62</v>
      </c>
      <c r="H38" s="26"/>
      <c r="I38" s="47">
        <f t="shared" si="2"/>
        <v>1.2</v>
      </c>
      <c r="J38" s="47">
        <f t="shared" si="5"/>
        <v>1339.4499999999998</v>
      </c>
      <c r="K38" s="47">
        <f t="shared" si="3"/>
        <v>45.855871276959938</v>
      </c>
      <c r="L38" s="47">
        <f t="shared" si="4"/>
        <v>0.62</v>
      </c>
      <c r="M38" s="16"/>
      <c r="W38" s="58"/>
      <c r="AH38" s="75"/>
    </row>
    <row r="39" spans="1:34" x14ac:dyDescent="0.2">
      <c r="A39" s="78">
        <v>240</v>
      </c>
      <c r="B39" s="73">
        <v>1563</v>
      </c>
      <c r="C39" s="73">
        <v>88</v>
      </c>
      <c r="E39" s="47">
        <v>130</v>
      </c>
      <c r="F39" s="47">
        <f t="shared" si="0"/>
        <v>1215</v>
      </c>
      <c r="G39" s="47">
        <f t="shared" si="1"/>
        <v>72</v>
      </c>
      <c r="H39" s="26"/>
      <c r="I39" s="47">
        <f t="shared" si="2"/>
        <v>1.3</v>
      </c>
      <c r="J39" s="47">
        <f t="shared" si="5"/>
        <v>1433.4099999999999</v>
      </c>
      <c r="K39" s="47">
        <f t="shared" si="3"/>
        <v>49.072577884286197</v>
      </c>
      <c r="L39" s="47">
        <f t="shared" si="4"/>
        <v>0.72</v>
      </c>
      <c r="M39" s="16"/>
      <c r="W39" s="58"/>
      <c r="AH39" s="75"/>
    </row>
    <row r="40" spans="1:34" x14ac:dyDescent="0.2">
      <c r="A40" s="78">
        <v>260</v>
      </c>
      <c r="B40" s="73">
        <v>1557</v>
      </c>
      <c r="C40" s="73">
        <v>86</v>
      </c>
      <c r="E40" s="47">
        <v>140</v>
      </c>
      <c r="F40" s="47">
        <f t="shared" si="0"/>
        <v>1290</v>
      </c>
      <c r="G40" s="47">
        <f t="shared" si="1"/>
        <v>81</v>
      </c>
      <c r="H40" s="26"/>
      <c r="I40" s="47">
        <f t="shared" si="2"/>
        <v>1.4000000000000001</v>
      </c>
      <c r="J40" s="47">
        <f t="shared" si="5"/>
        <v>1520.4099999999999</v>
      </c>
      <c r="K40" s="47">
        <f t="shared" si="3"/>
        <v>52.051009928106808</v>
      </c>
      <c r="L40" s="47">
        <f t="shared" si="4"/>
        <v>0.81</v>
      </c>
      <c r="M40" s="16"/>
      <c r="W40" s="58"/>
      <c r="AH40" s="75"/>
    </row>
    <row r="41" spans="1:34" x14ac:dyDescent="0.2">
      <c r="A41" s="78">
        <v>280</v>
      </c>
      <c r="B41" s="73">
        <v>1618</v>
      </c>
      <c r="C41" s="73">
        <v>82</v>
      </c>
      <c r="E41" s="47">
        <v>150</v>
      </c>
      <c r="F41" s="47">
        <f t="shared" si="0"/>
        <v>1343</v>
      </c>
      <c r="G41" s="47">
        <f t="shared" si="1"/>
        <v>81</v>
      </c>
      <c r="H41" s="26"/>
      <c r="I41" s="47">
        <f t="shared" si="2"/>
        <v>1.5</v>
      </c>
      <c r="J41" s="47">
        <f t="shared" si="5"/>
        <v>1581.8899999999999</v>
      </c>
      <c r="K41" s="47">
        <f t="shared" si="3"/>
        <v>54.155768572406707</v>
      </c>
      <c r="L41" s="47">
        <f t="shared" si="4"/>
        <v>0.81</v>
      </c>
      <c r="M41" s="16"/>
      <c r="W41" s="58"/>
      <c r="AH41" s="75"/>
    </row>
    <row r="42" spans="1:34" x14ac:dyDescent="0.2">
      <c r="A42" s="78">
        <v>300</v>
      </c>
      <c r="B42" s="73">
        <v>1653</v>
      </c>
      <c r="C42" s="73">
        <v>78</v>
      </c>
      <c r="E42" s="47">
        <v>160</v>
      </c>
      <c r="F42" s="47">
        <f t="shared" si="0"/>
        <v>1374</v>
      </c>
      <c r="G42" s="47">
        <f t="shared" si="1"/>
        <v>83</v>
      </c>
      <c r="H42" s="26"/>
      <c r="I42" s="47">
        <f t="shared" si="2"/>
        <v>1.6</v>
      </c>
      <c r="J42" s="47">
        <f t="shared" si="5"/>
        <v>1617.85</v>
      </c>
      <c r="K42" s="47">
        <f t="shared" si="3"/>
        <v>55.386853817185887</v>
      </c>
      <c r="L42" s="47">
        <f t="shared" si="4"/>
        <v>0.83000000000000007</v>
      </c>
      <c r="M42" s="16"/>
      <c r="W42" s="58"/>
      <c r="AH42" s="75"/>
    </row>
    <row r="43" spans="1:34" x14ac:dyDescent="0.2">
      <c r="A43" s="78">
        <v>320</v>
      </c>
      <c r="B43" s="73">
        <v>1601</v>
      </c>
      <c r="C43" s="73">
        <v>60</v>
      </c>
      <c r="E43" s="47">
        <v>170</v>
      </c>
      <c r="F43" s="47">
        <f t="shared" si="0"/>
        <v>1415</v>
      </c>
      <c r="G43" s="47">
        <f t="shared" si="1"/>
        <v>87</v>
      </c>
      <c r="H43" s="26"/>
      <c r="I43" s="47">
        <f t="shared" si="2"/>
        <v>1.7</v>
      </c>
      <c r="J43" s="47">
        <f t="shared" si="5"/>
        <v>1665.4099999999999</v>
      </c>
      <c r="K43" s="47">
        <f t="shared" si="3"/>
        <v>57.01506333447449</v>
      </c>
      <c r="L43" s="47">
        <f t="shared" si="4"/>
        <v>0.87</v>
      </c>
      <c r="M43" s="16"/>
      <c r="W43" s="58"/>
      <c r="AH43" s="75"/>
    </row>
    <row r="44" spans="1:34" x14ac:dyDescent="0.2">
      <c r="A44" s="78">
        <v>340</v>
      </c>
      <c r="B44" s="73">
        <v>1441</v>
      </c>
      <c r="C44" s="73">
        <v>48</v>
      </c>
      <c r="E44" s="47">
        <v>180</v>
      </c>
      <c r="F44" s="47">
        <f t="shared" si="0"/>
        <v>1461</v>
      </c>
      <c r="G44" s="47">
        <f t="shared" si="1"/>
        <v>89</v>
      </c>
      <c r="H44" s="26"/>
      <c r="I44" s="47">
        <f t="shared" si="2"/>
        <v>1.8</v>
      </c>
      <c r="J44" s="47">
        <f t="shared" si="5"/>
        <v>1718.77</v>
      </c>
      <c r="K44" s="47">
        <f t="shared" si="3"/>
        <v>58.841834988017801</v>
      </c>
      <c r="L44" s="47">
        <f t="shared" si="4"/>
        <v>0.89</v>
      </c>
      <c r="M44" s="16"/>
      <c r="W44" s="58"/>
      <c r="AH44" s="75"/>
    </row>
    <row r="45" spans="1:34" x14ac:dyDescent="0.2">
      <c r="A45" s="78">
        <v>360</v>
      </c>
      <c r="B45" s="73">
        <v>1430</v>
      </c>
      <c r="C45" s="73">
        <v>52</v>
      </c>
      <c r="E45" s="47">
        <v>190</v>
      </c>
      <c r="F45" s="47">
        <f t="shared" si="0"/>
        <v>1482</v>
      </c>
      <c r="G45" s="47">
        <f t="shared" si="1"/>
        <v>90</v>
      </c>
      <c r="H45" s="26"/>
      <c r="I45" s="47">
        <f t="shared" si="2"/>
        <v>1.9000000000000001</v>
      </c>
      <c r="J45" s="47">
        <f t="shared" si="5"/>
        <v>1743.1299999999999</v>
      </c>
      <c r="K45" s="47">
        <f t="shared" si="3"/>
        <v>59.675795960287566</v>
      </c>
      <c r="L45" s="47">
        <f t="shared" si="4"/>
        <v>0.9</v>
      </c>
      <c r="M45" s="16"/>
      <c r="W45" s="58"/>
      <c r="AH45" s="75"/>
    </row>
    <row r="46" spans="1:34" x14ac:dyDescent="0.2">
      <c r="A46" s="78">
        <v>380</v>
      </c>
      <c r="B46" s="73">
        <v>1377</v>
      </c>
      <c r="C46" s="73">
        <v>30</v>
      </c>
      <c r="E46" s="47">
        <v>200</v>
      </c>
      <c r="F46" s="47">
        <f t="shared" si="0"/>
        <v>1505</v>
      </c>
      <c r="G46" s="47">
        <f t="shared" si="1"/>
        <v>90</v>
      </c>
      <c r="H46" s="26"/>
      <c r="I46" s="47">
        <f t="shared" si="2"/>
        <v>2</v>
      </c>
      <c r="J46" s="47">
        <f t="shared" si="5"/>
        <v>1769.81</v>
      </c>
      <c r="K46" s="47">
        <f t="shared" si="3"/>
        <v>60.589181787059225</v>
      </c>
      <c r="L46" s="47">
        <f t="shared" si="4"/>
        <v>0.9</v>
      </c>
      <c r="M46" s="16"/>
      <c r="W46" s="58"/>
      <c r="AH46" s="75"/>
    </row>
    <row r="47" spans="1:34" x14ac:dyDescent="0.2">
      <c r="A47" s="78">
        <v>400</v>
      </c>
      <c r="B47" s="73">
        <v>1441</v>
      </c>
      <c r="C47" s="73">
        <v>56</v>
      </c>
      <c r="E47" s="47">
        <v>220</v>
      </c>
      <c r="F47" s="47">
        <f t="shared" si="0"/>
        <v>1589</v>
      </c>
      <c r="G47" s="47">
        <f t="shared" si="1"/>
        <v>90</v>
      </c>
      <c r="H47" s="26"/>
      <c r="I47" s="47">
        <f t="shared" si="2"/>
        <v>2.2000000000000002</v>
      </c>
      <c r="J47" s="47">
        <f t="shared" si="5"/>
        <v>1867.2499999999998</v>
      </c>
      <c r="K47" s="47">
        <f t="shared" si="3"/>
        <v>63.925025676138297</v>
      </c>
      <c r="L47" s="47">
        <f t="shared" si="4"/>
        <v>0.9</v>
      </c>
      <c r="M47" s="16"/>
      <c r="W47" s="58"/>
      <c r="AH47" s="75"/>
    </row>
    <row r="48" spans="1:34" x14ac:dyDescent="0.2">
      <c r="A48" s="78">
        <v>420</v>
      </c>
      <c r="B48" s="73">
        <v>1406</v>
      </c>
      <c r="C48" s="73">
        <v>66</v>
      </c>
      <c r="E48" s="47">
        <v>240</v>
      </c>
      <c r="F48" s="47">
        <f t="shared" si="0"/>
        <v>1563</v>
      </c>
      <c r="G48" s="47">
        <f t="shared" si="1"/>
        <v>88</v>
      </c>
      <c r="H48" s="26"/>
      <c r="I48" s="47">
        <f t="shared" si="2"/>
        <v>2.4</v>
      </c>
      <c r="J48" s="47">
        <f t="shared" si="5"/>
        <v>1837.09</v>
      </c>
      <c r="K48" s="47">
        <f t="shared" si="3"/>
        <v>62.892502567613825</v>
      </c>
      <c r="L48" s="47">
        <f t="shared" si="4"/>
        <v>0.88</v>
      </c>
      <c r="M48" s="16"/>
      <c r="W48" s="58"/>
      <c r="AH48" s="75"/>
    </row>
    <row r="49" spans="1:34" x14ac:dyDescent="0.2">
      <c r="A49" s="78">
        <v>440</v>
      </c>
      <c r="B49" s="73">
        <v>1415</v>
      </c>
      <c r="C49" s="73">
        <v>71</v>
      </c>
      <c r="E49" s="47">
        <v>260</v>
      </c>
      <c r="F49" s="47">
        <f t="shared" si="0"/>
        <v>1557</v>
      </c>
      <c r="G49" s="47">
        <f t="shared" si="1"/>
        <v>86</v>
      </c>
      <c r="H49" s="26"/>
      <c r="I49" s="47">
        <f t="shared" si="2"/>
        <v>2.6</v>
      </c>
      <c r="J49" s="47">
        <f t="shared" si="5"/>
        <v>1830.1299999999999</v>
      </c>
      <c r="K49" s="47">
        <f t="shared" si="3"/>
        <v>62.654228004108177</v>
      </c>
      <c r="L49" s="47">
        <f t="shared" si="4"/>
        <v>0.86</v>
      </c>
      <c r="M49" s="16"/>
      <c r="W49" s="58"/>
      <c r="AH49" s="75"/>
    </row>
    <row r="50" spans="1:34" x14ac:dyDescent="0.2">
      <c r="A50" s="78">
        <v>460</v>
      </c>
      <c r="B50" s="73">
        <v>1441</v>
      </c>
      <c r="C50" s="73">
        <v>75</v>
      </c>
      <c r="E50" s="47">
        <v>280</v>
      </c>
      <c r="F50" s="47">
        <f t="shared" si="0"/>
        <v>1618</v>
      </c>
      <c r="G50" s="47">
        <f t="shared" si="1"/>
        <v>82</v>
      </c>
      <c r="H50" s="26"/>
      <c r="I50" s="47">
        <f t="shared" si="2"/>
        <v>2.8000000000000003</v>
      </c>
      <c r="J50" s="47">
        <f t="shared" si="5"/>
        <v>1900.8899999999999</v>
      </c>
      <c r="K50" s="47">
        <f t="shared" si="3"/>
        <v>65.076686066415604</v>
      </c>
      <c r="L50" s="47">
        <f t="shared" si="4"/>
        <v>0.82000000000000006</v>
      </c>
      <c r="M50" s="16"/>
      <c r="W50" s="58"/>
      <c r="AH50" s="75"/>
    </row>
    <row r="51" spans="1:34" x14ac:dyDescent="0.2">
      <c r="A51" s="78">
        <v>480</v>
      </c>
      <c r="B51" s="73">
        <v>1441</v>
      </c>
      <c r="C51" s="73">
        <v>86</v>
      </c>
      <c r="E51" s="47">
        <v>300</v>
      </c>
      <c r="F51" s="47">
        <f t="shared" si="0"/>
        <v>1653</v>
      </c>
      <c r="G51" s="47">
        <f t="shared" si="1"/>
        <v>78</v>
      </c>
      <c r="H51" s="26"/>
      <c r="I51" s="47">
        <f t="shared" si="2"/>
        <v>3</v>
      </c>
      <c r="J51" s="47">
        <f t="shared" si="5"/>
        <v>1941.4899999999998</v>
      </c>
      <c r="K51" s="47">
        <f t="shared" si="3"/>
        <v>66.466621020198559</v>
      </c>
      <c r="L51" s="47">
        <f t="shared" si="4"/>
        <v>0.78</v>
      </c>
      <c r="M51" s="16"/>
      <c r="W51" s="58"/>
      <c r="AH51" s="75"/>
    </row>
    <row r="52" spans="1:34" x14ac:dyDescent="0.2">
      <c r="A52" s="78">
        <v>500</v>
      </c>
      <c r="B52" s="73">
        <v>1424</v>
      </c>
      <c r="C52" s="73">
        <v>89</v>
      </c>
      <c r="E52" s="47">
        <v>320</v>
      </c>
      <c r="F52" s="47">
        <f t="shared" si="0"/>
        <v>1601</v>
      </c>
      <c r="G52" s="47">
        <f t="shared" si="1"/>
        <v>60</v>
      </c>
      <c r="H52" s="26"/>
      <c r="I52" s="47">
        <f t="shared" si="2"/>
        <v>3.2</v>
      </c>
      <c r="J52" s="47">
        <f t="shared" si="5"/>
        <v>1881.1699999999998</v>
      </c>
      <c r="K52" s="47">
        <f t="shared" si="3"/>
        <v>64.4015748031496</v>
      </c>
      <c r="L52" s="47">
        <f t="shared" si="4"/>
        <v>0.6</v>
      </c>
      <c r="M52" s="16"/>
      <c r="W52" s="58"/>
      <c r="AH52" s="75"/>
    </row>
    <row r="53" spans="1:34" x14ac:dyDescent="0.2">
      <c r="A53" s="78">
        <v>520</v>
      </c>
      <c r="B53" s="73">
        <v>1459</v>
      </c>
      <c r="C53" s="73">
        <v>94</v>
      </c>
      <c r="E53" s="47">
        <v>340</v>
      </c>
      <c r="F53" s="47">
        <f t="shared" si="0"/>
        <v>1441</v>
      </c>
      <c r="G53" s="47">
        <f t="shared" si="1"/>
        <v>48</v>
      </c>
      <c r="H53" s="26"/>
      <c r="I53" s="47">
        <f t="shared" si="2"/>
        <v>3.4</v>
      </c>
      <c r="J53" s="47">
        <f t="shared" si="5"/>
        <v>1695.57</v>
      </c>
      <c r="K53" s="47">
        <f t="shared" si="3"/>
        <v>58.04758644299897</v>
      </c>
      <c r="L53" s="47">
        <f t="shared" si="4"/>
        <v>0.48</v>
      </c>
      <c r="M53" s="16"/>
      <c r="W53" s="58"/>
      <c r="AH53" s="75"/>
    </row>
    <row r="54" spans="1:34" x14ac:dyDescent="0.2">
      <c r="A54" s="78">
        <v>540</v>
      </c>
      <c r="B54" s="73">
        <v>1447</v>
      </c>
      <c r="C54" s="73">
        <v>95</v>
      </c>
      <c r="E54" s="47">
        <v>360</v>
      </c>
      <c r="F54" s="47">
        <f t="shared" si="0"/>
        <v>1430</v>
      </c>
      <c r="G54" s="47">
        <f t="shared" si="1"/>
        <v>52</v>
      </c>
      <c r="H54" s="26"/>
      <c r="I54" s="47">
        <f t="shared" si="2"/>
        <v>3.6</v>
      </c>
      <c r="J54" s="47">
        <f t="shared" si="5"/>
        <v>1682.81</v>
      </c>
      <c r="K54" s="47">
        <f t="shared" si="3"/>
        <v>57.610749743238614</v>
      </c>
      <c r="L54" s="47">
        <f t="shared" si="4"/>
        <v>0.52</v>
      </c>
      <c r="M54" s="16"/>
      <c r="W54" s="58"/>
      <c r="AH54" s="75"/>
    </row>
    <row r="55" spans="1:34" x14ac:dyDescent="0.2">
      <c r="A55" s="78">
        <v>560</v>
      </c>
      <c r="B55" s="73">
        <v>1488</v>
      </c>
      <c r="C55" s="73">
        <v>95</v>
      </c>
      <c r="E55" s="47">
        <v>380</v>
      </c>
      <c r="F55" s="47">
        <f t="shared" si="0"/>
        <v>1377</v>
      </c>
      <c r="G55" s="47">
        <f t="shared" si="1"/>
        <v>30</v>
      </c>
      <c r="H55" s="26"/>
      <c r="I55" s="47">
        <f t="shared" si="2"/>
        <v>3.8000000000000003</v>
      </c>
      <c r="J55" s="47">
        <f t="shared" si="5"/>
        <v>1621.33</v>
      </c>
      <c r="K55" s="47">
        <f t="shared" si="3"/>
        <v>55.505991098938715</v>
      </c>
      <c r="L55" s="47">
        <f t="shared" si="4"/>
        <v>0.3</v>
      </c>
      <c r="M55" s="16"/>
      <c r="W55" s="58"/>
      <c r="AH55" s="75"/>
    </row>
    <row r="56" spans="1:34" x14ac:dyDescent="0.2">
      <c r="A56" s="78">
        <v>580</v>
      </c>
      <c r="B56" s="73">
        <v>1482</v>
      </c>
      <c r="C56" s="73">
        <v>98</v>
      </c>
      <c r="E56" s="47">
        <v>400</v>
      </c>
      <c r="F56" s="47">
        <f t="shared" si="0"/>
        <v>1441</v>
      </c>
      <c r="G56" s="47">
        <f t="shared" si="1"/>
        <v>56</v>
      </c>
      <c r="H56" s="26"/>
      <c r="I56" s="47">
        <f t="shared" si="2"/>
        <v>4</v>
      </c>
      <c r="J56" s="47">
        <f t="shared" si="5"/>
        <v>1695.57</v>
      </c>
      <c r="K56" s="47">
        <f t="shared" si="3"/>
        <v>58.04758644299897</v>
      </c>
      <c r="L56" s="47">
        <f t="shared" si="4"/>
        <v>0.56000000000000005</v>
      </c>
      <c r="M56" s="16"/>
      <c r="W56" s="58"/>
      <c r="AH56" s="75"/>
    </row>
    <row r="57" spans="1:34" x14ac:dyDescent="0.2">
      <c r="A57" s="78">
        <v>600</v>
      </c>
      <c r="B57" s="73">
        <v>1488</v>
      </c>
      <c r="C57" s="73">
        <v>99</v>
      </c>
      <c r="E57" s="47">
        <v>420</v>
      </c>
      <c r="F57" s="47">
        <f t="shared" si="0"/>
        <v>1406</v>
      </c>
      <c r="G57" s="47">
        <f t="shared" si="1"/>
        <v>66</v>
      </c>
      <c r="H57" s="26"/>
      <c r="I57" s="47">
        <f t="shared" si="2"/>
        <v>4.2</v>
      </c>
      <c r="J57" s="47">
        <f t="shared" si="5"/>
        <v>1654.9699999999998</v>
      </c>
      <c r="K57" s="47">
        <f t="shared" si="3"/>
        <v>56.657651489216015</v>
      </c>
      <c r="L57" s="47">
        <f t="shared" si="4"/>
        <v>0.66</v>
      </c>
      <c r="M57" s="16"/>
      <c r="Q57" s="85" t="s">
        <v>23</v>
      </c>
      <c r="R57" s="43" t="s">
        <v>23</v>
      </c>
      <c r="W57" s="58"/>
      <c r="AH57" s="75"/>
    </row>
    <row r="58" spans="1:34" x14ac:dyDescent="0.2">
      <c r="A58" s="78">
        <v>620</v>
      </c>
      <c r="B58" s="73">
        <v>1453</v>
      </c>
      <c r="C58" s="73">
        <v>107</v>
      </c>
      <c r="E58" s="47">
        <v>440</v>
      </c>
      <c r="F58" s="47">
        <f t="shared" ref="F58:F83" si="6">B49</f>
        <v>1415</v>
      </c>
      <c r="G58" s="47">
        <f t="shared" ref="G58:G83" si="7">C49</f>
        <v>71</v>
      </c>
      <c r="H58" s="26"/>
      <c r="I58" s="47">
        <f t="shared" ref="I58:I83" si="8">+E58*0.01</f>
        <v>4.4000000000000004</v>
      </c>
      <c r="J58" s="47">
        <f t="shared" si="5"/>
        <v>1665.4099999999999</v>
      </c>
      <c r="K58" s="47">
        <f t="shared" ref="K58:K83" si="9">+J58/$G$15</f>
        <v>57.01506333447449</v>
      </c>
      <c r="L58" s="47">
        <f t="shared" ref="L58:L83" si="10">+G58*0.01</f>
        <v>0.71</v>
      </c>
      <c r="M58" s="16"/>
      <c r="Q58" s="86" t="s">
        <v>46</v>
      </c>
      <c r="R58" s="45" t="s">
        <v>45</v>
      </c>
      <c r="W58" s="58"/>
      <c r="AH58" s="75"/>
    </row>
    <row r="59" spans="1:34" x14ac:dyDescent="0.2">
      <c r="A59" s="78">
        <v>640</v>
      </c>
      <c r="B59" s="73">
        <v>1453</v>
      </c>
      <c r="C59" s="73">
        <v>106</v>
      </c>
      <c r="E59" s="47">
        <v>460</v>
      </c>
      <c r="F59" s="47">
        <f t="shared" si="6"/>
        <v>1441</v>
      </c>
      <c r="G59" s="47">
        <f t="shared" si="7"/>
        <v>75</v>
      </c>
      <c r="H59" s="26"/>
      <c r="I59" s="47">
        <f t="shared" si="8"/>
        <v>4.6000000000000005</v>
      </c>
      <c r="J59" s="47">
        <f t="shared" si="5"/>
        <v>1695.57</v>
      </c>
      <c r="K59" s="47">
        <f t="shared" si="9"/>
        <v>58.04758644299897</v>
      </c>
      <c r="L59" s="47">
        <f t="shared" si="10"/>
        <v>0.75</v>
      </c>
      <c r="M59" s="16"/>
      <c r="Q59" s="87" t="s">
        <v>44</v>
      </c>
      <c r="R59" s="46" t="s">
        <v>44</v>
      </c>
      <c r="W59" s="58"/>
      <c r="AH59" s="75"/>
    </row>
    <row r="60" spans="1:34" x14ac:dyDescent="0.2">
      <c r="A60" s="78">
        <v>660</v>
      </c>
      <c r="B60" s="73">
        <v>1459</v>
      </c>
      <c r="C60" s="73">
        <v>107</v>
      </c>
      <c r="E60" s="47">
        <v>480</v>
      </c>
      <c r="F60" s="47">
        <f t="shared" si="6"/>
        <v>1441</v>
      </c>
      <c r="G60" s="47">
        <f t="shared" si="7"/>
        <v>86</v>
      </c>
      <c r="H60" s="26"/>
      <c r="I60" s="47">
        <f t="shared" si="8"/>
        <v>4.8</v>
      </c>
      <c r="J60" s="47">
        <f t="shared" si="5"/>
        <v>1695.57</v>
      </c>
      <c r="K60" s="47">
        <f t="shared" si="9"/>
        <v>58.04758644299897</v>
      </c>
      <c r="L60" s="47">
        <f t="shared" si="10"/>
        <v>0.86</v>
      </c>
      <c r="M60" s="16"/>
      <c r="Q60" s="88">
        <f>+G16</f>
        <v>40.795576849960604</v>
      </c>
      <c r="R60" s="88">
        <f>MAX(K26:K83)</f>
        <v>66.466621020198559</v>
      </c>
      <c r="W60" s="58"/>
      <c r="AH60" s="75"/>
    </row>
    <row r="61" spans="1:34" x14ac:dyDescent="0.2">
      <c r="A61" s="78">
        <v>680</v>
      </c>
      <c r="B61" s="73">
        <v>1360</v>
      </c>
      <c r="C61" s="73">
        <v>128</v>
      </c>
      <c r="E61" s="47">
        <v>500</v>
      </c>
      <c r="F61" s="47">
        <f t="shared" si="6"/>
        <v>1424</v>
      </c>
      <c r="G61" s="47">
        <f t="shared" si="7"/>
        <v>89</v>
      </c>
      <c r="H61" s="26"/>
      <c r="I61" s="47">
        <f t="shared" si="8"/>
        <v>5</v>
      </c>
      <c r="J61" s="47">
        <f t="shared" si="5"/>
        <v>1675.85</v>
      </c>
      <c r="K61" s="47">
        <f t="shared" si="9"/>
        <v>57.372475179732966</v>
      </c>
      <c r="L61" s="47">
        <f t="shared" si="10"/>
        <v>0.89</v>
      </c>
      <c r="M61" s="16"/>
      <c r="Q61" s="102">
        <v>0</v>
      </c>
      <c r="R61" s="102">
        <v>0</v>
      </c>
      <c r="W61" s="58"/>
      <c r="AH61" s="75"/>
    </row>
    <row r="62" spans="1:34" x14ac:dyDescent="0.2">
      <c r="A62" s="78">
        <v>700</v>
      </c>
      <c r="B62" s="73">
        <v>1386</v>
      </c>
      <c r="C62" s="73">
        <v>130</v>
      </c>
      <c r="E62" s="47">
        <v>520</v>
      </c>
      <c r="F62" s="47">
        <f t="shared" si="6"/>
        <v>1459</v>
      </c>
      <c r="G62" s="47">
        <f t="shared" si="7"/>
        <v>94</v>
      </c>
      <c r="H62" s="26"/>
      <c r="I62" s="47">
        <f t="shared" si="8"/>
        <v>5.2</v>
      </c>
      <c r="J62" s="47">
        <f t="shared" si="5"/>
        <v>1716.4499999999998</v>
      </c>
      <c r="K62" s="47">
        <f t="shared" si="9"/>
        <v>58.762410133515914</v>
      </c>
      <c r="L62" s="47">
        <f t="shared" si="10"/>
        <v>0.94000000000000006</v>
      </c>
      <c r="M62" s="16"/>
      <c r="Q62" s="102"/>
      <c r="R62" s="102"/>
      <c r="W62" s="58"/>
      <c r="AH62" s="75"/>
    </row>
    <row r="63" spans="1:34" x14ac:dyDescent="0.2">
      <c r="A63" s="78">
        <v>720</v>
      </c>
      <c r="B63" s="73">
        <v>1395</v>
      </c>
      <c r="C63" s="73">
        <v>130</v>
      </c>
      <c r="E63" s="47">
        <v>540</v>
      </c>
      <c r="F63" s="47">
        <f t="shared" si="6"/>
        <v>1447</v>
      </c>
      <c r="G63" s="47">
        <f t="shared" si="7"/>
        <v>95</v>
      </c>
      <c r="H63" s="26"/>
      <c r="I63" s="47">
        <f t="shared" si="8"/>
        <v>5.4</v>
      </c>
      <c r="J63" s="47">
        <f t="shared" si="5"/>
        <v>1702.53</v>
      </c>
      <c r="K63" s="47">
        <f t="shared" si="9"/>
        <v>58.285861006504618</v>
      </c>
      <c r="L63" s="47">
        <f t="shared" si="10"/>
        <v>0.95000000000000007</v>
      </c>
      <c r="M63" s="16"/>
      <c r="Q63" s="16"/>
      <c r="R63" s="16"/>
      <c r="W63" s="58"/>
      <c r="AH63" s="75"/>
    </row>
    <row r="64" spans="1:34" x14ac:dyDescent="0.2">
      <c r="A64" s="78">
        <v>740</v>
      </c>
      <c r="B64" s="73">
        <v>1401</v>
      </c>
      <c r="C64" s="73">
        <v>137</v>
      </c>
      <c r="E64" s="47">
        <v>560</v>
      </c>
      <c r="F64" s="47">
        <f t="shared" si="6"/>
        <v>1488</v>
      </c>
      <c r="G64" s="47">
        <f t="shared" si="7"/>
        <v>95</v>
      </c>
      <c r="H64" s="26"/>
      <c r="I64" s="47">
        <f t="shared" si="8"/>
        <v>5.6000000000000005</v>
      </c>
      <c r="J64" s="47">
        <f t="shared" si="5"/>
        <v>1750.09</v>
      </c>
      <c r="K64" s="47">
        <f t="shared" si="9"/>
        <v>59.914070523793214</v>
      </c>
      <c r="L64" s="47">
        <f t="shared" si="10"/>
        <v>0.95000000000000007</v>
      </c>
      <c r="M64" s="16"/>
      <c r="Q64" s="14" t="s">
        <v>43</v>
      </c>
      <c r="R64" s="89" t="s">
        <v>70</v>
      </c>
      <c r="W64" s="58"/>
      <c r="X64" s="62"/>
      <c r="Y64" s="62"/>
      <c r="Z64" s="62"/>
      <c r="AA64" s="62"/>
      <c r="AB64" s="77"/>
      <c r="AC64" s="77"/>
      <c r="AD64" s="62"/>
      <c r="AE64" s="62"/>
      <c r="AF64" s="62"/>
      <c r="AG64" s="62"/>
      <c r="AH64" s="75"/>
    </row>
    <row r="65" spans="1:34" x14ac:dyDescent="0.2">
      <c r="A65" s="78">
        <v>760</v>
      </c>
      <c r="B65" s="73">
        <v>1421</v>
      </c>
      <c r="C65" s="73">
        <v>136</v>
      </c>
      <c r="E65" s="47">
        <v>580</v>
      </c>
      <c r="F65" s="47">
        <f t="shared" si="6"/>
        <v>1482</v>
      </c>
      <c r="G65" s="47">
        <f t="shared" si="7"/>
        <v>98</v>
      </c>
      <c r="H65" s="26"/>
      <c r="I65" s="47">
        <f t="shared" si="8"/>
        <v>5.8</v>
      </c>
      <c r="J65" s="47">
        <f t="shared" si="5"/>
        <v>1743.1299999999999</v>
      </c>
      <c r="K65" s="47">
        <f t="shared" si="9"/>
        <v>59.675795960287566</v>
      </c>
      <c r="L65" s="47">
        <f t="shared" si="10"/>
        <v>0.98</v>
      </c>
      <c r="M65" s="16"/>
      <c r="Q65" s="14" t="s">
        <v>42</v>
      </c>
      <c r="R65" s="13" t="s">
        <v>70</v>
      </c>
      <c r="W65" s="58"/>
      <c r="AH65" s="75"/>
    </row>
    <row r="66" spans="1:34" x14ac:dyDescent="0.2">
      <c r="A66" s="78">
        <v>780</v>
      </c>
      <c r="B66" s="73">
        <v>1421</v>
      </c>
      <c r="C66" s="73">
        <v>141</v>
      </c>
      <c r="E66" s="47">
        <v>600</v>
      </c>
      <c r="F66" s="47">
        <f t="shared" si="6"/>
        <v>1488</v>
      </c>
      <c r="G66" s="47">
        <f t="shared" si="7"/>
        <v>99</v>
      </c>
      <c r="H66" s="26"/>
      <c r="I66" s="47">
        <f t="shared" si="8"/>
        <v>6</v>
      </c>
      <c r="J66" s="47">
        <f t="shared" si="5"/>
        <v>1750.09</v>
      </c>
      <c r="K66" s="47">
        <f t="shared" si="9"/>
        <v>59.914070523793214</v>
      </c>
      <c r="L66" s="47">
        <f t="shared" si="10"/>
        <v>0.99</v>
      </c>
      <c r="M66" s="16"/>
      <c r="W66" s="58"/>
      <c r="AH66" s="75"/>
    </row>
    <row r="67" spans="1:34" x14ac:dyDescent="0.2">
      <c r="A67" s="78">
        <v>800</v>
      </c>
      <c r="B67" s="73">
        <v>1461</v>
      </c>
      <c r="C67" s="73">
        <v>143</v>
      </c>
      <c r="E67" s="47">
        <v>620</v>
      </c>
      <c r="F67" s="47">
        <f t="shared" si="6"/>
        <v>1453</v>
      </c>
      <c r="G67" s="47">
        <f t="shared" si="7"/>
        <v>107</v>
      </c>
      <c r="H67" s="26"/>
      <c r="I67" s="47">
        <f t="shared" si="8"/>
        <v>6.2</v>
      </c>
      <c r="J67" s="47">
        <f t="shared" si="5"/>
        <v>1709.4899999999998</v>
      </c>
      <c r="K67" s="47">
        <f t="shared" si="9"/>
        <v>58.524135570010259</v>
      </c>
      <c r="L67" s="47">
        <f t="shared" si="10"/>
        <v>1.07</v>
      </c>
      <c r="M67" s="16"/>
      <c r="W67" s="58"/>
      <c r="AH67" s="75"/>
    </row>
    <row r="68" spans="1:34" x14ac:dyDescent="0.2">
      <c r="A68" s="78">
        <v>820</v>
      </c>
      <c r="B68" s="73">
        <v>1446</v>
      </c>
      <c r="C68" s="73">
        <v>145</v>
      </c>
      <c r="E68" s="47">
        <v>640</v>
      </c>
      <c r="F68" s="47">
        <f t="shared" si="6"/>
        <v>1453</v>
      </c>
      <c r="G68" s="47">
        <f t="shared" si="7"/>
        <v>106</v>
      </c>
      <c r="H68" s="26"/>
      <c r="I68" s="47">
        <f t="shared" si="8"/>
        <v>6.4</v>
      </c>
      <c r="J68" s="47">
        <f t="shared" si="5"/>
        <v>1709.4899999999998</v>
      </c>
      <c r="K68" s="47">
        <f t="shared" si="9"/>
        <v>58.524135570010259</v>
      </c>
      <c r="L68" s="47">
        <f t="shared" si="10"/>
        <v>1.06</v>
      </c>
      <c r="M68" s="16"/>
      <c r="W68" s="58"/>
      <c r="AH68" s="75"/>
    </row>
    <row r="69" spans="1:34" x14ac:dyDescent="0.2">
      <c r="A69" s="78">
        <v>840</v>
      </c>
      <c r="B69" s="73">
        <v>1534</v>
      </c>
      <c r="C69" s="73">
        <v>145</v>
      </c>
      <c r="E69" s="47">
        <v>660</v>
      </c>
      <c r="F69" s="47">
        <f t="shared" si="6"/>
        <v>1459</v>
      </c>
      <c r="G69" s="47">
        <f t="shared" si="7"/>
        <v>107</v>
      </c>
      <c r="H69" s="26"/>
      <c r="I69" s="47">
        <f t="shared" si="8"/>
        <v>6.6000000000000005</v>
      </c>
      <c r="J69" s="47">
        <f t="shared" si="5"/>
        <v>1716.4499999999998</v>
      </c>
      <c r="K69" s="47">
        <f t="shared" si="9"/>
        <v>58.762410133515914</v>
      </c>
      <c r="L69" s="47">
        <f t="shared" si="10"/>
        <v>1.07</v>
      </c>
      <c r="M69" s="16"/>
      <c r="W69" s="58"/>
      <c r="AH69" s="75"/>
    </row>
    <row r="70" spans="1:34" x14ac:dyDescent="0.2">
      <c r="A70" s="78">
        <v>860</v>
      </c>
      <c r="B70" s="73">
        <v>1548</v>
      </c>
      <c r="C70" s="73">
        <v>148</v>
      </c>
      <c r="E70" s="47">
        <v>680</v>
      </c>
      <c r="F70" s="47">
        <f t="shared" si="6"/>
        <v>1360</v>
      </c>
      <c r="G70" s="47">
        <f t="shared" si="7"/>
        <v>128</v>
      </c>
      <c r="H70" s="26"/>
      <c r="I70" s="47">
        <f t="shared" si="8"/>
        <v>6.8</v>
      </c>
      <c r="J70" s="47">
        <f t="shared" si="5"/>
        <v>1601.61</v>
      </c>
      <c r="K70" s="47">
        <f t="shared" si="9"/>
        <v>54.830879835672711</v>
      </c>
      <c r="L70" s="47">
        <f t="shared" si="10"/>
        <v>1.28</v>
      </c>
      <c r="M70" s="16"/>
    </row>
    <row r="71" spans="1:34" x14ac:dyDescent="0.2">
      <c r="A71" s="78">
        <v>880</v>
      </c>
      <c r="B71" s="73">
        <v>1528</v>
      </c>
      <c r="C71" s="73">
        <v>148</v>
      </c>
      <c r="E71" s="47">
        <v>700</v>
      </c>
      <c r="F71" s="47">
        <f t="shared" si="6"/>
        <v>1386</v>
      </c>
      <c r="G71" s="47">
        <f t="shared" si="7"/>
        <v>130</v>
      </c>
      <c r="H71" s="26"/>
      <c r="I71" s="47">
        <f t="shared" si="8"/>
        <v>7</v>
      </c>
      <c r="J71" s="47">
        <f t="shared" si="5"/>
        <v>1631.77</v>
      </c>
      <c r="K71" s="47">
        <f t="shared" si="9"/>
        <v>55.86340294419719</v>
      </c>
      <c r="L71" s="47">
        <f t="shared" si="10"/>
        <v>1.3</v>
      </c>
      <c r="M71" s="16"/>
    </row>
    <row r="72" spans="1:34" x14ac:dyDescent="0.2">
      <c r="A72" s="78">
        <v>900</v>
      </c>
      <c r="B72" s="73">
        <v>1557</v>
      </c>
      <c r="C72" s="73">
        <v>151</v>
      </c>
      <c r="E72" s="47">
        <v>720</v>
      </c>
      <c r="F72" s="47">
        <f t="shared" si="6"/>
        <v>1395</v>
      </c>
      <c r="G72" s="47">
        <f t="shared" si="7"/>
        <v>130</v>
      </c>
      <c r="H72" s="26"/>
      <c r="I72" s="47">
        <f t="shared" si="8"/>
        <v>7.2</v>
      </c>
      <c r="J72" s="47">
        <f t="shared" si="5"/>
        <v>1642.2099999999998</v>
      </c>
      <c r="K72" s="47">
        <f t="shared" si="9"/>
        <v>56.220814789455659</v>
      </c>
      <c r="L72" s="47">
        <f t="shared" si="10"/>
        <v>1.3</v>
      </c>
      <c r="M72" s="16"/>
    </row>
    <row r="73" spans="1:34" x14ac:dyDescent="0.2">
      <c r="A73" s="78">
        <v>950</v>
      </c>
      <c r="B73" s="73">
        <v>1560</v>
      </c>
      <c r="C73" s="73">
        <v>159</v>
      </c>
      <c r="E73" s="47">
        <v>740</v>
      </c>
      <c r="F73" s="47">
        <f t="shared" si="6"/>
        <v>1401</v>
      </c>
      <c r="G73" s="47">
        <f t="shared" si="7"/>
        <v>137</v>
      </c>
      <c r="H73" s="26"/>
      <c r="I73" s="47">
        <f t="shared" si="8"/>
        <v>7.4</v>
      </c>
      <c r="J73" s="47">
        <f t="shared" si="5"/>
        <v>1649.1699999999998</v>
      </c>
      <c r="K73" s="47">
        <f t="shared" si="9"/>
        <v>56.459089352961307</v>
      </c>
      <c r="L73" s="47">
        <f t="shared" si="10"/>
        <v>1.37</v>
      </c>
      <c r="M73" s="16"/>
    </row>
    <row r="74" spans="1:34" x14ac:dyDescent="0.2">
      <c r="A74" s="78">
        <v>1000</v>
      </c>
      <c r="B74" s="73">
        <v>1566</v>
      </c>
      <c r="C74" s="73">
        <v>163</v>
      </c>
      <c r="E74" s="47">
        <v>760</v>
      </c>
      <c r="F74" s="47">
        <f t="shared" si="6"/>
        <v>1421</v>
      </c>
      <c r="G74" s="47">
        <f t="shared" si="7"/>
        <v>136</v>
      </c>
      <c r="H74" s="26"/>
      <c r="I74" s="47">
        <f t="shared" si="8"/>
        <v>7.6000000000000005</v>
      </c>
      <c r="J74" s="47">
        <f t="shared" si="5"/>
        <v>1672.37</v>
      </c>
      <c r="K74" s="47">
        <f t="shared" si="9"/>
        <v>57.253337897980138</v>
      </c>
      <c r="L74" s="47">
        <f t="shared" si="10"/>
        <v>1.36</v>
      </c>
      <c r="M74" s="16"/>
    </row>
    <row r="75" spans="1:34" x14ac:dyDescent="0.2">
      <c r="E75" s="47">
        <v>780</v>
      </c>
      <c r="F75" s="47">
        <f t="shared" si="6"/>
        <v>1421</v>
      </c>
      <c r="G75" s="47">
        <f t="shared" si="7"/>
        <v>141</v>
      </c>
      <c r="H75" s="26"/>
      <c r="I75" s="47">
        <f t="shared" si="8"/>
        <v>7.8</v>
      </c>
      <c r="J75" s="47">
        <f t="shared" si="5"/>
        <v>1672.37</v>
      </c>
      <c r="K75" s="47">
        <f t="shared" si="9"/>
        <v>57.253337897980138</v>
      </c>
      <c r="L75" s="47">
        <f t="shared" si="10"/>
        <v>1.41</v>
      </c>
      <c r="M75" s="16"/>
    </row>
    <row r="76" spans="1:34" x14ac:dyDescent="0.2">
      <c r="A76" s="53" t="s">
        <v>59</v>
      </c>
      <c r="C76" s="73"/>
      <c r="E76" s="47">
        <v>800</v>
      </c>
      <c r="F76" s="47">
        <f t="shared" si="6"/>
        <v>1461</v>
      </c>
      <c r="G76" s="47">
        <f t="shared" si="7"/>
        <v>143</v>
      </c>
      <c r="H76" s="26"/>
      <c r="I76" s="47">
        <f t="shared" si="8"/>
        <v>8</v>
      </c>
      <c r="J76" s="47">
        <f t="shared" si="5"/>
        <v>1718.77</v>
      </c>
      <c r="K76" s="47">
        <f t="shared" si="9"/>
        <v>58.841834988017801</v>
      </c>
      <c r="L76" s="47">
        <f t="shared" si="10"/>
        <v>1.43</v>
      </c>
      <c r="M76" s="16"/>
    </row>
    <row r="77" spans="1:34" x14ac:dyDescent="0.2">
      <c r="A77" s="54" t="s">
        <v>22</v>
      </c>
      <c r="B77" s="55" t="s">
        <v>24</v>
      </c>
      <c r="C77" s="54" t="s">
        <v>22</v>
      </c>
      <c r="E77" s="47">
        <v>820</v>
      </c>
      <c r="F77" s="47">
        <f t="shared" si="6"/>
        <v>1446</v>
      </c>
      <c r="G77" s="47">
        <f t="shared" si="7"/>
        <v>145</v>
      </c>
      <c r="H77" s="26"/>
      <c r="I77" s="47">
        <f t="shared" si="8"/>
        <v>8.1999999999999993</v>
      </c>
      <c r="J77" s="47">
        <f t="shared" si="5"/>
        <v>1701.37</v>
      </c>
      <c r="K77" s="47">
        <f t="shared" si="9"/>
        <v>58.246148579253678</v>
      </c>
      <c r="L77" s="47">
        <f t="shared" si="10"/>
        <v>1.45</v>
      </c>
      <c r="M77" s="16"/>
    </row>
    <row r="78" spans="1:34" x14ac:dyDescent="0.2">
      <c r="A78" s="56" t="s">
        <v>21</v>
      </c>
      <c r="B78" s="56" t="s">
        <v>20</v>
      </c>
      <c r="C78" s="56" t="s">
        <v>19</v>
      </c>
      <c r="E78" s="47">
        <v>840</v>
      </c>
      <c r="F78" s="47">
        <f t="shared" si="6"/>
        <v>1534</v>
      </c>
      <c r="G78" s="47">
        <f t="shared" si="7"/>
        <v>145</v>
      </c>
      <c r="H78" s="26"/>
      <c r="I78" s="47">
        <f t="shared" si="8"/>
        <v>8.4</v>
      </c>
      <c r="J78" s="47">
        <f t="shared" si="5"/>
        <v>1803.4499999999998</v>
      </c>
      <c r="K78" s="47">
        <f t="shared" si="9"/>
        <v>61.740842177336518</v>
      </c>
      <c r="L78" s="47">
        <f t="shared" si="10"/>
        <v>1.45</v>
      </c>
      <c r="M78" s="16"/>
    </row>
    <row r="79" spans="1:34" x14ac:dyDescent="0.2">
      <c r="A79" s="57" t="s">
        <v>18</v>
      </c>
      <c r="B79" s="57" t="s">
        <v>61</v>
      </c>
      <c r="C79" s="57" t="s">
        <v>18</v>
      </c>
      <c r="E79" s="47">
        <v>860</v>
      </c>
      <c r="F79" s="47">
        <f t="shared" si="6"/>
        <v>1548</v>
      </c>
      <c r="G79" s="47">
        <f t="shared" si="7"/>
        <v>148</v>
      </c>
      <c r="H79" s="26"/>
      <c r="I79" s="47">
        <f t="shared" si="8"/>
        <v>8.6</v>
      </c>
      <c r="J79" s="47">
        <f t="shared" si="5"/>
        <v>1819.6899999999998</v>
      </c>
      <c r="K79" s="47">
        <f t="shared" si="9"/>
        <v>62.296816158849701</v>
      </c>
      <c r="L79" s="47">
        <f t="shared" si="10"/>
        <v>1.48</v>
      </c>
      <c r="M79" s="16"/>
    </row>
    <row r="80" spans="1:34" x14ac:dyDescent="0.2">
      <c r="A80" s="78">
        <v>0</v>
      </c>
      <c r="B80" s="73"/>
      <c r="C80" s="73"/>
      <c r="E80" s="47">
        <v>880</v>
      </c>
      <c r="F80" s="47">
        <f t="shared" si="6"/>
        <v>1528</v>
      </c>
      <c r="G80" s="47">
        <f t="shared" si="7"/>
        <v>148</v>
      </c>
      <c r="H80" s="26"/>
      <c r="I80" s="47">
        <f t="shared" si="8"/>
        <v>8.8000000000000007</v>
      </c>
      <c r="J80" s="47">
        <f t="shared" si="5"/>
        <v>1796.4899999999998</v>
      </c>
      <c r="K80" s="47">
        <f t="shared" si="9"/>
        <v>61.50256761383087</v>
      </c>
      <c r="L80" s="47">
        <f t="shared" si="10"/>
        <v>1.48</v>
      </c>
      <c r="M80" s="16"/>
    </row>
    <row r="81" spans="1:13" x14ac:dyDescent="0.2">
      <c r="A81" s="78">
        <v>10</v>
      </c>
      <c r="B81" s="73"/>
      <c r="C81" s="73"/>
      <c r="E81" s="47">
        <v>900</v>
      </c>
      <c r="F81" s="47">
        <f t="shared" si="6"/>
        <v>1557</v>
      </c>
      <c r="G81" s="47">
        <f t="shared" si="7"/>
        <v>151</v>
      </c>
      <c r="H81" s="26"/>
      <c r="I81" s="47">
        <f t="shared" si="8"/>
        <v>9</v>
      </c>
      <c r="J81" s="47">
        <f t="shared" si="5"/>
        <v>1830.1299999999999</v>
      </c>
      <c r="K81" s="47">
        <f t="shared" si="9"/>
        <v>62.654228004108177</v>
      </c>
      <c r="L81" s="47">
        <f t="shared" si="10"/>
        <v>1.51</v>
      </c>
      <c r="M81" s="16"/>
    </row>
    <row r="82" spans="1:13" x14ac:dyDescent="0.2">
      <c r="A82" s="78">
        <v>20</v>
      </c>
      <c r="B82" s="73"/>
      <c r="C82" s="73"/>
      <c r="E82" s="47">
        <v>950</v>
      </c>
      <c r="F82" s="47">
        <f t="shared" si="6"/>
        <v>1560</v>
      </c>
      <c r="G82" s="47">
        <f t="shared" si="7"/>
        <v>159</v>
      </c>
      <c r="H82" s="26"/>
      <c r="I82" s="47">
        <f t="shared" si="8"/>
        <v>9.5</v>
      </c>
      <c r="J82" s="47">
        <f t="shared" si="5"/>
        <v>1833.61</v>
      </c>
      <c r="K82" s="47">
        <f t="shared" si="9"/>
        <v>62.773365285861004</v>
      </c>
      <c r="L82" s="47">
        <f t="shared" si="10"/>
        <v>1.59</v>
      </c>
      <c r="M82" s="16"/>
    </row>
    <row r="83" spans="1:13" x14ac:dyDescent="0.2">
      <c r="A83" s="78">
        <v>30</v>
      </c>
      <c r="B83" s="73"/>
      <c r="C83" s="73"/>
      <c r="E83" s="47">
        <v>1000</v>
      </c>
      <c r="F83" s="47">
        <f t="shared" si="6"/>
        <v>1566</v>
      </c>
      <c r="G83" s="47">
        <f t="shared" si="7"/>
        <v>163</v>
      </c>
      <c r="H83" s="26"/>
      <c r="I83" s="47">
        <f t="shared" si="8"/>
        <v>10</v>
      </c>
      <c r="J83" s="47">
        <f t="shared" si="5"/>
        <v>1840.57</v>
      </c>
      <c r="K83" s="47">
        <f t="shared" si="9"/>
        <v>63.011639849366652</v>
      </c>
      <c r="L83" s="47">
        <f t="shared" si="10"/>
        <v>1.6300000000000001</v>
      </c>
      <c r="M83" s="16"/>
    </row>
    <row r="84" spans="1:13" x14ac:dyDescent="0.2">
      <c r="A84" s="78">
        <v>40</v>
      </c>
      <c r="B84" s="73"/>
      <c r="C84" s="73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">
      <c r="A85" s="78">
        <v>50</v>
      </c>
      <c r="B85" s="73"/>
      <c r="C85" s="73"/>
      <c r="E85" s="52" t="s">
        <v>2</v>
      </c>
      <c r="F85" s="16"/>
      <c r="G85" s="16"/>
      <c r="H85" s="16"/>
      <c r="I85" s="16"/>
      <c r="J85" s="16"/>
      <c r="K85" s="16"/>
      <c r="L85" s="16"/>
      <c r="M85" s="16"/>
    </row>
    <row r="86" spans="1:13" x14ac:dyDescent="0.2">
      <c r="A86" s="78">
        <v>60</v>
      </c>
      <c r="B86" s="73"/>
      <c r="C86" s="73"/>
      <c r="E86" s="16" t="s">
        <v>57</v>
      </c>
      <c r="F86" s="16"/>
      <c r="G86" s="16"/>
      <c r="H86" s="16"/>
      <c r="I86" s="16"/>
      <c r="J86" s="16"/>
      <c r="K86" s="16"/>
      <c r="L86" s="16"/>
      <c r="M86" s="16"/>
    </row>
    <row r="87" spans="1:13" x14ac:dyDescent="0.2">
      <c r="A87" s="78">
        <v>70</v>
      </c>
      <c r="B87" s="73"/>
      <c r="C87" s="73"/>
      <c r="E87" s="16" t="s">
        <v>55</v>
      </c>
      <c r="F87" s="16"/>
      <c r="G87" s="16"/>
      <c r="H87" s="16"/>
      <c r="I87" s="16"/>
      <c r="J87" s="16"/>
      <c r="K87" s="16"/>
      <c r="L87" s="16"/>
      <c r="M87" s="16"/>
    </row>
    <row r="88" spans="1:13" x14ac:dyDescent="0.2">
      <c r="A88" s="78">
        <v>80</v>
      </c>
      <c r="B88" s="73"/>
      <c r="C88" s="73"/>
    </row>
    <row r="89" spans="1:13" x14ac:dyDescent="0.2">
      <c r="A89" s="78">
        <v>90</v>
      </c>
      <c r="B89" s="73"/>
      <c r="C89" s="73"/>
      <c r="E89" s="52" t="s">
        <v>78</v>
      </c>
    </row>
    <row r="90" spans="1:13" x14ac:dyDescent="0.2">
      <c r="A90" s="78">
        <v>100</v>
      </c>
      <c r="B90" s="73"/>
      <c r="C90" s="73"/>
      <c r="E90" s="16" t="s">
        <v>79</v>
      </c>
    </row>
    <row r="91" spans="1:13" x14ac:dyDescent="0.2">
      <c r="A91" s="78">
        <v>110</v>
      </c>
      <c r="B91" s="73"/>
      <c r="C91" s="73"/>
      <c r="E91" s="16" t="s">
        <v>80</v>
      </c>
    </row>
    <row r="92" spans="1:13" x14ac:dyDescent="0.2">
      <c r="A92" s="78">
        <v>120</v>
      </c>
      <c r="B92" s="73"/>
      <c r="C92" s="73"/>
      <c r="E92" s="53" t="s">
        <v>81</v>
      </c>
    </row>
    <row r="93" spans="1:13" x14ac:dyDescent="0.2">
      <c r="A93" s="78">
        <v>130</v>
      </c>
      <c r="B93" s="73"/>
      <c r="C93" s="73"/>
    </row>
    <row r="94" spans="1:13" x14ac:dyDescent="0.2">
      <c r="A94" s="78">
        <v>140</v>
      </c>
      <c r="B94" s="73"/>
      <c r="C94" s="73"/>
    </row>
    <row r="95" spans="1:13" x14ac:dyDescent="0.2">
      <c r="A95" s="78">
        <v>150</v>
      </c>
      <c r="B95" s="73"/>
      <c r="C95" s="73"/>
    </row>
    <row r="96" spans="1:13" x14ac:dyDescent="0.2">
      <c r="A96" s="78">
        <v>160</v>
      </c>
      <c r="B96" s="73"/>
      <c r="C96" s="73"/>
    </row>
    <row r="97" spans="1:12" x14ac:dyDescent="0.2">
      <c r="A97" s="78">
        <v>170</v>
      </c>
      <c r="B97" s="73"/>
      <c r="C97" s="73"/>
    </row>
    <row r="98" spans="1:12" x14ac:dyDescent="0.2">
      <c r="A98" s="78">
        <v>180</v>
      </c>
      <c r="B98" s="73"/>
      <c r="C98" s="73"/>
    </row>
    <row r="99" spans="1:12" x14ac:dyDescent="0.2">
      <c r="A99" s="78">
        <v>190</v>
      </c>
      <c r="B99" s="73"/>
      <c r="C99" s="73"/>
    </row>
    <row r="100" spans="1:12" x14ac:dyDescent="0.2">
      <c r="A100" s="78">
        <v>200</v>
      </c>
      <c r="B100" s="73"/>
      <c r="C100" s="73"/>
    </row>
    <row r="101" spans="1:12" x14ac:dyDescent="0.2">
      <c r="A101" s="78">
        <v>220</v>
      </c>
      <c r="B101" s="73"/>
      <c r="C101" s="73"/>
      <c r="E101" s="80"/>
      <c r="F101" s="81"/>
      <c r="G101" s="82"/>
      <c r="H101" s="82"/>
      <c r="I101" s="82"/>
      <c r="J101" s="82"/>
      <c r="K101" s="82"/>
      <c r="L101" s="82"/>
    </row>
    <row r="102" spans="1:12" x14ac:dyDescent="0.2">
      <c r="A102" s="78">
        <v>240</v>
      </c>
      <c r="B102" s="73"/>
      <c r="C102" s="73"/>
      <c r="E102" s="83"/>
      <c r="F102" s="84"/>
      <c r="G102" s="82"/>
      <c r="H102" s="82"/>
      <c r="I102" s="82"/>
      <c r="J102" s="82"/>
      <c r="K102" s="82"/>
      <c r="L102" s="82"/>
    </row>
    <row r="103" spans="1:12" x14ac:dyDescent="0.2">
      <c r="A103" s="78">
        <v>260</v>
      </c>
      <c r="B103" s="73"/>
      <c r="C103" s="73"/>
      <c r="E103" s="58"/>
      <c r="F103" s="58"/>
      <c r="G103" s="58"/>
      <c r="H103" s="58"/>
      <c r="I103" s="58"/>
      <c r="J103" s="58"/>
      <c r="K103" s="58"/>
      <c r="L103" s="58"/>
    </row>
    <row r="104" spans="1:12" x14ac:dyDescent="0.2">
      <c r="A104" s="78">
        <v>280</v>
      </c>
      <c r="B104" s="73"/>
      <c r="C104" s="73"/>
      <c r="E104" s="58"/>
      <c r="F104" s="58"/>
      <c r="G104" s="58"/>
      <c r="H104" s="58"/>
      <c r="I104" s="58"/>
      <c r="J104" s="58"/>
      <c r="K104" s="58"/>
      <c r="L104" s="58"/>
    </row>
    <row r="105" spans="1:12" x14ac:dyDescent="0.2">
      <c r="A105" s="78">
        <v>300</v>
      </c>
      <c r="B105" s="73"/>
      <c r="C105" s="73"/>
      <c r="E105" s="58"/>
      <c r="F105" s="58"/>
      <c r="G105" s="58"/>
      <c r="H105" s="58"/>
      <c r="I105" s="58"/>
      <c r="J105" s="58"/>
      <c r="K105" s="58"/>
      <c r="L105" s="58"/>
    </row>
    <row r="106" spans="1:12" x14ac:dyDescent="0.2">
      <c r="A106" s="78">
        <v>320</v>
      </c>
      <c r="B106" s="73"/>
      <c r="C106" s="73"/>
      <c r="E106" s="58"/>
      <c r="F106" s="58"/>
      <c r="G106" s="58"/>
      <c r="H106" s="58"/>
      <c r="I106" s="58"/>
      <c r="J106" s="58"/>
      <c r="K106" s="58"/>
      <c r="L106" s="58"/>
    </row>
    <row r="107" spans="1:12" x14ac:dyDescent="0.2">
      <c r="A107" s="78">
        <v>340</v>
      </c>
      <c r="B107" s="73"/>
      <c r="C107" s="73"/>
      <c r="E107" s="58"/>
      <c r="F107" s="58"/>
      <c r="G107" s="58"/>
      <c r="H107" s="58"/>
      <c r="I107" s="58"/>
      <c r="J107" s="58"/>
      <c r="K107" s="58"/>
      <c r="L107" s="58"/>
    </row>
    <row r="108" spans="1:12" x14ac:dyDescent="0.2">
      <c r="A108" s="78">
        <v>360</v>
      </c>
      <c r="B108" s="73"/>
      <c r="C108" s="73"/>
      <c r="E108" s="58"/>
      <c r="F108" s="58"/>
      <c r="G108" s="58"/>
      <c r="H108" s="58"/>
      <c r="I108" s="58"/>
      <c r="J108" s="58"/>
      <c r="K108" s="58"/>
      <c r="L108" s="58"/>
    </row>
    <row r="109" spans="1:12" x14ac:dyDescent="0.2">
      <c r="A109" s="78">
        <v>380</v>
      </c>
      <c r="B109" s="73"/>
      <c r="C109" s="73"/>
      <c r="E109" s="58"/>
      <c r="F109" s="58"/>
      <c r="G109" s="58"/>
      <c r="H109" s="58"/>
      <c r="I109" s="58"/>
      <c r="J109" s="58"/>
      <c r="K109" s="58"/>
      <c r="L109" s="58"/>
    </row>
    <row r="110" spans="1:12" x14ac:dyDescent="0.2">
      <c r="A110" s="78">
        <v>400</v>
      </c>
      <c r="B110" s="73"/>
      <c r="C110" s="73"/>
    </row>
    <row r="111" spans="1:12" x14ac:dyDescent="0.2">
      <c r="A111" s="78">
        <v>420</v>
      </c>
      <c r="B111" s="73"/>
      <c r="C111" s="73"/>
    </row>
    <row r="112" spans="1:12" x14ac:dyDescent="0.2">
      <c r="A112" s="78">
        <v>440</v>
      </c>
      <c r="B112" s="73"/>
      <c r="C112" s="73"/>
    </row>
    <row r="113" spans="1:3" x14ac:dyDescent="0.2">
      <c r="A113" s="78">
        <v>460</v>
      </c>
      <c r="B113" s="73"/>
      <c r="C113" s="73"/>
    </row>
    <row r="114" spans="1:3" x14ac:dyDescent="0.2">
      <c r="A114" s="78">
        <v>480</v>
      </c>
      <c r="B114" s="73"/>
      <c r="C114" s="73"/>
    </row>
    <row r="115" spans="1:3" x14ac:dyDescent="0.2">
      <c r="A115" s="78">
        <v>500</v>
      </c>
      <c r="B115" s="73"/>
      <c r="C115" s="73"/>
    </row>
    <row r="116" spans="1:3" x14ac:dyDescent="0.2">
      <c r="A116" s="78">
        <v>520</v>
      </c>
      <c r="B116" s="73"/>
      <c r="C116" s="73"/>
    </row>
    <row r="117" spans="1:3" x14ac:dyDescent="0.2">
      <c r="A117" s="78">
        <v>540</v>
      </c>
      <c r="B117" s="73"/>
      <c r="C117" s="73"/>
    </row>
    <row r="118" spans="1:3" x14ac:dyDescent="0.2">
      <c r="A118" s="78">
        <v>560</v>
      </c>
      <c r="B118" s="73"/>
      <c r="C118" s="73"/>
    </row>
    <row r="119" spans="1:3" x14ac:dyDescent="0.2">
      <c r="A119" s="78">
        <v>580</v>
      </c>
      <c r="B119" s="73"/>
      <c r="C119" s="73"/>
    </row>
    <row r="120" spans="1:3" x14ac:dyDescent="0.2">
      <c r="A120" s="78">
        <v>600</v>
      </c>
      <c r="B120" s="73"/>
      <c r="C120" s="73"/>
    </row>
    <row r="121" spans="1:3" x14ac:dyDescent="0.2">
      <c r="A121" s="78">
        <v>620</v>
      </c>
      <c r="B121" s="73"/>
      <c r="C121" s="73"/>
    </row>
    <row r="122" spans="1:3" x14ac:dyDescent="0.2">
      <c r="A122" s="78">
        <v>640</v>
      </c>
      <c r="B122" s="73"/>
      <c r="C122" s="73"/>
    </row>
    <row r="123" spans="1:3" x14ac:dyDescent="0.2">
      <c r="A123" s="78">
        <v>660</v>
      </c>
      <c r="B123" s="73"/>
      <c r="C123" s="73"/>
    </row>
    <row r="124" spans="1:3" x14ac:dyDescent="0.2">
      <c r="A124" s="78">
        <v>680</v>
      </c>
      <c r="B124" s="73"/>
      <c r="C124" s="73"/>
    </row>
    <row r="125" spans="1:3" x14ac:dyDescent="0.2">
      <c r="A125" s="78">
        <v>700</v>
      </c>
      <c r="B125" s="73"/>
      <c r="C125" s="73"/>
    </row>
    <row r="126" spans="1:3" x14ac:dyDescent="0.2">
      <c r="A126" s="78">
        <v>720</v>
      </c>
      <c r="B126" s="73"/>
      <c r="C126" s="73"/>
    </row>
    <row r="127" spans="1:3" x14ac:dyDescent="0.2">
      <c r="A127" s="78">
        <v>740</v>
      </c>
      <c r="B127" s="73"/>
      <c r="C127" s="73"/>
    </row>
    <row r="128" spans="1:3" x14ac:dyDescent="0.2">
      <c r="A128" s="78">
        <v>760</v>
      </c>
      <c r="B128" s="73"/>
      <c r="C128" s="73"/>
    </row>
    <row r="129" spans="1:3" x14ac:dyDescent="0.2">
      <c r="A129" s="78">
        <v>780</v>
      </c>
      <c r="B129" s="73"/>
      <c r="C129" s="73"/>
    </row>
    <row r="130" spans="1:3" x14ac:dyDescent="0.2">
      <c r="A130" s="78">
        <v>800</v>
      </c>
      <c r="B130" s="73"/>
      <c r="C130" s="73"/>
    </row>
    <row r="131" spans="1:3" x14ac:dyDescent="0.2">
      <c r="A131" s="78">
        <v>820</v>
      </c>
      <c r="B131" s="73"/>
      <c r="C131" s="73"/>
    </row>
    <row r="132" spans="1:3" x14ac:dyDescent="0.2">
      <c r="A132" s="78">
        <v>840</v>
      </c>
      <c r="B132" s="73"/>
      <c r="C132" s="73"/>
    </row>
    <row r="133" spans="1:3" x14ac:dyDescent="0.2">
      <c r="A133" s="78">
        <v>860</v>
      </c>
      <c r="B133" s="73"/>
      <c r="C133" s="73"/>
    </row>
    <row r="134" spans="1:3" x14ac:dyDescent="0.2">
      <c r="A134" s="78">
        <v>880</v>
      </c>
      <c r="B134" s="73"/>
      <c r="C134" s="73"/>
    </row>
    <row r="135" spans="1:3" x14ac:dyDescent="0.2">
      <c r="A135" s="78">
        <v>900</v>
      </c>
      <c r="B135" s="73"/>
      <c r="C135" s="73"/>
    </row>
    <row r="136" spans="1:3" x14ac:dyDescent="0.2">
      <c r="A136" s="78">
        <v>950</v>
      </c>
      <c r="B136" s="73"/>
      <c r="C136" s="73"/>
    </row>
    <row r="137" spans="1:3" x14ac:dyDescent="0.2">
      <c r="A137" s="78">
        <v>1000</v>
      </c>
      <c r="B137" s="73"/>
      <c r="C137" s="73"/>
    </row>
    <row r="139" spans="1:3" x14ac:dyDescent="0.2">
      <c r="A139" s="53" t="s">
        <v>59</v>
      </c>
      <c r="C139" s="73"/>
    </row>
    <row r="140" spans="1:3" x14ac:dyDescent="0.2">
      <c r="A140" s="54" t="s">
        <v>22</v>
      </c>
      <c r="B140" s="55" t="s">
        <v>24</v>
      </c>
      <c r="C140" s="54" t="s">
        <v>22</v>
      </c>
    </row>
    <row r="141" spans="1:3" x14ac:dyDescent="0.2">
      <c r="A141" s="56" t="s">
        <v>21</v>
      </c>
      <c r="B141" s="56" t="s">
        <v>20</v>
      </c>
      <c r="C141" s="56" t="s">
        <v>19</v>
      </c>
    </row>
    <row r="142" spans="1:3" x14ac:dyDescent="0.2">
      <c r="A142" s="57" t="s">
        <v>18</v>
      </c>
      <c r="B142" s="57" t="s">
        <v>61</v>
      </c>
      <c r="C142" s="57" t="s">
        <v>18</v>
      </c>
    </row>
    <row r="143" spans="1:3" x14ac:dyDescent="0.2">
      <c r="A143" s="78">
        <v>0</v>
      </c>
      <c r="B143" s="73"/>
      <c r="C143" s="73"/>
    </row>
    <row r="144" spans="1:3" x14ac:dyDescent="0.2">
      <c r="A144" s="78">
        <v>10</v>
      </c>
      <c r="B144" s="73"/>
      <c r="C144" s="73"/>
    </row>
    <row r="145" spans="1:3" x14ac:dyDescent="0.2">
      <c r="A145" s="78">
        <v>20</v>
      </c>
      <c r="B145" s="73"/>
      <c r="C145" s="73"/>
    </row>
    <row r="146" spans="1:3" x14ac:dyDescent="0.2">
      <c r="A146" s="78">
        <v>30</v>
      </c>
      <c r="B146" s="73"/>
      <c r="C146" s="73"/>
    </row>
    <row r="147" spans="1:3" x14ac:dyDescent="0.2">
      <c r="A147" s="78">
        <v>40</v>
      </c>
      <c r="B147" s="73"/>
      <c r="C147" s="73"/>
    </row>
    <row r="148" spans="1:3" x14ac:dyDescent="0.2">
      <c r="A148" s="78">
        <v>50</v>
      </c>
      <c r="B148" s="73"/>
      <c r="C148" s="73"/>
    </row>
    <row r="149" spans="1:3" x14ac:dyDescent="0.2">
      <c r="A149" s="78">
        <v>60</v>
      </c>
      <c r="B149" s="73"/>
      <c r="C149" s="73"/>
    </row>
    <row r="150" spans="1:3" x14ac:dyDescent="0.2">
      <c r="A150" s="78">
        <v>70</v>
      </c>
      <c r="B150" s="73"/>
      <c r="C150" s="73"/>
    </row>
    <row r="151" spans="1:3" x14ac:dyDescent="0.2">
      <c r="A151" s="78">
        <v>80</v>
      </c>
      <c r="B151" s="73"/>
      <c r="C151" s="73"/>
    </row>
    <row r="152" spans="1:3" x14ac:dyDescent="0.2">
      <c r="A152" s="78">
        <v>90</v>
      </c>
      <c r="B152" s="73"/>
      <c r="C152" s="73"/>
    </row>
    <row r="153" spans="1:3" x14ac:dyDescent="0.2">
      <c r="A153" s="78">
        <v>100</v>
      </c>
      <c r="B153" s="73"/>
      <c r="C153" s="73"/>
    </row>
    <row r="154" spans="1:3" x14ac:dyDescent="0.2">
      <c r="A154" s="78">
        <v>110</v>
      </c>
      <c r="B154" s="73"/>
      <c r="C154" s="73"/>
    </row>
    <row r="155" spans="1:3" x14ac:dyDescent="0.2">
      <c r="A155" s="78">
        <v>120</v>
      </c>
      <c r="B155" s="73"/>
      <c r="C155" s="73"/>
    </row>
    <row r="156" spans="1:3" x14ac:dyDescent="0.2">
      <c r="A156" s="78">
        <v>130</v>
      </c>
      <c r="B156" s="73"/>
      <c r="C156" s="73"/>
    </row>
    <row r="157" spans="1:3" x14ac:dyDescent="0.2">
      <c r="A157" s="78">
        <v>140</v>
      </c>
      <c r="B157" s="73"/>
      <c r="C157" s="73"/>
    </row>
    <row r="158" spans="1:3" x14ac:dyDescent="0.2">
      <c r="A158" s="78">
        <v>150</v>
      </c>
      <c r="B158" s="73"/>
      <c r="C158" s="73"/>
    </row>
    <row r="159" spans="1:3" x14ac:dyDescent="0.2">
      <c r="A159" s="78">
        <v>160</v>
      </c>
      <c r="B159" s="73"/>
      <c r="C159" s="73"/>
    </row>
    <row r="160" spans="1:3" x14ac:dyDescent="0.2">
      <c r="A160" s="78">
        <v>170</v>
      </c>
      <c r="B160" s="73"/>
      <c r="C160" s="73"/>
    </row>
    <row r="161" spans="1:3" x14ac:dyDescent="0.2">
      <c r="A161" s="78">
        <v>180</v>
      </c>
      <c r="B161" s="73"/>
      <c r="C161" s="73"/>
    </row>
    <row r="162" spans="1:3" x14ac:dyDescent="0.2">
      <c r="A162" s="78">
        <v>190</v>
      </c>
      <c r="B162" s="73"/>
      <c r="C162" s="73"/>
    </row>
    <row r="163" spans="1:3" x14ac:dyDescent="0.2">
      <c r="A163" s="78">
        <v>200</v>
      </c>
      <c r="B163" s="73"/>
      <c r="C163" s="73"/>
    </row>
    <row r="164" spans="1:3" x14ac:dyDescent="0.2">
      <c r="A164" s="78">
        <v>220</v>
      </c>
      <c r="B164" s="73"/>
      <c r="C164" s="73"/>
    </row>
    <row r="165" spans="1:3" x14ac:dyDescent="0.2">
      <c r="A165" s="78">
        <v>240</v>
      </c>
      <c r="B165" s="73"/>
      <c r="C165" s="73"/>
    </row>
    <row r="166" spans="1:3" x14ac:dyDescent="0.2">
      <c r="A166" s="78">
        <v>260</v>
      </c>
      <c r="B166" s="73"/>
      <c r="C166" s="73"/>
    </row>
    <row r="167" spans="1:3" x14ac:dyDescent="0.2">
      <c r="A167" s="78">
        <v>280</v>
      </c>
      <c r="B167" s="73"/>
      <c r="C167" s="73"/>
    </row>
    <row r="168" spans="1:3" x14ac:dyDescent="0.2">
      <c r="A168" s="78">
        <v>300</v>
      </c>
      <c r="B168" s="73"/>
      <c r="C168" s="73"/>
    </row>
    <row r="169" spans="1:3" x14ac:dyDescent="0.2">
      <c r="A169" s="78">
        <v>320</v>
      </c>
      <c r="B169" s="73"/>
      <c r="C169" s="73"/>
    </row>
    <row r="170" spans="1:3" x14ac:dyDescent="0.2">
      <c r="A170" s="78">
        <v>340</v>
      </c>
      <c r="B170" s="73"/>
      <c r="C170" s="73"/>
    </row>
    <row r="171" spans="1:3" x14ac:dyDescent="0.2">
      <c r="A171" s="78">
        <v>360</v>
      </c>
      <c r="B171" s="73"/>
      <c r="C171" s="73"/>
    </row>
    <row r="172" spans="1:3" x14ac:dyDescent="0.2">
      <c r="A172" s="78">
        <v>380</v>
      </c>
      <c r="B172" s="73"/>
      <c r="C172" s="73"/>
    </row>
    <row r="173" spans="1:3" x14ac:dyDescent="0.2">
      <c r="A173" s="78">
        <v>400</v>
      </c>
      <c r="B173" s="73"/>
      <c r="C173" s="73"/>
    </row>
    <row r="174" spans="1:3" x14ac:dyDescent="0.2">
      <c r="A174" s="78">
        <v>420</v>
      </c>
      <c r="B174" s="73"/>
      <c r="C174" s="73"/>
    </row>
    <row r="175" spans="1:3" x14ac:dyDescent="0.2">
      <c r="A175" s="78">
        <v>440</v>
      </c>
      <c r="B175" s="73"/>
      <c r="C175" s="73"/>
    </row>
    <row r="176" spans="1:3" x14ac:dyDescent="0.2">
      <c r="A176" s="78">
        <v>460</v>
      </c>
      <c r="B176" s="73"/>
      <c r="C176" s="73"/>
    </row>
    <row r="177" spans="1:3" x14ac:dyDescent="0.2">
      <c r="A177" s="78">
        <v>480</v>
      </c>
      <c r="B177" s="73"/>
      <c r="C177" s="73"/>
    </row>
    <row r="178" spans="1:3" x14ac:dyDescent="0.2">
      <c r="A178" s="78">
        <v>500</v>
      </c>
      <c r="B178" s="73"/>
      <c r="C178" s="73"/>
    </row>
    <row r="179" spans="1:3" x14ac:dyDescent="0.2">
      <c r="A179" s="78">
        <v>520</v>
      </c>
      <c r="B179" s="73"/>
      <c r="C179" s="73"/>
    </row>
    <row r="180" spans="1:3" x14ac:dyDescent="0.2">
      <c r="A180" s="78">
        <v>540</v>
      </c>
      <c r="B180" s="73"/>
      <c r="C180" s="73"/>
    </row>
    <row r="181" spans="1:3" x14ac:dyDescent="0.2">
      <c r="A181" s="78">
        <v>560</v>
      </c>
      <c r="B181" s="73"/>
      <c r="C181" s="73"/>
    </row>
    <row r="182" spans="1:3" x14ac:dyDescent="0.2">
      <c r="A182" s="78">
        <v>580</v>
      </c>
      <c r="B182" s="73"/>
      <c r="C182" s="73"/>
    </row>
    <row r="183" spans="1:3" x14ac:dyDescent="0.2">
      <c r="A183" s="78">
        <v>600</v>
      </c>
      <c r="B183" s="73"/>
      <c r="C183" s="73"/>
    </row>
    <row r="184" spans="1:3" x14ac:dyDescent="0.2">
      <c r="A184" s="78">
        <v>620</v>
      </c>
      <c r="B184" s="73"/>
      <c r="C184" s="73"/>
    </row>
    <row r="185" spans="1:3" x14ac:dyDescent="0.2">
      <c r="A185" s="78">
        <v>640</v>
      </c>
      <c r="B185" s="73"/>
      <c r="C185" s="73"/>
    </row>
    <row r="186" spans="1:3" x14ac:dyDescent="0.2">
      <c r="A186" s="78">
        <v>660</v>
      </c>
      <c r="B186" s="73"/>
      <c r="C186" s="73"/>
    </row>
    <row r="187" spans="1:3" x14ac:dyDescent="0.2">
      <c r="A187" s="78">
        <v>680</v>
      </c>
      <c r="B187" s="73"/>
      <c r="C187" s="73"/>
    </row>
    <row r="188" spans="1:3" x14ac:dyDescent="0.2">
      <c r="A188" s="78">
        <v>700</v>
      </c>
      <c r="B188" s="73"/>
      <c r="C188" s="73"/>
    </row>
    <row r="189" spans="1:3" x14ac:dyDescent="0.2">
      <c r="A189" s="78">
        <v>720</v>
      </c>
      <c r="B189" s="73"/>
      <c r="C189" s="73"/>
    </row>
    <row r="190" spans="1:3" x14ac:dyDescent="0.2">
      <c r="A190" s="78">
        <v>740</v>
      </c>
      <c r="B190" s="73"/>
      <c r="C190" s="73"/>
    </row>
    <row r="191" spans="1:3" x14ac:dyDescent="0.2">
      <c r="A191" s="78">
        <v>760</v>
      </c>
      <c r="B191" s="73"/>
      <c r="C191" s="73"/>
    </row>
    <row r="192" spans="1:3" x14ac:dyDescent="0.2">
      <c r="A192" s="78">
        <v>780</v>
      </c>
      <c r="B192" s="73"/>
      <c r="C192" s="73"/>
    </row>
    <row r="193" spans="1:3" x14ac:dyDescent="0.2">
      <c r="A193" s="78">
        <v>800</v>
      </c>
      <c r="B193" s="73"/>
      <c r="C193" s="73"/>
    </row>
    <row r="194" spans="1:3" x14ac:dyDescent="0.2">
      <c r="A194" s="78">
        <v>820</v>
      </c>
      <c r="B194" s="73"/>
      <c r="C194" s="73"/>
    </row>
    <row r="195" spans="1:3" x14ac:dyDescent="0.2">
      <c r="A195" s="78">
        <v>840</v>
      </c>
      <c r="B195" s="73"/>
      <c r="C195" s="73"/>
    </row>
    <row r="196" spans="1:3" x14ac:dyDescent="0.2">
      <c r="A196" s="78">
        <v>860</v>
      </c>
      <c r="B196" s="73"/>
      <c r="C196" s="73"/>
    </row>
    <row r="197" spans="1:3" x14ac:dyDescent="0.2">
      <c r="A197" s="78">
        <v>880</v>
      </c>
      <c r="B197" s="73"/>
      <c r="C197" s="73"/>
    </row>
    <row r="198" spans="1:3" x14ac:dyDescent="0.2">
      <c r="A198" s="78">
        <v>900</v>
      </c>
      <c r="B198" s="73"/>
      <c r="C198" s="73"/>
    </row>
    <row r="199" spans="1:3" x14ac:dyDescent="0.2">
      <c r="A199" s="78">
        <v>950</v>
      </c>
      <c r="B199" s="73"/>
      <c r="C199" s="73"/>
    </row>
    <row r="200" spans="1:3" x14ac:dyDescent="0.2">
      <c r="A200" s="78">
        <v>1000</v>
      </c>
      <c r="B200" s="73"/>
      <c r="C200" s="73"/>
    </row>
    <row r="254" spans="4:4" x14ac:dyDescent="0.2">
      <c r="D254" s="79"/>
    </row>
    <row r="255" spans="4:4" x14ac:dyDescent="0.2">
      <c r="D255" s="79"/>
    </row>
  </sheetData>
  <sheetProtection formatCells="0" formatColumns="0" formatRows="0"/>
  <mergeCells count="3">
    <mergeCell ref="N1:U1"/>
    <mergeCell ref="E1:M1"/>
    <mergeCell ref="V2:AI2"/>
  </mergeCells>
  <conditionalFormatting sqref="B5">
    <cfRule type="cellIs" dxfId="35" priority="9" operator="greaterThan">
      <formula>0</formula>
    </cfRule>
  </conditionalFormatting>
  <conditionalFormatting sqref="B6 B8:B11">
    <cfRule type="cellIs" dxfId="34" priority="8" operator="greaterThan">
      <formula>0</formula>
    </cfRule>
  </conditionalFormatting>
  <conditionalFormatting sqref="C13">
    <cfRule type="cellIs" dxfId="33" priority="7" operator="greaterThan">
      <formula>0</formula>
    </cfRule>
  </conditionalFormatting>
  <conditionalFormatting sqref="B17:C74">
    <cfRule type="cellIs" dxfId="32" priority="6" operator="greaterThan">
      <formula>0</formula>
    </cfRule>
  </conditionalFormatting>
  <conditionalFormatting sqref="C76">
    <cfRule type="cellIs" dxfId="31" priority="5" operator="greaterThan">
      <formula>0</formula>
    </cfRule>
  </conditionalFormatting>
  <conditionalFormatting sqref="B80:C137">
    <cfRule type="cellIs" dxfId="30" priority="4" operator="greaterThan">
      <formula>0</formula>
    </cfRule>
  </conditionalFormatting>
  <conditionalFormatting sqref="C139">
    <cfRule type="cellIs" dxfId="29" priority="3" operator="greaterThan">
      <formula>0</formula>
    </cfRule>
  </conditionalFormatting>
  <conditionalFormatting sqref="B143:C200">
    <cfRule type="cellIs" dxfId="28" priority="2" operator="greaterThan">
      <formula>0</formula>
    </cfRule>
  </conditionalFormatting>
  <conditionalFormatting sqref="B7">
    <cfRule type="cellIs" dxfId="27" priority="1" operator="greaterThan">
      <formula>0</formula>
    </cfRule>
  </conditionalFormatting>
  <printOptions horizontalCentered="1" verticalCentered="1"/>
  <pageMargins left="0.75" right="0.75" top="1" bottom="1" header="0" footer="0"/>
  <pageSetup paperSize="9" orientation="landscape" horizontalDpi="300" verticalDpi="300" r:id="rId1"/>
  <headerFooter alignWithMargins="0"/>
  <ignoredErrors>
    <ignoredError sqref="N1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AS277"/>
  <sheetViews>
    <sheetView topLeftCell="K31" zoomScaleNormal="100" workbookViewId="0">
      <selection activeCell="U33" sqref="U33"/>
    </sheetView>
  </sheetViews>
  <sheetFormatPr baseColWidth="10" defaultRowHeight="12" x14ac:dyDescent="0.2"/>
  <cols>
    <col min="1" max="1" width="10.25" style="53" customWidth="1"/>
    <col min="2" max="3" width="10.875" style="53" customWidth="1"/>
    <col min="4" max="4" width="11" style="53"/>
    <col min="5" max="5" width="15.875" style="53" customWidth="1"/>
    <col min="6" max="7" width="11.5" style="53" customWidth="1"/>
    <col min="8" max="8" width="4.75" style="53" customWidth="1"/>
    <col min="9" max="13" width="11.5" style="53" customWidth="1"/>
    <col min="14" max="21" width="11" style="53"/>
    <col min="22" max="22" width="8.125" style="53" customWidth="1"/>
    <col min="23" max="23" width="3.375" style="53" customWidth="1"/>
    <col min="24" max="26" width="11" style="58"/>
    <col min="27" max="27" width="10.125" style="58" customWidth="1"/>
    <col min="28" max="28" width="11" style="58"/>
    <col min="29" max="29" width="2.5" style="58" customWidth="1"/>
    <col min="30" max="33" width="11" style="58"/>
    <col min="34" max="34" width="3" style="63" customWidth="1"/>
    <col min="35" max="35" width="6.375" style="63" customWidth="1"/>
    <col min="36" max="36" width="11" style="63"/>
    <col min="37" max="37" width="1" style="63" customWidth="1"/>
    <col min="38" max="16384" width="11" style="53"/>
  </cols>
  <sheetData>
    <row r="1" spans="1:45" x14ac:dyDescent="0.2">
      <c r="A1" s="59" t="s">
        <v>56</v>
      </c>
      <c r="B1" s="60"/>
      <c r="C1" s="61"/>
      <c r="E1" s="97" t="s">
        <v>54</v>
      </c>
      <c r="F1" s="97"/>
      <c r="G1" s="97"/>
      <c r="H1" s="97"/>
      <c r="I1" s="97"/>
      <c r="J1" s="97"/>
      <c r="K1" s="97"/>
      <c r="L1" s="97"/>
      <c r="M1" s="97"/>
      <c r="N1" s="95" t="str">
        <f>+E1</f>
        <v>ENSAYO DE CORTE DIRECTO PARA DISCONTINUIDADES ARTIFICIALES EN ROCAS</v>
      </c>
      <c r="O1" s="95"/>
      <c r="P1" s="95"/>
      <c r="Q1" s="95"/>
      <c r="R1" s="95"/>
      <c r="S1" s="95"/>
      <c r="T1" s="95"/>
      <c r="U1" s="95"/>
      <c r="X1" s="62"/>
      <c r="Y1" s="62"/>
      <c r="Z1" s="62"/>
      <c r="AA1" s="62"/>
      <c r="AB1" s="62"/>
      <c r="AC1" s="62"/>
      <c r="AD1" s="62"/>
      <c r="AE1" s="62"/>
      <c r="AF1" s="62"/>
      <c r="AG1" s="62"/>
    </row>
    <row r="2" spans="1:45" ht="12.75" customHeight="1" x14ac:dyDescent="0.2">
      <c r="A2" s="64" t="s">
        <v>53</v>
      </c>
      <c r="B2" s="65"/>
      <c r="C2" s="66"/>
      <c r="E2" s="16"/>
      <c r="F2" s="16"/>
      <c r="G2" s="16"/>
      <c r="H2" s="16"/>
      <c r="I2" s="16"/>
      <c r="J2" s="16"/>
      <c r="K2" s="16"/>
      <c r="L2" s="16"/>
      <c r="M2" s="16"/>
      <c r="V2" s="98" t="s">
        <v>52</v>
      </c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1:45" x14ac:dyDescent="0.2">
      <c r="A3" s="67" t="s">
        <v>51</v>
      </c>
      <c r="B3" s="68"/>
      <c r="C3" s="69"/>
      <c r="E3" s="12" t="s">
        <v>0</v>
      </c>
      <c r="F3" s="17" t="str">
        <f>B5</f>
        <v>C1BH-L12-L10-3+780-D</v>
      </c>
      <c r="G3" s="18"/>
      <c r="H3" s="18"/>
      <c r="I3" s="18"/>
      <c r="J3" s="18"/>
      <c r="K3" s="18"/>
      <c r="L3" s="19"/>
      <c r="M3" s="16"/>
    </row>
    <row r="4" spans="1:45" x14ac:dyDescent="0.2">
      <c r="E4" s="11" t="s">
        <v>39</v>
      </c>
      <c r="F4" s="20" t="str">
        <f>+'Ingreso Datos'!C3</f>
        <v>1.914.650-G</v>
      </c>
      <c r="G4" s="21"/>
      <c r="H4" s="21"/>
      <c r="I4" s="21"/>
      <c r="J4" s="21"/>
      <c r="K4" s="21"/>
      <c r="L4" s="22"/>
      <c r="M4" s="16"/>
      <c r="AK4" s="70" t="str">
        <f>+CONCATENATE(A5,"  ",":","  ",B5)</f>
        <v>PROYECTO  :  C1BH-L12-L10-3+780-D</v>
      </c>
      <c r="AL4" s="71"/>
      <c r="AM4" s="71"/>
      <c r="AN4" s="71"/>
      <c r="AO4" s="71"/>
      <c r="AP4" s="71"/>
      <c r="AQ4" s="71"/>
      <c r="AR4" s="71"/>
      <c r="AS4" s="71"/>
    </row>
    <row r="5" spans="1:45" x14ac:dyDescent="0.2">
      <c r="A5" s="53" t="s">
        <v>10</v>
      </c>
      <c r="B5" s="72" t="str">
        <f>+'Ingreso Datos'!C2</f>
        <v>C1BH-L12-L10-3+780-D</v>
      </c>
      <c r="E5" s="11" t="s">
        <v>1</v>
      </c>
      <c r="F5" s="20" t="str">
        <f>+'Ingreso Datos'!C4</f>
        <v>-</v>
      </c>
      <c r="G5" s="21"/>
      <c r="H5" s="21"/>
      <c r="I5" s="21"/>
      <c r="J5" s="21"/>
      <c r="K5" s="21"/>
      <c r="L5" s="22"/>
      <c r="M5" s="16"/>
      <c r="AK5" s="70" t="str">
        <f>+CONCATENATE(A7,"  ",":","  ",B7)</f>
        <v xml:space="preserve">MUESTRA  :  C1BH-L12-L10-3+780-D (23,40-23,50) 	</v>
      </c>
      <c r="AL5" s="71"/>
      <c r="AM5" s="71"/>
      <c r="AN5" s="71"/>
      <c r="AO5" s="71"/>
      <c r="AP5" s="71"/>
      <c r="AQ5" s="71"/>
      <c r="AR5" s="71"/>
      <c r="AS5" s="71"/>
    </row>
    <row r="6" spans="1:45" x14ac:dyDescent="0.2">
      <c r="A6" s="53" t="s">
        <v>50</v>
      </c>
      <c r="B6" s="91">
        <v>45447</v>
      </c>
      <c r="E6" s="23" t="s">
        <v>38</v>
      </c>
      <c r="F6" s="99">
        <f>+B6</f>
        <v>45447</v>
      </c>
      <c r="G6" s="24"/>
      <c r="H6" s="24"/>
      <c r="I6" s="24"/>
      <c r="J6" s="24"/>
      <c r="K6" s="24"/>
      <c r="L6" s="25"/>
      <c r="M6" s="16"/>
    </row>
    <row r="7" spans="1:45" x14ac:dyDescent="0.2">
      <c r="A7" s="53" t="s">
        <v>11</v>
      </c>
      <c r="B7" s="73" t="s">
        <v>63</v>
      </c>
      <c r="C7" s="74"/>
      <c r="E7" s="23" t="s">
        <v>37</v>
      </c>
      <c r="F7" s="99">
        <f>B6</f>
        <v>45447</v>
      </c>
      <c r="G7" s="24"/>
      <c r="H7" s="24"/>
      <c r="I7" s="24"/>
      <c r="J7" s="24"/>
      <c r="K7" s="24"/>
      <c r="L7" s="25"/>
      <c r="M7" s="16"/>
      <c r="W7" s="58"/>
      <c r="AH7" s="75"/>
    </row>
    <row r="8" spans="1:45" x14ac:dyDescent="0.2">
      <c r="A8" s="53" t="s">
        <v>17</v>
      </c>
      <c r="B8" s="73" t="s">
        <v>64</v>
      </c>
      <c r="C8" s="74"/>
      <c r="E8" s="26"/>
      <c r="F8" s="27"/>
      <c r="G8" s="26"/>
      <c r="H8" s="16"/>
      <c r="I8" s="16"/>
      <c r="J8" s="16"/>
      <c r="K8" s="16"/>
      <c r="L8" s="16"/>
      <c r="M8" s="16"/>
      <c r="W8" s="58"/>
      <c r="AH8" s="75"/>
    </row>
    <row r="9" spans="1:45" x14ac:dyDescent="0.2">
      <c r="A9" s="53" t="s">
        <v>16</v>
      </c>
      <c r="B9" s="73" t="s">
        <v>72</v>
      </c>
      <c r="C9" s="76"/>
      <c r="E9" s="23" t="s">
        <v>36</v>
      </c>
      <c r="F9" s="15" t="str">
        <f>B$7</f>
        <v xml:space="preserve">C1BH-L12-L10-3+780-D (23,40-23,50) 	</v>
      </c>
      <c r="G9" s="21"/>
      <c r="H9" s="21"/>
      <c r="I9" s="21"/>
      <c r="J9" s="21"/>
      <c r="K9" s="21"/>
      <c r="L9" s="22"/>
      <c r="M9" s="16"/>
      <c r="W9" s="58"/>
      <c r="AH9" s="75"/>
    </row>
    <row r="10" spans="1:45" x14ac:dyDescent="0.2">
      <c r="A10" s="77" t="s">
        <v>15</v>
      </c>
      <c r="B10" s="73" t="s">
        <v>68</v>
      </c>
      <c r="E10" s="10" t="s">
        <v>3</v>
      </c>
      <c r="F10" s="15" t="str">
        <f>B8</f>
        <v>Toba Lítica</v>
      </c>
      <c r="G10" s="21"/>
      <c r="H10" s="28"/>
      <c r="I10" s="28"/>
      <c r="J10" s="28"/>
      <c r="K10" s="28"/>
      <c r="L10" s="29"/>
      <c r="M10" s="16"/>
      <c r="W10" s="58"/>
      <c r="AH10" s="75"/>
    </row>
    <row r="11" spans="1:45" x14ac:dyDescent="0.2">
      <c r="A11" s="53" t="s">
        <v>49</v>
      </c>
      <c r="B11" s="73">
        <v>32.909999999999997</v>
      </c>
      <c r="C11" s="53" t="s">
        <v>58</v>
      </c>
      <c r="E11" s="30" t="s">
        <v>4</v>
      </c>
      <c r="F11" s="15" t="str">
        <f>B9</f>
        <v>Óxidos de hierro y zeolitas</v>
      </c>
      <c r="G11" s="21"/>
      <c r="H11" s="28"/>
      <c r="I11" s="28"/>
      <c r="J11" s="28"/>
      <c r="K11" s="28"/>
      <c r="L11" s="29"/>
      <c r="M11" s="16"/>
      <c r="W11" s="58"/>
      <c r="AH11" s="75"/>
    </row>
    <row r="12" spans="1:45" x14ac:dyDescent="0.2">
      <c r="E12" s="30" t="s">
        <v>5</v>
      </c>
      <c r="F12" s="15" t="str">
        <f>B10</f>
        <v>Oxidación y zeolitización</v>
      </c>
      <c r="G12" s="21"/>
      <c r="H12" s="28"/>
      <c r="I12" s="28"/>
      <c r="J12" s="28"/>
      <c r="K12" s="28"/>
      <c r="L12" s="29"/>
      <c r="M12" s="16"/>
      <c r="W12" s="58"/>
      <c r="AH12" s="75"/>
    </row>
    <row r="13" spans="1:45" x14ac:dyDescent="0.2">
      <c r="A13" s="53" t="s">
        <v>59</v>
      </c>
      <c r="C13" s="73">
        <v>8.66</v>
      </c>
      <c r="E13" s="26"/>
      <c r="F13" s="26"/>
      <c r="G13" s="26"/>
      <c r="H13" s="16"/>
      <c r="I13" s="16"/>
      <c r="J13" s="16"/>
      <c r="K13" s="16"/>
      <c r="L13" s="16"/>
      <c r="M13" s="16"/>
      <c r="W13" s="58"/>
      <c r="AH13" s="75"/>
    </row>
    <row r="14" spans="1:45" x14ac:dyDescent="0.2">
      <c r="A14" s="54" t="s">
        <v>22</v>
      </c>
      <c r="B14" s="55" t="s">
        <v>24</v>
      </c>
      <c r="C14" s="54" t="s">
        <v>22</v>
      </c>
      <c r="E14" s="31" t="s">
        <v>48</v>
      </c>
      <c r="F14" s="26"/>
      <c r="G14" s="26"/>
      <c r="H14" s="16"/>
      <c r="I14" s="16"/>
      <c r="J14" s="16"/>
      <c r="K14" s="16"/>
      <c r="L14" s="16"/>
      <c r="M14" s="16"/>
      <c r="W14" s="58"/>
      <c r="AH14" s="75"/>
    </row>
    <row r="15" spans="1:45" x14ac:dyDescent="0.2">
      <c r="A15" s="56" t="s">
        <v>21</v>
      </c>
      <c r="B15" s="56" t="s">
        <v>20</v>
      </c>
      <c r="C15" s="56" t="s">
        <v>19</v>
      </c>
      <c r="E15" s="32" t="s">
        <v>34</v>
      </c>
      <c r="F15" s="33" t="s">
        <v>27</v>
      </c>
      <c r="G15" s="34">
        <f>B11</f>
        <v>32.909999999999997</v>
      </c>
      <c r="H15" s="16"/>
      <c r="I15" s="35"/>
      <c r="J15" s="16"/>
      <c r="K15" s="16"/>
      <c r="L15" s="16"/>
      <c r="M15" s="16"/>
      <c r="W15" s="58"/>
      <c r="AH15" s="75"/>
    </row>
    <row r="16" spans="1:45" x14ac:dyDescent="0.2">
      <c r="A16" s="57" t="s">
        <v>18</v>
      </c>
      <c r="B16" s="57" t="s">
        <v>61</v>
      </c>
      <c r="C16" s="57" t="s">
        <v>18</v>
      </c>
      <c r="E16" s="36" t="s">
        <v>33</v>
      </c>
      <c r="F16" s="37" t="s">
        <v>14</v>
      </c>
      <c r="G16" s="38">
        <f>G17/G15</f>
        <v>30.592204922985655</v>
      </c>
      <c r="H16" s="39" t="s">
        <v>14</v>
      </c>
      <c r="I16" s="16"/>
      <c r="J16" s="16"/>
      <c r="K16" s="16"/>
      <c r="L16" s="16"/>
      <c r="M16" s="16"/>
      <c r="W16" s="58"/>
      <c r="AH16" s="75"/>
    </row>
    <row r="17" spans="1:34" x14ac:dyDescent="0.2">
      <c r="A17" s="78">
        <v>0</v>
      </c>
      <c r="B17" s="73">
        <v>0</v>
      </c>
      <c r="C17" s="73">
        <v>0</v>
      </c>
      <c r="E17" s="32" t="s">
        <v>32</v>
      </c>
      <c r="F17" s="33" t="s">
        <v>31</v>
      </c>
      <c r="G17" s="38">
        <f>+G19*$G$20</f>
        <v>1006.7894640154578</v>
      </c>
      <c r="H17" s="40"/>
      <c r="I17" s="35"/>
      <c r="J17" s="16"/>
      <c r="K17" s="16"/>
      <c r="L17" s="16"/>
      <c r="M17" s="16"/>
      <c r="W17" s="58"/>
      <c r="AH17" s="75"/>
    </row>
    <row r="18" spans="1:34" x14ac:dyDescent="0.2">
      <c r="A18" s="78">
        <v>10</v>
      </c>
      <c r="B18" s="73">
        <v>31</v>
      </c>
      <c r="C18" s="73">
        <v>0</v>
      </c>
      <c r="E18" s="32" t="s">
        <v>30</v>
      </c>
      <c r="F18" s="37" t="s">
        <v>29</v>
      </c>
      <c r="G18" s="38">
        <f>3.81</f>
        <v>3.81</v>
      </c>
      <c r="H18" s="41"/>
      <c r="I18" s="16"/>
      <c r="J18" s="16"/>
      <c r="K18" s="16"/>
      <c r="L18" s="16"/>
      <c r="M18" s="16"/>
      <c r="W18" s="58"/>
      <c r="AH18" s="75"/>
    </row>
    <row r="19" spans="1:34" x14ac:dyDescent="0.2">
      <c r="A19" s="78">
        <v>20</v>
      </c>
      <c r="B19" s="73">
        <v>49</v>
      </c>
      <c r="C19" s="73">
        <v>0</v>
      </c>
      <c r="E19" s="32" t="s">
        <v>28</v>
      </c>
      <c r="F19" s="33" t="s">
        <v>27</v>
      </c>
      <c r="G19" s="38">
        <f>((G18/2)^2)*PI()</f>
        <v>11.400918279693698</v>
      </c>
      <c r="H19" s="40"/>
      <c r="I19" s="16"/>
      <c r="J19" s="16"/>
      <c r="K19" s="16"/>
      <c r="L19" s="16"/>
      <c r="M19" s="16"/>
      <c r="W19" s="58"/>
      <c r="AH19" s="75"/>
    </row>
    <row r="20" spans="1:34" x14ac:dyDescent="0.2">
      <c r="A20" s="78">
        <v>30</v>
      </c>
      <c r="B20" s="73">
        <v>58</v>
      </c>
      <c r="C20" s="73">
        <v>0</v>
      </c>
      <c r="E20" s="32" t="s">
        <v>60</v>
      </c>
      <c r="F20" s="37" t="s">
        <v>14</v>
      </c>
      <c r="G20" s="38">
        <f>+C13*10.1972</f>
        <v>88.307752000000008</v>
      </c>
      <c r="H20" s="40"/>
      <c r="I20" s="35"/>
      <c r="J20" s="16"/>
      <c r="K20" s="16"/>
      <c r="L20" s="16"/>
      <c r="M20" s="16"/>
      <c r="W20" s="58"/>
      <c r="AH20" s="75"/>
    </row>
    <row r="21" spans="1:34" x14ac:dyDescent="0.2">
      <c r="A21" s="78">
        <v>40</v>
      </c>
      <c r="B21" s="73">
        <v>72</v>
      </c>
      <c r="C21" s="73">
        <v>0</v>
      </c>
      <c r="E21" s="26"/>
      <c r="F21" s="26"/>
      <c r="G21" s="26"/>
      <c r="H21" s="16"/>
      <c r="I21" s="16"/>
      <c r="J21" s="16"/>
      <c r="K21" s="16"/>
      <c r="L21" s="16"/>
      <c r="M21" s="16"/>
      <c r="W21" s="58"/>
      <c r="AH21" s="75"/>
    </row>
    <row r="22" spans="1:34" x14ac:dyDescent="0.2">
      <c r="A22" s="78">
        <v>50</v>
      </c>
      <c r="B22" s="73">
        <v>127</v>
      </c>
      <c r="C22" s="73">
        <v>0</v>
      </c>
      <c r="E22" s="42" t="s">
        <v>47</v>
      </c>
      <c r="F22" s="16"/>
      <c r="G22" s="16"/>
      <c r="H22" s="16"/>
      <c r="I22" s="16"/>
      <c r="J22" s="16"/>
      <c r="K22" s="16"/>
      <c r="L22" s="16"/>
      <c r="M22" s="16"/>
      <c r="W22" s="58"/>
      <c r="AH22" s="75"/>
    </row>
    <row r="23" spans="1:34" x14ac:dyDescent="0.2">
      <c r="A23" s="78">
        <v>60</v>
      </c>
      <c r="B23" s="73">
        <v>168</v>
      </c>
      <c r="C23" s="73">
        <v>0</v>
      </c>
      <c r="E23" s="43" t="s">
        <v>22</v>
      </c>
      <c r="F23" s="44" t="s">
        <v>24</v>
      </c>
      <c r="G23" s="43" t="s">
        <v>22</v>
      </c>
      <c r="H23" s="16"/>
      <c r="I23" s="43" t="s">
        <v>22</v>
      </c>
      <c r="J23" s="43" t="s">
        <v>13</v>
      </c>
      <c r="K23" s="43" t="s">
        <v>23</v>
      </c>
      <c r="L23" s="43" t="s">
        <v>22</v>
      </c>
      <c r="M23" s="16"/>
      <c r="W23" s="58"/>
      <c r="AH23" s="75"/>
    </row>
    <row r="24" spans="1:34" x14ac:dyDescent="0.2">
      <c r="A24" s="78">
        <v>70</v>
      </c>
      <c r="B24" s="73">
        <v>292</v>
      </c>
      <c r="C24" s="73">
        <v>0</v>
      </c>
      <c r="E24" s="45" t="s">
        <v>21</v>
      </c>
      <c r="F24" s="45" t="s">
        <v>20</v>
      </c>
      <c r="G24" s="45" t="s">
        <v>19</v>
      </c>
      <c r="H24" s="16"/>
      <c r="I24" s="45" t="s">
        <v>21</v>
      </c>
      <c r="J24" s="45" t="s">
        <v>20</v>
      </c>
      <c r="K24" s="45" t="s">
        <v>20</v>
      </c>
      <c r="L24" s="45" t="s">
        <v>19</v>
      </c>
      <c r="M24" s="16"/>
      <c r="W24" s="58"/>
      <c r="AH24" s="75"/>
    </row>
    <row r="25" spans="1:34" x14ac:dyDescent="0.2">
      <c r="A25" s="78">
        <v>80</v>
      </c>
      <c r="B25" s="73">
        <v>467</v>
      </c>
      <c r="C25" s="73">
        <v>0</v>
      </c>
      <c r="E25" s="46" t="s">
        <v>18</v>
      </c>
      <c r="F25" s="46" t="s">
        <v>61</v>
      </c>
      <c r="G25" s="46" t="s">
        <v>18</v>
      </c>
      <c r="H25" s="16"/>
      <c r="I25" s="46" t="s">
        <v>12</v>
      </c>
      <c r="J25" s="46" t="s">
        <v>31</v>
      </c>
      <c r="K25" s="46" t="s">
        <v>14</v>
      </c>
      <c r="L25" s="46" t="s">
        <v>12</v>
      </c>
      <c r="M25" s="16"/>
      <c r="W25" s="58"/>
      <c r="AH25" s="75"/>
    </row>
    <row r="26" spans="1:34" x14ac:dyDescent="0.2">
      <c r="A26" s="78">
        <v>90</v>
      </c>
      <c r="B26" s="73">
        <v>704</v>
      </c>
      <c r="C26" s="73">
        <v>-2</v>
      </c>
      <c r="E26" s="47">
        <v>0</v>
      </c>
      <c r="F26" s="47">
        <f t="shared" ref="F26:G57" si="0">B17</f>
        <v>0</v>
      </c>
      <c r="G26" s="47">
        <f t="shared" si="0"/>
        <v>0</v>
      </c>
      <c r="H26" s="48"/>
      <c r="I26" s="47">
        <f t="shared" ref="I26:I83" si="1">+E26*0.01</f>
        <v>0</v>
      </c>
      <c r="J26" s="47">
        <f>+IF(AND(F26&gt;=0,F26&lt;=500),1.22*F26+4.18,IF(AND(F26&gt;500,F26&lt;=4500),1.16*F26+24.01,"Error"))</f>
        <v>4.18</v>
      </c>
      <c r="K26" s="47">
        <f t="shared" ref="K26:K83" si="2">+J26/$G$15</f>
        <v>0.12701306593740505</v>
      </c>
      <c r="L26" s="47">
        <f t="shared" ref="L26:L83" si="3">+G26*0.01</f>
        <v>0</v>
      </c>
      <c r="M26" s="16"/>
      <c r="W26" s="58"/>
      <c r="AH26" s="75"/>
    </row>
    <row r="27" spans="1:34" x14ac:dyDescent="0.2">
      <c r="A27" s="78">
        <v>100</v>
      </c>
      <c r="B27" s="73">
        <v>928</v>
      </c>
      <c r="C27" s="73">
        <v>-7</v>
      </c>
      <c r="E27" s="47">
        <v>10</v>
      </c>
      <c r="F27" s="47">
        <f t="shared" si="0"/>
        <v>31</v>
      </c>
      <c r="G27" s="47">
        <f t="shared" si="0"/>
        <v>0</v>
      </c>
      <c r="H27" s="26"/>
      <c r="I27" s="47">
        <f t="shared" si="1"/>
        <v>0.1</v>
      </c>
      <c r="J27" s="47">
        <f t="shared" ref="J27:J83" si="4">+IF(AND(F27&gt;=0,F27&lt;=500),1.22*F27+4.18,IF(AND(F27&gt;500,F27&lt;=4500),1.16*F27+24.01,"Error"))</f>
        <v>42</v>
      </c>
      <c r="K27" s="47">
        <f t="shared" si="2"/>
        <v>1.2762078395624432</v>
      </c>
      <c r="L27" s="47">
        <f t="shared" si="3"/>
        <v>0</v>
      </c>
      <c r="M27" s="16"/>
      <c r="W27" s="58"/>
      <c r="AH27" s="75"/>
    </row>
    <row r="28" spans="1:34" x14ac:dyDescent="0.2">
      <c r="A28" s="78">
        <v>110</v>
      </c>
      <c r="B28" s="73">
        <v>1125</v>
      </c>
      <c r="C28" s="73">
        <v>-11</v>
      </c>
      <c r="E28" s="47">
        <v>20</v>
      </c>
      <c r="F28" s="47">
        <f t="shared" si="0"/>
        <v>49</v>
      </c>
      <c r="G28" s="47">
        <f t="shared" si="0"/>
        <v>0</v>
      </c>
      <c r="H28" s="26"/>
      <c r="I28" s="47">
        <f t="shared" si="1"/>
        <v>0.2</v>
      </c>
      <c r="J28" s="47">
        <f t="shared" si="4"/>
        <v>63.96</v>
      </c>
      <c r="K28" s="47">
        <f t="shared" si="2"/>
        <v>1.9434822242479493</v>
      </c>
      <c r="L28" s="47">
        <f t="shared" si="3"/>
        <v>0</v>
      </c>
      <c r="M28" s="16"/>
      <c r="W28" s="58"/>
      <c r="AH28" s="75"/>
    </row>
    <row r="29" spans="1:34" x14ac:dyDescent="0.2">
      <c r="A29" s="78">
        <v>120</v>
      </c>
      <c r="B29" s="73">
        <v>1079</v>
      </c>
      <c r="C29" s="73">
        <v>-13</v>
      </c>
      <c r="E29" s="47">
        <v>30</v>
      </c>
      <c r="F29" s="47">
        <f t="shared" si="0"/>
        <v>58</v>
      </c>
      <c r="G29" s="47">
        <f t="shared" si="0"/>
        <v>0</v>
      </c>
      <c r="H29" s="26"/>
      <c r="I29" s="47">
        <f t="shared" si="1"/>
        <v>0.3</v>
      </c>
      <c r="J29" s="47">
        <f t="shared" si="4"/>
        <v>74.94</v>
      </c>
      <c r="K29" s="47">
        <f t="shared" si="2"/>
        <v>2.2771194165907023</v>
      </c>
      <c r="L29" s="47">
        <f t="shared" si="3"/>
        <v>0</v>
      </c>
      <c r="M29" s="16"/>
      <c r="W29" s="58"/>
      <c r="AH29" s="75"/>
    </row>
    <row r="30" spans="1:34" x14ac:dyDescent="0.2">
      <c r="A30" s="78">
        <v>130</v>
      </c>
      <c r="B30" s="73">
        <v>1091</v>
      </c>
      <c r="C30" s="73">
        <v>-14</v>
      </c>
      <c r="E30" s="47">
        <v>40</v>
      </c>
      <c r="F30" s="47">
        <f t="shared" si="0"/>
        <v>72</v>
      </c>
      <c r="G30" s="47">
        <f t="shared" si="0"/>
        <v>0</v>
      </c>
      <c r="H30" s="26"/>
      <c r="I30" s="47">
        <f t="shared" si="1"/>
        <v>0.4</v>
      </c>
      <c r="J30" s="47">
        <f t="shared" si="4"/>
        <v>92.02000000000001</v>
      </c>
      <c r="K30" s="47">
        <f t="shared" si="2"/>
        <v>2.7961106046794293</v>
      </c>
      <c r="L30" s="47">
        <f t="shared" si="3"/>
        <v>0</v>
      </c>
      <c r="M30" s="16"/>
      <c r="W30" s="58"/>
      <c r="AH30" s="75"/>
    </row>
    <row r="31" spans="1:34" x14ac:dyDescent="0.2">
      <c r="A31" s="78">
        <v>140</v>
      </c>
      <c r="B31" s="73">
        <v>1134</v>
      </c>
      <c r="C31" s="73">
        <v>-17</v>
      </c>
      <c r="E31" s="47">
        <v>50</v>
      </c>
      <c r="F31" s="47">
        <f t="shared" si="0"/>
        <v>127</v>
      </c>
      <c r="G31" s="47">
        <f t="shared" si="0"/>
        <v>0</v>
      </c>
      <c r="H31" s="26"/>
      <c r="I31" s="47">
        <f t="shared" si="1"/>
        <v>0.5</v>
      </c>
      <c r="J31" s="47">
        <f t="shared" si="4"/>
        <v>159.12</v>
      </c>
      <c r="K31" s="47">
        <f t="shared" si="2"/>
        <v>4.8350045578851422</v>
      </c>
      <c r="L31" s="47">
        <f t="shared" si="3"/>
        <v>0</v>
      </c>
      <c r="M31" s="16"/>
      <c r="W31" s="58"/>
      <c r="AH31" s="75"/>
    </row>
    <row r="32" spans="1:34" x14ac:dyDescent="0.2">
      <c r="A32" s="78">
        <v>150</v>
      </c>
      <c r="B32" s="73">
        <v>1081</v>
      </c>
      <c r="C32" s="73">
        <v>-20</v>
      </c>
      <c r="E32" s="47">
        <v>60</v>
      </c>
      <c r="F32" s="47">
        <f t="shared" si="0"/>
        <v>168</v>
      </c>
      <c r="G32" s="47">
        <f t="shared" si="0"/>
        <v>0</v>
      </c>
      <c r="H32" s="26"/>
      <c r="I32" s="47">
        <f t="shared" si="1"/>
        <v>0.6</v>
      </c>
      <c r="J32" s="47">
        <f t="shared" si="4"/>
        <v>209.14000000000001</v>
      </c>
      <c r="K32" s="47">
        <f t="shared" si="2"/>
        <v>6.354907323002128</v>
      </c>
      <c r="L32" s="47">
        <f t="shared" si="3"/>
        <v>0</v>
      </c>
      <c r="M32" s="16"/>
      <c r="W32" s="58"/>
      <c r="AH32" s="75"/>
    </row>
    <row r="33" spans="1:34" x14ac:dyDescent="0.2">
      <c r="A33" s="78">
        <v>160</v>
      </c>
      <c r="B33" s="73">
        <v>1096</v>
      </c>
      <c r="C33" s="73">
        <v>-20</v>
      </c>
      <c r="E33" s="47">
        <v>70</v>
      </c>
      <c r="F33" s="47">
        <f t="shared" si="0"/>
        <v>292</v>
      </c>
      <c r="G33" s="47">
        <f t="shared" si="0"/>
        <v>0</v>
      </c>
      <c r="H33" s="26"/>
      <c r="I33" s="47">
        <f t="shared" si="1"/>
        <v>0.70000000000000007</v>
      </c>
      <c r="J33" s="47">
        <f t="shared" si="4"/>
        <v>360.42</v>
      </c>
      <c r="K33" s="47">
        <f t="shared" si="2"/>
        <v>10.95168641750228</v>
      </c>
      <c r="L33" s="47">
        <f t="shared" si="3"/>
        <v>0</v>
      </c>
      <c r="M33" s="16"/>
      <c r="W33" s="58"/>
      <c r="AH33" s="75"/>
    </row>
    <row r="34" spans="1:34" x14ac:dyDescent="0.2">
      <c r="A34" s="78">
        <v>170</v>
      </c>
      <c r="B34" s="73">
        <v>1064</v>
      </c>
      <c r="C34" s="73">
        <v>-22</v>
      </c>
      <c r="E34" s="47">
        <v>80</v>
      </c>
      <c r="F34" s="47">
        <f t="shared" si="0"/>
        <v>467</v>
      </c>
      <c r="G34" s="47">
        <f t="shared" si="0"/>
        <v>0</v>
      </c>
      <c r="H34" s="26"/>
      <c r="I34" s="47">
        <f t="shared" si="1"/>
        <v>0.8</v>
      </c>
      <c r="J34" s="47">
        <f t="shared" si="4"/>
        <v>573.91999999999996</v>
      </c>
      <c r="K34" s="47">
        <f t="shared" si="2"/>
        <v>17.439076268611366</v>
      </c>
      <c r="L34" s="47">
        <f t="shared" si="3"/>
        <v>0</v>
      </c>
      <c r="M34" s="16"/>
      <c r="W34" s="58"/>
      <c r="AH34" s="75"/>
    </row>
    <row r="35" spans="1:34" x14ac:dyDescent="0.2">
      <c r="A35" s="78">
        <v>180</v>
      </c>
      <c r="B35" s="73">
        <v>1064</v>
      </c>
      <c r="C35" s="73">
        <v>-23</v>
      </c>
      <c r="E35" s="47">
        <v>90</v>
      </c>
      <c r="F35" s="47">
        <f t="shared" si="0"/>
        <v>704</v>
      </c>
      <c r="G35" s="47">
        <f t="shared" si="0"/>
        <v>-2</v>
      </c>
      <c r="H35" s="26"/>
      <c r="I35" s="47">
        <f t="shared" si="1"/>
        <v>0.9</v>
      </c>
      <c r="J35" s="47">
        <f t="shared" si="4"/>
        <v>840.65</v>
      </c>
      <c r="K35" s="47">
        <f t="shared" si="2"/>
        <v>25.543907626861138</v>
      </c>
      <c r="L35" s="47">
        <f t="shared" si="3"/>
        <v>-0.02</v>
      </c>
      <c r="M35" s="16"/>
      <c r="W35" s="58"/>
      <c r="AH35" s="75"/>
    </row>
    <row r="36" spans="1:34" x14ac:dyDescent="0.2">
      <c r="A36" s="78">
        <v>190</v>
      </c>
      <c r="B36" s="73">
        <v>1105</v>
      </c>
      <c r="C36" s="73">
        <v>-24</v>
      </c>
      <c r="E36" s="47">
        <v>100</v>
      </c>
      <c r="F36" s="47">
        <f t="shared" si="0"/>
        <v>928</v>
      </c>
      <c r="G36" s="47">
        <f t="shared" si="0"/>
        <v>-7</v>
      </c>
      <c r="H36" s="26"/>
      <c r="I36" s="47">
        <f t="shared" si="1"/>
        <v>1</v>
      </c>
      <c r="J36" s="47">
        <f t="shared" si="4"/>
        <v>1100.49</v>
      </c>
      <c r="K36" s="47">
        <f t="shared" si="2"/>
        <v>33.439380127620787</v>
      </c>
      <c r="L36" s="47">
        <f t="shared" si="3"/>
        <v>-7.0000000000000007E-2</v>
      </c>
      <c r="M36" s="16"/>
      <c r="W36" s="58"/>
      <c r="AH36" s="75"/>
    </row>
    <row r="37" spans="1:34" x14ac:dyDescent="0.2">
      <c r="A37" s="78">
        <v>200</v>
      </c>
      <c r="B37" s="73">
        <v>1096</v>
      </c>
      <c r="C37" s="73">
        <v>-25</v>
      </c>
      <c r="E37" s="47">
        <v>110</v>
      </c>
      <c r="F37" s="47">
        <f t="shared" si="0"/>
        <v>1125</v>
      </c>
      <c r="G37" s="47">
        <f t="shared" si="0"/>
        <v>-11</v>
      </c>
      <c r="H37" s="26"/>
      <c r="I37" s="47">
        <f t="shared" si="1"/>
        <v>1.1000000000000001</v>
      </c>
      <c r="J37" s="47">
        <f t="shared" si="4"/>
        <v>1329.01</v>
      </c>
      <c r="K37" s="47">
        <f t="shared" si="2"/>
        <v>40.383166210878159</v>
      </c>
      <c r="L37" s="47">
        <f t="shared" si="3"/>
        <v>-0.11</v>
      </c>
      <c r="M37" s="16"/>
      <c r="W37" s="58"/>
      <c r="AH37" s="75"/>
    </row>
    <row r="38" spans="1:34" x14ac:dyDescent="0.2">
      <c r="A38" s="78">
        <v>220</v>
      </c>
      <c r="B38" s="73">
        <v>1121</v>
      </c>
      <c r="C38" s="73">
        <v>-28</v>
      </c>
      <c r="E38" s="47">
        <v>120</v>
      </c>
      <c r="F38" s="47">
        <f t="shared" si="0"/>
        <v>1079</v>
      </c>
      <c r="G38" s="47">
        <f t="shared" si="0"/>
        <v>-13</v>
      </c>
      <c r="H38" s="26"/>
      <c r="I38" s="47">
        <f t="shared" si="1"/>
        <v>1.2</v>
      </c>
      <c r="J38" s="47">
        <f t="shared" si="4"/>
        <v>1275.6499999999999</v>
      </c>
      <c r="K38" s="47">
        <f t="shared" si="2"/>
        <v>38.761774536615007</v>
      </c>
      <c r="L38" s="47">
        <f t="shared" si="3"/>
        <v>-0.13</v>
      </c>
      <c r="M38" s="16"/>
      <c r="W38" s="58"/>
      <c r="AH38" s="75"/>
    </row>
    <row r="39" spans="1:34" x14ac:dyDescent="0.2">
      <c r="A39" s="78">
        <v>240</v>
      </c>
      <c r="B39" s="73">
        <v>1105</v>
      </c>
      <c r="C39" s="73">
        <v>-29</v>
      </c>
      <c r="E39" s="47">
        <v>130</v>
      </c>
      <c r="F39" s="47">
        <f t="shared" si="0"/>
        <v>1091</v>
      </c>
      <c r="G39" s="47">
        <f t="shared" si="0"/>
        <v>-14</v>
      </c>
      <c r="H39" s="26"/>
      <c r="I39" s="47">
        <f t="shared" si="1"/>
        <v>1.3</v>
      </c>
      <c r="J39" s="47">
        <f t="shared" si="4"/>
        <v>1289.57</v>
      </c>
      <c r="K39" s="47">
        <f t="shared" si="2"/>
        <v>39.184746277727136</v>
      </c>
      <c r="L39" s="47">
        <f t="shared" si="3"/>
        <v>-0.14000000000000001</v>
      </c>
      <c r="M39" s="16"/>
      <c r="W39" s="58"/>
      <c r="AH39" s="75"/>
    </row>
    <row r="40" spans="1:34" x14ac:dyDescent="0.2">
      <c r="A40" s="78">
        <v>260</v>
      </c>
      <c r="B40" s="73">
        <v>1081</v>
      </c>
      <c r="C40" s="73">
        <v>-30</v>
      </c>
      <c r="E40" s="47">
        <v>140</v>
      </c>
      <c r="F40" s="47">
        <f t="shared" si="0"/>
        <v>1134</v>
      </c>
      <c r="G40" s="47">
        <f t="shared" si="0"/>
        <v>-17</v>
      </c>
      <c r="H40" s="26"/>
      <c r="I40" s="47">
        <f t="shared" si="1"/>
        <v>1.4000000000000001</v>
      </c>
      <c r="J40" s="47">
        <f t="shared" si="4"/>
        <v>1339.4499999999998</v>
      </c>
      <c r="K40" s="47">
        <f t="shared" si="2"/>
        <v>40.700395016712243</v>
      </c>
      <c r="L40" s="47">
        <f t="shared" si="3"/>
        <v>-0.17</v>
      </c>
      <c r="M40" s="16"/>
      <c r="W40" s="58"/>
      <c r="AH40" s="75"/>
    </row>
    <row r="41" spans="1:34" x14ac:dyDescent="0.2">
      <c r="A41" s="78">
        <v>280</v>
      </c>
      <c r="B41" s="73">
        <v>1044</v>
      </c>
      <c r="C41" s="73">
        <v>-32</v>
      </c>
      <c r="E41" s="47">
        <v>150</v>
      </c>
      <c r="F41" s="47">
        <f t="shared" si="0"/>
        <v>1081</v>
      </c>
      <c r="G41" s="47">
        <f t="shared" si="0"/>
        <v>-20</v>
      </c>
      <c r="H41" s="26"/>
      <c r="I41" s="47">
        <f t="shared" si="1"/>
        <v>1.5</v>
      </c>
      <c r="J41" s="47">
        <f t="shared" si="4"/>
        <v>1277.9699999999998</v>
      </c>
      <c r="K41" s="47">
        <f t="shared" si="2"/>
        <v>38.832269826800363</v>
      </c>
      <c r="L41" s="47">
        <f t="shared" si="3"/>
        <v>-0.2</v>
      </c>
      <c r="M41" s="16"/>
      <c r="W41" s="58"/>
      <c r="AH41" s="75"/>
    </row>
    <row r="42" spans="1:34" x14ac:dyDescent="0.2">
      <c r="A42" s="78">
        <v>300</v>
      </c>
      <c r="B42" s="73">
        <v>1070</v>
      </c>
      <c r="C42" s="73">
        <v>-37</v>
      </c>
      <c r="E42" s="47">
        <v>160</v>
      </c>
      <c r="F42" s="47">
        <f t="shared" si="0"/>
        <v>1096</v>
      </c>
      <c r="G42" s="47">
        <f t="shared" si="0"/>
        <v>-20</v>
      </c>
      <c r="H42" s="26"/>
      <c r="I42" s="47">
        <f t="shared" si="1"/>
        <v>1.6</v>
      </c>
      <c r="J42" s="47">
        <f t="shared" si="4"/>
        <v>1295.3699999999999</v>
      </c>
      <c r="K42" s="47">
        <f t="shared" si="2"/>
        <v>39.360984503190522</v>
      </c>
      <c r="L42" s="47">
        <f t="shared" si="3"/>
        <v>-0.2</v>
      </c>
      <c r="M42" s="16"/>
      <c r="W42" s="58"/>
      <c r="AH42" s="75"/>
    </row>
    <row r="43" spans="1:34" x14ac:dyDescent="0.2">
      <c r="A43" s="78">
        <v>320</v>
      </c>
      <c r="B43" s="73">
        <v>977</v>
      </c>
      <c r="C43" s="73">
        <v>-39</v>
      </c>
      <c r="E43" s="47">
        <v>170</v>
      </c>
      <c r="F43" s="47">
        <f t="shared" si="0"/>
        <v>1064</v>
      </c>
      <c r="G43" s="47">
        <f t="shared" si="0"/>
        <v>-22</v>
      </c>
      <c r="H43" s="26"/>
      <c r="I43" s="47">
        <f t="shared" si="1"/>
        <v>1.7</v>
      </c>
      <c r="J43" s="47">
        <f t="shared" si="4"/>
        <v>1258.25</v>
      </c>
      <c r="K43" s="47">
        <f t="shared" si="2"/>
        <v>38.233059860224863</v>
      </c>
      <c r="L43" s="47">
        <f t="shared" si="3"/>
        <v>-0.22</v>
      </c>
      <c r="M43" s="16"/>
      <c r="W43" s="58"/>
      <c r="AH43" s="75"/>
    </row>
    <row r="44" spans="1:34" x14ac:dyDescent="0.2">
      <c r="A44" s="78">
        <v>340</v>
      </c>
      <c r="B44" s="73">
        <v>1026</v>
      </c>
      <c r="C44" s="73">
        <v>-40</v>
      </c>
      <c r="E44" s="47">
        <v>180</v>
      </c>
      <c r="F44" s="47">
        <f t="shared" si="0"/>
        <v>1064</v>
      </c>
      <c r="G44" s="47">
        <f t="shared" si="0"/>
        <v>-23</v>
      </c>
      <c r="H44" s="26"/>
      <c r="I44" s="47">
        <f t="shared" si="1"/>
        <v>1.8</v>
      </c>
      <c r="J44" s="47">
        <f t="shared" si="4"/>
        <v>1258.25</v>
      </c>
      <c r="K44" s="47">
        <f t="shared" si="2"/>
        <v>38.233059860224863</v>
      </c>
      <c r="L44" s="47">
        <f t="shared" si="3"/>
        <v>-0.23</v>
      </c>
      <c r="M44" s="16"/>
      <c r="W44" s="58"/>
      <c r="AH44" s="75"/>
    </row>
    <row r="45" spans="1:34" x14ac:dyDescent="0.2">
      <c r="A45" s="78">
        <v>360</v>
      </c>
      <c r="B45" s="73">
        <v>1067</v>
      </c>
      <c r="C45" s="73">
        <v>-43</v>
      </c>
      <c r="E45" s="47">
        <v>190</v>
      </c>
      <c r="F45" s="47">
        <f t="shared" si="0"/>
        <v>1105</v>
      </c>
      <c r="G45" s="47">
        <f t="shared" si="0"/>
        <v>-24</v>
      </c>
      <c r="H45" s="26"/>
      <c r="I45" s="47">
        <f t="shared" si="1"/>
        <v>1.9000000000000001</v>
      </c>
      <c r="J45" s="47">
        <f t="shared" si="4"/>
        <v>1305.81</v>
      </c>
      <c r="K45" s="47">
        <f t="shared" si="2"/>
        <v>39.678213309024613</v>
      </c>
      <c r="L45" s="47">
        <f t="shared" si="3"/>
        <v>-0.24</v>
      </c>
      <c r="M45" s="16"/>
      <c r="W45" s="58"/>
      <c r="AH45" s="75"/>
    </row>
    <row r="46" spans="1:34" x14ac:dyDescent="0.2">
      <c r="A46" s="78">
        <v>380</v>
      </c>
      <c r="B46" s="73">
        <v>1055</v>
      </c>
      <c r="C46" s="73">
        <v>-45</v>
      </c>
      <c r="E46" s="47">
        <v>200</v>
      </c>
      <c r="F46" s="47">
        <f t="shared" si="0"/>
        <v>1096</v>
      </c>
      <c r="G46" s="47">
        <f t="shared" si="0"/>
        <v>-25</v>
      </c>
      <c r="H46" s="26"/>
      <c r="I46" s="47">
        <f t="shared" si="1"/>
        <v>2</v>
      </c>
      <c r="J46" s="47">
        <f t="shared" si="4"/>
        <v>1295.3699999999999</v>
      </c>
      <c r="K46" s="47">
        <f t="shared" si="2"/>
        <v>39.360984503190522</v>
      </c>
      <c r="L46" s="47">
        <f t="shared" si="3"/>
        <v>-0.25</v>
      </c>
      <c r="M46" s="16"/>
      <c r="W46" s="58"/>
      <c r="AH46" s="75"/>
    </row>
    <row r="47" spans="1:34" x14ac:dyDescent="0.2">
      <c r="A47" s="78">
        <v>400</v>
      </c>
      <c r="B47" s="73">
        <v>1029</v>
      </c>
      <c r="C47" s="73">
        <v>-45</v>
      </c>
      <c r="E47" s="47">
        <v>220</v>
      </c>
      <c r="F47" s="47">
        <f t="shared" si="0"/>
        <v>1121</v>
      </c>
      <c r="G47" s="47">
        <f t="shared" si="0"/>
        <v>-28</v>
      </c>
      <c r="H47" s="26"/>
      <c r="I47" s="47">
        <f t="shared" si="1"/>
        <v>2.2000000000000002</v>
      </c>
      <c r="J47" s="47">
        <f t="shared" si="4"/>
        <v>1324.37</v>
      </c>
      <c r="K47" s="47">
        <f t="shared" si="2"/>
        <v>40.242175630507447</v>
      </c>
      <c r="L47" s="47">
        <f t="shared" si="3"/>
        <v>-0.28000000000000003</v>
      </c>
      <c r="M47" s="16"/>
      <c r="W47" s="58"/>
      <c r="AH47" s="75"/>
    </row>
    <row r="48" spans="1:34" x14ac:dyDescent="0.2">
      <c r="A48" s="78">
        <v>420</v>
      </c>
      <c r="B48" s="73">
        <v>1041</v>
      </c>
      <c r="C48" s="73">
        <v>-44</v>
      </c>
      <c r="E48" s="47">
        <v>240</v>
      </c>
      <c r="F48" s="47">
        <f t="shared" si="0"/>
        <v>1105</v>
      </c>
      <c r="G48" s="47">
        <f t="shared" si="0"/>
        <v>-29</v>
      </c>
      <c r="H48" s="26"/>
      <c r="I48" s="47">
        <f t="shared" si="1"/>
        <v>2.4</v>
      </c>
      <c r="J48" s="47">
        <f t="shared" si="4"/>
        <v>1305.81</v>
      </c>
      <c r="K48" s="47">
        <f t="shared" si="2"/>
        <v>39.678213309024613</v>
      </c>
      <c r="L48" s="47">
        <f t="shared" si="3"/>
        <v>-0.28999999999999998</v>
      </c>
      <c r="M48" s="16"/>
      <c r="W48" s="58"/>
      <c r="AH48" s="75"/>
    </row>
    <row r="49" spans="1:34" x14ac:dyDescent="0.2">
      <c r="A49" s="78">
        <v>440</v>
      </c>
      <c r="B49" s="73">
        <v>1003</v>
      </c>
      <c r="C49" s="73">
        <v>-44</v>
      </c>
      <c r="E49" s="47">
        <v>260</v>
      </c>
      <c r="F49" s="47">
        <f t="shared" si="0"/>
        <v>1081</v>
      </c>
      <c r="G49" s="47">
        <f t="shared" si="0"/>
        <v>-30</v>
      </c>
      <c r="H49" s="26"/>
      <c r="I49" s="47">
        <f t="shared" si="1"/>
        <v>2.6</v>
      </c>
      <c r="J49" s="47">
        <f t="shared" si="4"/>
        <v>1277.9699999999998</v>
      </c>
      <c r="K49" s="47">
        <f t="shared" si="2"/>
        <v>38.832269826800363</v>
      </c>
      <c r="L49" s="47">
        <f t="shared" si="3"/>
        <v>-0.3</v>
      </c>
      <c r="M49" s="16"/>
      <c r="W49" s="58"/>
      <c r="AH49" s="75"/>
    </row>
    <row r="50" spans="1:34" x14ac:dyDescent="0.2">
      <c r="A50" s="78">
        <v>460</v>
      </c>
      <c r="B50" s="73">
        <v>1061</v>
      </c>
      <c r="C50" s="73">
        <v>-49</v>
      </c>
      <c r="E50" s="47">
        <v>280</v>
      </c>
      <c r="F50" s="47">
        <f t="shared" si="0"/>
        <v>1044</v>
      </c>
      <c r="G50" s="47">
        <f t="shared" si="0"/>
        <v>-32</v>
      </c>
      <c r="H50" s="26"/>
      <c r="I50" s="47">
        <f t="shared" si="1"/>
        <v>2.8000000000000003</v>
      </c>
      <c r="J50" s="47">
        <f t="shared" si="4"/>
        <v>1235.05</v>
      </c>
      <c r="K50" s="47">
        <f t="shared" si="2"/>
        <v>37.528106958371318</v>
      </c>
      <c r="L50" s="47">
        <f t="shared" si="3"/>
        <v>-0.32</v>
      </c>
      <c r="M50" s="16"/>
      <c r="W50" s="58"/>
      <c r="AH50" s="75"/>
    </row>
    <row r="51" spans="1:34" x14ac:dyDescent="0.2">
      <c r="A51" s="78">
        <v>480</v>
      </c>
      <c r="B51" s="73">
        <v>1035</v>
      </c>
      <c r="C51" s="73">
        <v>-55</v>
      </c>
      <c r="E51" s="47">
        <v>300</v>
      </c>
      <c r="F51" s="47">
        <f t="shared" si="0"/>
        <v>1070</v>
      </c>
      <c r="G51" s="47">
        <f t="shared" si="0"/>
        <v>-37</v>
      </c>
      <c r="H51" s="26"/>
      <c r="I51" s="47">
        <f t="shared" si="1"/>
        <v>3</v>
      </c>
      <c r="J51" s="47">
        <f t="shared" si="4"/>
        <v>1265.2099999999998</v>
      </c>
      <c r="K51" s="47">
        <f t="shared" si="2"/>
        <v>38.444545730780916</v>
      </c>
      <c r="L51" s="47">
        <f t="shared" si="3"/>
        <v>-0.37</v>
      </c>
      <c r="M51" s="16"/>
      <c r="W51" s="58"/>
      <c r="AH51" s="75"/>
    </row>
    <row r="52" spans="1:34" x14ac:dyDescent="0.2">
      <c r="A52" s="78">
        <v>500</v>
      </c>
      <c r="B52" s="73">
        <v>1004</v>
      </c>
      <c r="C52" s="73">
        <v>-58</v>
      </c>
      <c r="E52" s="47">
        <v>320</v>
      </c>
      <c r="F52" s="47">
        <f t="shared" si="0"/>
        <v>977</v>
      </c>
      <c r="G52" s="47">
        <f t="shared" si="0"/>
        <v>-39</v>
      </c>
      <c r="H52" s="26"/>
      <c r="I52" s="47">
        <f t="shared" si="1"/>
        <v>3.2</v>
      </c>
      <c r="J52" s="47">
        <f t="shared" si="4"/>
        <v>1157.33</v>
      </c>
      <c r="K52" s="47">
        <f t="shared" si="2"/>
        <v>35.166514737161961</v>
      </c>
      <c r="L52" s="47">
        <f t="shared" si="3"/>
        <v>-0.39</v>
      </c>
      <c r="M52" s="16"/>
      <c r="W52" s="58"/>
      <c r="AH52" s="75"/>
    </row>
    <row r="53" spans="1:34" x14ac:dyDescent="0.2">
      <c r="A53" s="78">
        <v>520</v>
      </c>
      <c r="B53" s="73">
        <v>1035</v>
      </c>
      <c r="C53" s="73">
        <v>-60</v>
      </c>
      <c r="E53" s="47">
        <v>340</v>
      </c>
      <c r="F53" s="47">
        <f t="shared" si="0"/>
        <v>1026</v>
      </c>
      <c r="G53" s="47">
        <f t="shared" si="0"/>
        <v>-40</v>
      </c>
      <c r="H53" s="26"/>
      <c r="I53" s="47">
        <f t="shared" si="1"/>
        <v>3.4</v>
      </c>
      <c r="J53" s="47">
        <f t="shared" si="4"/>
        <v>1214.1699999999998</v>
      </c>
      <c r="K53" s="47">
        <f t="shared" si="2"/>
        <v>36.893649346703128</v>
      </c>
      <c r="L53" s="47">
        <f t="shared" si="3"/>
        <v>-0.4</v>
      </c>
      <c r="M53" s="16"/>
      <c r="W53" s="58"/>
      <c r="AH53" s="75"/>
    </row>
    <row r="54" spans="1:34" x14ac:dyDescent="0.2">
      <c r="A54" s="78">
        <v>540</v>
      </c>
      <c r="B54" s="73">
        <v>992</v>
      </c>
      <c r="C54" s="73">
        <v>-60</v>
      </c>
      <c r="E54" s="47">
        <v>360</v>
      </c>
      <c r="F54" s="47">
        <f t="shared" si="0"/>
        <v>1067</v>
      </c>
      <c r="G54" s="47">
        <f t="shared" si="0"/>
        <v>-43</v>
      </c>
      <c r="H54" s="26"/>
      <c r="I54" s="47">
        <f t="shared" si="1"/>
        <v>3.6</v>
      </c>
      <c r="J54" s="47">
        <f t="shared" si="4"/>
        <v>1261.73</v>
      </c>
      <c r="K54" s="47">
        <f t="shared" si="2"/>
        <v>38.338802795502893</v>
      </c>
      <c r="L54" s="47">
        <f t="shared" si="3"/>
        <v>-0.43</v>
      </c>
      <c r="M54" s="16"/>
      <c r="W54" s="58"/>
      <c r="AH54" s="75"/>
    </row>
    <row r="55" spans="1:34" x14ac:dyDescent="0.2">
      <c r="A55" s="78">
        <v>560</v>
      </c>
      <c r="B55" s="73">
        <v>1009</v>
      </c>
      <c r="C55" s="73">
        <v>-62</v>
      </c>
      <c r="E55" s="47">
        <v>380</v>
      </c>
      <c r="F55" s="47">
        <f t="shared" si="0"/>
        <v>1055</v>
      </c>
      <c r="G55" s="47">
        <f t="shared" si="0"/>
        <v>-45</v>
      </c>
      <c r="H55" s="26"/>
      <c r="I55" s="47">
        <f t="shared" si="1"/>
        <v>3.8000000000000003</v>
      </c>
      <c r="J55" s="47">
        <f t="shared" si="4"/>
        <v>1247.81</v>
      </c>
      <c r="K55" s="47">
        <f t="shared" si="2"/>
        <v>37.915831054390765</v>
      </c>
      <c r="L55" s="47">
        <f t="shared" si="3"/>
        <v>-0.45</v>
      </c>
      <c r="M55" s="16"/>
      <c r="W55" s="58"/>
      <c r="AH55" s="75"/>
    </row>
    <row r="56" spans="1:34" x14ac:dyDescent="0.2">
      <c r="A56" s="78">
        <v>580</v>
      </c>
      <c r="B56" s="73">
        <v>1003</v>
      </c>
      <c r="C56" s="73">
        <v>-65</v>
      </c>
      <c r="E56" s="47">
        <v>400</v>
      </c>
      <c r="F56" s="47">
        <f t="shared" si="0"/>
        <v>1029</v>
      </c>
      <c r="G56" s="47">
        <f t="shared" si="0"/>
        <v>-45</v>
      </c>
      <c r="H56" s="26"/>
      <c r="I56" s="47">
        <f t="shared" si="1"/>
        <v>4</v>
      </c>
      <c r="J56" s="47">
        <f t="shared" si="4"/>
        <v>1217.6499999999999</v>
      </c>
      <c r="K56" s="47">
        <f t="shared" si="2"/>
        <v>36.999392281981159</v>
      </c>
      <c r="L56" s="47">
        <f t="shared" si="3"/>
        <v>-0.45</v>
      </c>
      <c r="M56" s="16"/>
      <c r="W56" s="58"/>
      <c r="AH56" s="75"/>
    </row>
    <row r="57" spans="1:34" x14ac:dyDescent="0.2">
      <c r="A57" s="78">
        <v>600</v>
      </c>
      <c r="B57" s="73">
        <v>1035</v>
      </c>
      <c r="C57" s="73">
        <v>-65</v>
      </c>
      <c r="E57" s="47">
        <v>420</v>
      </c>
      <c r="F57" s="47">
        <f t="shared" si="0"/>
        <v>1041</v>
      </c>
      <c r="G57" s="47">
        <f t="shared" si="0"/>
        <v>-44</v>
      </c>
      <c r="H57" s="26"/>
      <c r="I57" s="47">
        <f t="shared" si="1"/>
        <v>4.2</v>
      </c>
      <c r="J57" s="47">
        <f t="shared" si="4"/>
        <v>1231.57</v>
      </c>
      <c r="K57" s="47">
        <f t="shared" si="2"/>
        <v>37.422364023093287</v>
      </c>
      <c r="L57" s="47">
        <f t="shared" si="3"/>
        <v>-0.44</v>
      </c>
      <c r="M57" s="16"/>
      <c r="Q57" s="85" t="s">
        <v>23</v>
      </c>
      <c r="R57" s="43" t="s">
        <v>23</v>
      </c>
      <c r="W57" s="58"/>
      <c r="AH57" s="75"/>
    </row>
    <row r="58" spans="1:34" x14ac:dyDescent="0.2">
      <c r="A58" s="78">
        <v>620</v>
      </c>
      <c r="B58" s="73">
        <v>1067</v>
      </c>
      <c r="C58" s="73">
        <v>-65</v>
      </c>
      <c r="E58" s="47">
        <v>440</v>
      </c>
      <c r="F58" s="47">
        <f t="shared" ref="F58:G83" si="5">B49</f>
        <v>1003</v>
      </c>
      <c r="G58" s="47">
        <f t="shared" si="5"/>
        <v>-44</v>
      </c>
      <c r="H58" s="26"/>
      <c r="I58" s="47">
        <f t="shared" si="1"/>
        <v>4.4000000000000004</v>
      </c>
      <c r="J58" s="47">
        <f t="shared" si="4"/>
        <v>1187.49</v>
      </c>
      <c r="K58" s="47">
        <f t="shared" si="2"/>
        <v>36.08295350957156</v>
      </c>
      <c r="L58" s="47">
        <f t="shared" si="3"/>
        <v>-0.44</v>
      </c>
      <c r="M58" s="16"/>
      <c r="Q58" s="86" t="s">
        <v>46</v>
      </c>
      <c r="R58" s="45" t="s">
        <v>45</v>
      </c>
      <c r="W58" s="58"/>
      <c r="AH58" s="75"/>
    </row>
    <row r="59" spans="1:34" x14ac:dyDescent="0.2">
      <c r="A59" s="78">
        <v>640</v>
      </c>
      <c r="B59" s="73">
        <v>1067</v>
      </c>
      <c r="C59" s="73">
        <v>-65</v>
      </c>
      <c r="E59" s="47">
        <v>460</v>
      </c>
      <c r="F59" s="47">
        <f t="shared" si="5"/>
        <v>1061</v>
      </c>
      <c r="G59" s="47">
        <f t="shared" si="5"/>
        <v>-49</v>
      </c>
      <c r="H59" s="26"/>
      <c r="I59" s="47">
        <f t="shared" si="1"/>
        <v>4.6000000000000005</v>
      </c>
      <c r="J59" s="47">
        <f t="shared" si="4"/>
        <v>1254.77</v>
      </c>
      <c r="K59" s="47">
        <f t="shared" si="2"/>
        <v>38.127316924946825</v>
      </c>
      <c r="L59" s="47">
        <f t="shared" si="3"/>
        <v>-0.49</v>
      </c>
      <c r="M59" s="16"/>
      <c r="Q59" s="87" t="s">
        <v>44</v>
      </c>
      <c r="R59" s="46" t="s">
        <v>44</v>
      </c>
      <c r="W59" s="58"/>
      <c r="AH59" s="75"/>
    </row>
    <row r="60" spans="1:34" x14ac:dyDescent="0.2">
      <c r="A60" s="78">
        <v>660</v>
      </c>
      <c r="B60" s="73">
        <v>1023</v>
      </c>
      <c r="C60" s="73">
        <v>-66</v>
      </c>
      <c r="E60" s="47">
        <v>480</v>
      </c>
      <c r="F60" s="47">
        <f t="shared" si="5"/>
        <v>1035</v>
      </c>
      <c r="G60" s="47">
        <f t="shared" si="5"/>
        <v>-55</v>
      </c>
      <c r="H60" s="26"/>
      <c r="I60" s="47">
        <f t="shared" si="1"/>
        <v>4.8</v>
      </c>
      <c r="J60" s="47">
        <f t="shared" si="4"/>
        <v>1224.6099999999999</v>
      </c>
      <c r="K60" s="47">
        <f t="shared" si="2"/>
        <v>37.210878152537227</v>
      </c>
      <c r="L60" s="47">
        <f t="shared" si="3"/>
        <v>-0.55000000000000004</v>
      </c>
      <c r="M60" s="16"/>
      <c r="Q60" s="88">
        <f>+G16</f>
        <v>30.592204922985655</v>
      </c>
      <c r="R60" s="88">
        <f>MAX(K26:K83)</f>
        <v>40.700395016712243</v>
      </c>
      <c r="W60" s="58"/>
      <c r="AH60" s="75"/>
    </row>
    <row r="61" spans="1:34" x14ac:dyDescent="0.2">
      <c r="A61" s="78">
        <v>680</v>
      </c>
      <c r="B61" s="73">
        <v>1003</v>
      </c>
      <c r="C61" s="73">
        <v>-66</v>
      </c>
      <c r="E61" s="47">
        <v>500</v>
      </c>
      <c r="F61" s="47">
        <f t="shared" si="5"/>
        <v>1004</v>
      </c>
      <c r="G61" s="47">
        <f t="shared" si="5"/>
        <v>-58</v>
      </c>
      <c r="H61" s="26"/>
      <c r="I61" s="47">
        <f t="shared" si="1"/>
        <v>5</v>
      </c>
      <c r="J61" s="47">
        <f t="shared" si="4"/>
        <v>1188.6499999999999</v>
      </c>
      <c r="K61" s="47">
        <f t="shared" si="2"/>
        <v>36.118201154664234</v>
      </c>
      <c r="L61" s="47">
        <f t="shared" si="3"/>
        <v>-0.57999999999999996</v>
      </c>
      <c r="M61" s="16"/>
      <c r="Q61" s="13">
        <f>+G100</f>
        <v>40.801381854559395</v>
      </c>
      <c r="R61" s="13">
        <f>MAX(K110:K167)</f>
        <v>45.599817684594349</v>
      </c>
      <c r="W61" s="58"/>
      <c r="AH61" s="75"/>
    </row>
    <row r="62" spans="1:34" x14ac:dyDescent="0.2">
      <c r="A62" s="78">
        <v>700</v>
      </c>
      <c r="B62" s="73">
        <v>1015</v>
      </c>
      <c r="C62" s="73">
        <v>-66</v>
      </c>
      <c r="E62" s="47">
        <v>520</v>
      </c>
      <c r="F62" s="47">
        <f t="shared" si="5"/>
        <v>1035</v>
      </c>
      <c r="G62" s="47">
        <f t="shared" si="5"/>
        <v>-60</v>
      </c>
      <c r="H62" s="26"/>
      <c r="I62" s="47">
        <f t="shared" si="1"/>
        <v>5.2</v>
      </c>
      <c r="J62" s="47">
        <f t="shared" si="4"/>
        <v>1224.6099999999999</v>
      </c>
      <c r="K62" s="47">
        <f t="shared" si="2"/>
        <v>37.210878152537227</v>
      </c>
      <c r="L62" s="47">
        <f t="shared" si="3"/>
        <v>-0.6</v>
      </c>
      <c r="M62" s="16"/>
      <c r="Q62" s="13">
        <f>+G184</f>
        <v>50.97523291439758</v>
      </c>
      <c r="R62" s="13">
        <f>MAX(K194:K251)</f>
        <v>58.18322698268004</v>
      </c>
      <c r="W62" s="58"/>
      <c r="AH62" s="75"/>
    </row>
    <row r="63" spans="1:34" x14ac:dyDescent="0.2">
      <c r="A63" s="78">
        <v>720</v>
      </c>
      <c r="B63" s="73">
        <v>1079</v>
      </c>
      <c r="C63" s="73">
        <v>-66</v>
      </c>
      <c r="E63" s="47">
        <v>540</v>
      </c>
      <c r="F63" s="47">
        <f t="shared" si="5"/>
        <v>992</v>
      </c>
      <c r="G63" s="47">
        <f t="shared" si="5"/>
        <v>-60</v>
      </c>
      <c r="H63" s="26"/>
      <c r="I63" s="47">
        <f t="shared" si="1"/>
        <v>5.4</v>
      </c>
      <c r="J63" s="47">
        <f t="shared" si="4"/>
        <v>1174.73</v>
      </c>
      <c r="K63" s="47">
        <f t="shared" si="2"/>
        <v>35.695229413552113</v>
      </c>
      <c r="L63" s="47">
        <f t="shared" si="3"/>
        <v>-0.6</v>
      </c>
      <c r="M63" s="16"/>
      <c r="Q63" s="16"/>
      <c r="R63" s="16"/>
      <c r="W63" s="58"/>
      <c r="AH63" s="75"/>
    </row>
    <row r="64" spans="1:34" x14ac:dyDescent="0.2">
      <c r="A64" s="78">
        <v>740</v>
      </c>
      <c r="B64" s="73">
        <v>980</v>
      </c>
      <c r="C64" s="73">
        <v>-65</v>
      </c>
      <c r="E64" s="47">
        <v>560</v>
      </c>
      <c r="F64" s="47">
        <f t="shared" si="5"/>
        <v>1009</v>
      </c>
      <c r="G64" s="47">
        <f t="shared" si="5"/>
        <v>-62</v>
      </c>
      <c r="H64" s="26"/>
      <c r="I64" s="47">
        <f t="shared" si="1"/>
        <v>5.6000000000000005</v>
      </c>
      <c r="J64" s="47">
        <f t="shared" si="4"/>
        <v>1194.4499999999998</v>
      </c>
      <c r="K64" s="47">
        <f t="shared" si="2"/>
        <v>36.294439380127621</v>
      </c>
      <c r="L64" s="47">
        <f t="shared" si="3"/>
        <v>-0.62</v>
      </c>
      <c r="M64" s="16"/>
      <c r="Q64" s="14" t="s">
        <v>43</v>
      </c>
      <c r="R64" s="89">
        <f>SLOPE(R60:R62,Q60:Q62)</f>
        <v>0.85749651273022709</v>
      </c>
      <c r="W64" s="58"/>
      <c r="X64" s="62"/>
      <c r="Y64" s="62"/>
      <c r="Z64" s="62"/>
      <c r="AA64" s="62"/>
      <c r="AB64" s="77"/>
      <c r="AC64" s="77"/>
      <c r="AD64" s="62"/>
      <c r="AE64" s="62"/>
      <c r="AF64" s="62"/>
      <c r="AG64" s="62"/>
      <c r="AH64" s="75"/>
    </row>
    <row r="65" spans="1:34" x14ac:dyDescent="0.2">
      <c r="A65" s="78">
        <v>760</v>
      </c>
      <c r="B65" s="73">
        <v>986</v>
      </c>
      <c r="C65" s="73">
        <v>-63</v>
      </c>
      <c r="E65" s="47">
        <v>580</v>
      </c>
      <c r="F65" s="47">
        <f t="shared" si="5"/>
        <v>1003</v>
      </c>
      <c r="G65" s="47">
        <f t="shared" si="5"/>
        <v>-65</v>
      </c>
      <c r="H65" s="26"/>
      <c r="I65" s="47">
        <f t="shared" si="1"/>
        <v>5.8</v>
      </c>
      <c r="J65" s="47">
        <f t="shared" si="4"/>
        <v>1187.49</v>
      </c>
      <c r="K65" s="47">
        <f t="shared" si="2"/>
        <v>36.08295350957156</v>
      </c>
      <c r="L65" s="47">
        <f t="shared" si="3"/>
        <v>-0.65</v>
      </c>
      <c r="M65" s="16"/>
      <c r="Q65" s="14" t="s">
        <v>42</v>
      </c>
      <c r="R65" s="13">
        <f>((ATAN(R64)*90)/PI())*2</f>
        <v>40.61297361168247</v>
      </c>
      <c r="W65" s="58"/>
      <c r="AH65" s="75"/>
    </row>
    <row r="66" spans="1:34" x14ac:dyDescent="0.2">
      <c r="A66" s="78">
        <v>780</v>
      </c>
      <c r="B66" s="73">
        <v>1018</v>
      </c>
      <c r="C66" s="73">
        <v>-62</v>
      </c>
      <c r="E66" s="47">
        <v>600</v>
      </c>
      <c r="F66" s="47">
        <f t="shared" si="5"/>
        <v>1035</v>
      </c>
      <c r="G66" s="47">
        <f t="shared" si="5"/>
        <v>-65</v>
      </c>
      <c r="H66" s="26"/>
      <c r="I66" s="47">
        <f t="shared" si="1"/>
        <v>6</v>
      </c>
      <c r="J66" s="47">
        <f t="shared" si="4"/>
        <v>1224.6099999999999</v>
      </c>
      <c r="K66" s="47">
        <f t="shared" si="2"/>
        <v>37.210878152537227</v>
      </c>
      <c r="L66" s="47">
        <f t="shared" si="3"/>
        <v>-0.65</v>
      </c>
      <c r="M66" s="16"/>
      <c r="W66" s="58"/>
      <c r="AH66" s="75"/>
    </row>
    <row r="67" spans="1:34" x14ac:dyDescent="0.2">
      <c r="A67" s="78">
        <v>800</v>
      </c>
      <c r="B67" s="73">
        <v>1021</v>
      </c>
      <c r="C67" s="73">
        <v>-59</v>
      </c>
      <c r="E67" s="47">
        <v>620</v>
      </c>
      <c r="F67" s="47">
        <f t="shared" si="5"/>
        <v>1067</v>
      </c>
      <c r="G67" s="47">
        <f t="shared" si="5"/>
        <v>-65</v>
      </c>
      <c r="H67" s="26"/>
      <c r="I67" s="47">
        <f t="shared" si="1"/>
        <v>6.2</v>
      </c>
      <c r="J67" s="47">
        <f t="shared" si="4"/>
        <v>1261.73</v>
      </c>
      <c r="K67" s="47">
        <f t="shared" si="2"/>
        <v>38.338802795502893</v>
      </c>
      <c r="L67" s="47">
        <f t="shared" si="3"/>
        <v>-0.65</v>
      </c>
      <c r="M67" s="16"/>
      <c r="W67" s="58"/>
      <c r="AH67" s="75"/>
    </row>
    <row r="68" spans="1:34" x14ac:dyDescent="0.2">
      <c r="A68" s="78">
        <v>820</v>
      </c>
      <c r="B68" s="73">
        <v>1018</v>
      </c>
      <c r="C68" s="73">
        <v>-56</v>
      </c>
      <c r="E68" s="47">
        <v>640</v>
      </c>
      <c r="F68" s="47">
        <f t="shared" si="5"/>
        <v>1067</v>
      </c>
      <c r="G68" s="47">
        <f t="shared" si="5"/>
        <v>-65</v>
      </c>
      <c r="H68" s="26"/>
      <c r="I68" s="47">
        <f t="shared" si="1"/>
        <v>6.4</v>
      </c>
      <c r="J68" s="47">
        <f t="shared" si="4"/>
        <v>1261.73</v>
      </c>
      <c r="K68" s="47">
        <f t="shared" si="2"/>
        <v>38.338802795502893</v>
      </c>
      <c r="L68" s="47">
        <f t="shared" si="3"/>
        <v>-0.65</v>
      </c>
      <c r="M68" s="16"/>
      <c r="W68" s="58"/>
      <c r="AH68" s="75"/>
    </row>
    <row r="69" spans="1:34" x14ac:dyDescent="0.2">
      <c r="A69" s="78">
        <v>840</v>
      </c>
      <c r="B69" s="73">
        <v>1041</v>
      </c>
      <c r="C69" s="73">
        <v>-54</v>
      </c>
      <c r="E69" s="47">
        <v>660</v>
      </c>
      <c r="F69" s="47">
        <f t="shared" si="5"/>
        <v>1023</v>
      </c>
      <c r="G69" s="47">
        <f t="shared" si="5"/>
        <v>-66</v>
      </c>
      <c r="H69" s="26"/>
      <c r="I69" s="47">
        <f t="shared" si="1"/>
        <v>6.6000000000000005</v>
      </c>
      <c r="J69" s="47">
        <f t="shared" si="4"/>
        <v>1210.6899999999998</v>
      </c>
      <c r="K69" s="47">
        <f t="shared" si="2"/>
        <v>36.787906411425098</v>
      </c>
      <c r="L69" s="47">
        <f t="shared" si="3"/>
        <v>-0.66</v>
      </c>
      <c r="M69" s="16"/>
      <c r="W69" s="58"/>
      <c r="AH69" s="75"/>
    </row>
    <row r="70" spans="1:34" x14ac:dyDescent="0.2">
      <c r="A70" s="78">
        <v>860</v>
      </c>
      <c r="B70" s="73">
        <v>1009</v>
      </c>
      <c r="C70" s="73">
        <v>-52</v>
      </c>
      <c r="E70" s="47">
        <v>680</v>
      </c>
      <c r="F70" s="47">
        <f t="shared" si="5"/>
        <v>1003</v>
      </c>
      <c r="G70" s="47">
        <f t="shared" si="5"/>
        <v>-66</v>
      </c>
      <c r="H70" s="26"/>
      <c r="I70" s="47">
        <f t="shared" si="1"/>
        <v>6.8</v>
      </c>
      <c r="J70" s="47">
        <f t="shared" si="4"/>
        <v>1187.49</v>
      </c>
      <c r="K70" s="47">
        <f t="shared" si="2"/>
        <v>36.08295350957156</v>
      </c>
      <c r="L70" s="47">
        <f t="shared" si="3"/>
        <v>-0.66</v>
      </c>
      <c r="M70" s="16"/>
    </row>
    <row r="71" spans="1:34" x14ac:dyDescent="0.2">
      <c r="A71" s="78">
        <v>880</v>
      </c>
      <c r="B71" s="73">
        <v>983</v>
      </c>
      <c r="C71" s="73">
        <v>-51</v>
      </c>
      <c r="E71" s="47">
        <v>700</v>
      </c>
      <c r="F71" s="47">
        <f t="shared" si="5"/>
        <v>1015</v>
      </c>
      <c r="G71" s="47">
        <f t="shared" si="5"/>
        <v>-66</v>
      </c>
      <c r="H71" s="26"/>
      <c r="I71" s="47">
        <f t="shared" si="1"/>
        <v>7</v>
      </c>
      <c r="J71" s="47">
        <f t="shared" si="4"/>
        <v>1201.4099999999999</v>
      </c>
      <c r="K71" s="47">
        <f t="shared" si="2"/>
        <v>36.505925250683681</v>
      </c>
      <c r="L71" s="47">
        <f t="shared" si="3"/>
        <v>-0.66</v>
      </c>
      <c r="M71" s="16"/>
    </row>
    <row r="72" spans="1:34" x14ac:dyDescent="0.2">
      <c r="A72" s="78">
        <v>900</v>
      </c>
      <c r="B72" s="73">
        <v>936</v>
      </c>
      <c r="C72" s="73">
        <v>-47</v>
      </c>
      <c r="E72" s="47">
        <v>720</v>
      </c>
      <c r="F72" s="47">
        <f t="shared" si="5"/>
        <v>1079</v>
      </c>
      <c r="G72" s="47">
        <f t="shared" si="5"/>
        <v>-66</v>
      </c>
      <c r="H72" s="26"/>
      <c r="I72" s="47">
        <f t="shared" si="1"/>
        <v>7.2</v>
      </c>
      <c r="J72" s="47">
        <f t="shared" si="4"/>
        <v>1275.6499999999999</v>
      </c>
      <c r="K72" s="47">
        <f t="shared" si="2"/>
        <v>38.761774536615007</v>
      </c>
      <c r="L72" s="47">
        <f t="shared" si="3"/>
        <v>-0.66</v>
      </c>
      <c r="M72" s="16"/>
    </row>
    <row r="73" spans="1:34" x14ac:dyDescent="0.2">
      <c r="A73" s="78">
        <v>950</v>
      </c>
      <c r="B73" s="73">
        <v>980</v>
      </c>
      <c r="C73" s="73">
        <v>-43</v>
      </c>
      <c r="E73" s="47">
        <v>740</v>
      </c>
      <c r="F73" s="47">
        <f t="shared" si="5"/>
        <v>980</v>
      </c>
      <c r="G73" s="47">
        <f t="shared" si="5"/>
        <v>-65</v>
      </c>
      <c r="H73" s="26"/>
      <c r="I73" s="47">
        <f t="shared" si="1"/>
        <v>7.4</v>
      </c>
      <c r="J73" s="47">
        <f t="shared" si="4"/>
        <v>1160.81</v>
      </c>
      <c r="K73" s="47">
        <f t="shared" si="2"/>
        <v>35.272257672439991</v>
      </c>
      <c r="L73" s="47">
        <f t="shared" si="3"/>
        <v>-0.65</v>
      </c>
      <c r="M73" s="16"/>
    </row>
    <row r="74" spans="1:34" x14ac:dyDescent="0.2">
      <c r="A74" s="78">
        <v>1000</v>
      </c>
      <c r="B74" s="73">
        <v>1009</v>
      </c>
      <c r="C74" s="73">
        <v>-40</v>
      </c>
      <c r="E74" s="47">
        <v>760</v>
      </c>
      <c r="F74" s="47">
        <f t="shared" si="5"/>
        <v>986</v>
      </c>
      <c r="G74" s="47">
        <f t="shared" si="5"/>
        <v>-63</v>
      </c>
      <c r="H74" s="26"/>
      <c r="I74" s="47">
        <f t="shared" si="1"/>
        <v>7.6000000000000005</v>
      </c>
      <c r="J74" s="47">
        <f t="shared" si="4"/>
        <v>1167.77</v>
      </c>
      <c r="K74" s="47">
        <f t="shared" si="2"/>
        <v>35.483743542996052</v>
      </c>
      <c r="L74" s="47">
        <f t="shared" si="3"/>
        <v>-0.63</v>
      </c>
      <c r="M74" s="16"/>
    </row>
    <row r="75" spans="1:34" x14ac:dyDescent="0.2">
      <c r="E75" s="47">
        <v>780</v>
      </c>
      <c r="F75" s="47">
        <f t="shared" si="5"/>
        <v>1018</v>
      </c>
      <c r="G75" s="47">
        <f t="shared" si="5"/>
        <v>-62</v>
      </c>
      <c r="H75" s="26"/>
      <c r="I75" s="47">
        <f t="shared" si="1"/>
        <v>7.8</v>
      </c>
      <c r="J75" s="47">
        <f t="shared" si="4"/>
        <v>1204.8899999999999</v>
      </c>
      <c r="K75" s="47">
        <f t="shared" si="2"/>
        <v>36.611668185961712</v>
      </c>
      <c r="L75" s="47">
        <f t="shared" si="3"/>
        <v>-0.62</v>
      </c>
      <c r="M75" s="16"/>
    </row>
    <row r="76" spans="1:34" x14ac:dyDescent="0.2">
      <c r="A76" s="53" t="s">
        <v>59</v>
      </c>
      <c r="C76" s="73">
        <v>11.55</v>
      </c>
      <c r="E76" s="47">
        <v>800</v>
      </c>
      <c r="F76" s="47">
        <f t="shared" si="5"/>
        <v>1021</v>
      </c>
      <c r="G76" s="47">
        <f t="shared" si="5"/>
        <v>-59</v>
      </c>
      <c r="H76" s="26"/>
      <c r="I76" s="47">
        <f t="shared" si="1"/>
        <v>8</v>
      </c>
      <c r="J76" s="47">
        <f t="shared" si="4"/>
        <v>1208.3699999999999</v>
      </c>
      <c r="K76" s="47">
        <f t="shared" si="2"/>
        <v>36.717411121239742</v>
      </c>
      <c r="L76" s="47">
        <f t="shared" si="3"/>
        <v>-0.59</v>
      </c>
      <c r="M76" s="16"/>
    </row>
    <row r="77" spans="1:34" x14ac:dyDescent="0.2">
      <c r="A77" s="54" t="s">
        <v>22</v>
      </c>
      <c r="B77" s="55" t="s">
        <v>24</v>
      </c>
      <c r="C77" s="54" t="s">
        <v>22</v>
      </c>
      <c r="E77" s="47">
        <v>820</v>
      </c>
      <c r="F77" s="47">
        <f t="shared" si="5"/>
        <v>1018</v>
      </c>
      <c r="G77" s="47">
        <f t="shared" si="5"/>
        <v>-56</v>
      </c>
      <c r="H77" s="26"/>
      <c r="I77" s="47">
        <f t="shared" si="1"/>
        <v>8.1999999999999993</v>
      </c>
      <c r="J77" s="47">
        <f t="shared" si="4"/>
        <v>1204.8899999999999</v>
      </c>
      <c r="K77" s="47">
        <f t="shared" si="2"/>
        <v>36.611668185961712</v>
      </c>
      <c r="L77" s="47">
        <f t="shared" si="3"/>
        <v>-0.56000000000000005</v>
      </c>
      <c r="M77" s="16"/>
    </row>
    <row r="78" spans="1:34" x14ac:dyDescent="0.2">
      <c r="A78" s="56" t="s">
        <v>21</v>
      </c>
      <c r="B78" s="56" t="s">
        <v>20</v>
      </c>
      <c r="C78" s="56" t="s">
        <v>19</v>
      </c>
      <c r="E78" s="47">
        <v>840</v>
      </c>
      <c r="F78" s="47">
        <f t="shared" si="5"/>
        <v>1041</v>
      </c>
      <c r="G78" s="47">
        <f t="shared" si="5"/>
        <v>-54</v>
      </c>
      <c r="H78" s="26"/>
      <c r="I78" s="47">
        <f t="shared" si="1"/>
        <v>8.4</v>
      </c>
      <c r="J78" s="47">
        <f t="shared" si="4"/>
        <v>1231.57</v>
      </c>
      <c r="K78" s="47">
        <f t="shared" si="2"/>
        <v>37.422364023093287</v>
      </c>
      <c r="L78" s="47">
        <f t="shared" si="3"/>
        <v>-0.54</v>
      </c>
      <c r="M78" s="16"/>
    </row>
    <row r="79" spans="1:34" x14ac:dyDescent="0.2">
      <c r="A79" s="57" t="s">
        <v>18</v>
      </c>
      <c r="B79" s="57" t="s">
        <v>61</v>
      </c>
      <c r="C79" s="57" t="s">
        <v>18</v>
      </c>
      <c r="E79" s="47">
        <v>860</v>
      </c>
      <c r="F79" s="47">
        <f t="shared" si="5"/>
        <v>1009</v>
      </c>
      <c r="G79" s="47">
        <f t="shared" si="5"/>
        <v>-52</v>
      </c>
      <c r="H79" s="26"/>
      <c r="I79" s="47">
        <f t="shared" si="1"/>
        <v>8.6</v>
      </c>
      <c r="J79" s="47">
        <f t="shared" si="4"/>
        <v>1194.4499999999998</v>
      </c>
      <c r="K79" s="47">
        <f t="shared" si="2"/>
        <v>36.294439380127621</v>
      </c>
      <c r="L79" s="47">
        <f t="shared" si="3"/>
        <v>-0.52</v>
      </c>
      <c r="M79" s="16"/>
    </row>
    <row r="80" spans="1:34" x14ac:dyDescent="0.2">
      <c r="A80" s="78">
        <v>0</v>
      </c>
      <c r="B80" s="73">
        <v>0</v>
      </c>
      <c r="C80" s="73">
        <v>0</v>
      </c>
      <c r="E80" s="47">
        <v>880</v>
      </c>
      <c r="F80" s="47">
        <f t="shared" si="5"/>
        <v>983</v>
      </c>
      <c r="G80" s="47">
        <f t="shared" si="5"/>
        <v>-51</v>
      </c>
      <c r="H80" s="26"/>
      <c r="I80" s="47">
        <f t="shared" si="1"/>
        <v>8.8000000000000007</v>
      </c>
      <c r="J80" s="47">
        <f t="shared" si="4"/>
        <v>1164.29</v>
      </c>
      <c r="K80" s="47">
        <f t="shared" si="2"/>
        <v>35.378000607718022</v>
      </c>
      <c r="L80" s="47">
        <f t="shared" si="3"/>
        <v>-0.51</v>
      </c>
      <c r="M80" s="16"/>
    </row>
    <row r="81" spans="1:13" x14ac:dyDescent="0.2">
      <c r="A81" s="78">
        <v>10</v>
      </c>
      <c r="B81" s="73">
        <v>46</v>
      </c>
      <c r="C81" s="73">
        <v>-2</v>
      </c>
      <c r="E81" s="47">
        <v>900</v>
      </c>
      <c r="F81" s="47">
        <f t="shared" si="5"/>
        <v>936</v>
      </c>
      <c r="G81" s="47">
        <f t="shared" si="5"/>
        <v>-47</v>
      </c>
      <c r="H81" s="26"/>
      <c r="I81" s="47">
        <f t="shared" si="1"/>
        <v>9</v>
      </c>
      <c r="J81" s="47">
        <f t="shared" si="4"/>
        <v>1109.77</v>
      </c>
      <c r="K81" s="47">
        <f t="shared" si="2"/>
        <v>33.721361288362203</v>
      </c>
      <c r="L81" s="47">
        <f t="shared" si="3"/>
        <v>-0.47000000000000003</v>
      </c>
      <c r="M81" s="16"/>
    </row>
    <row r="82" spans="1:13" x14ac:dyDescent="0.2">
      <c r="A82" s="78">
        <v>20</v>
      </c>
      <c r="B82" s="73">
        <v>60</v>
      </c>
      <c r="C82" s="73">
        <v>-4</v>
      </c>
      <c r="E82" s="47">
        <v>950</v>
      </c>
      <c r="F82" s="47">
        <f t="shared" si="5"/>
        <v>980</v>
      </c>
      <c r="G82" s="47">
        <f t="shared" si="5"/>
        <v>-43</v>
      </c>
      <c r="H82" s="26"/>
      <c r="I82" s="47">
        <f t="shared" si="1"/>
        <v>9.5</v>
      </c>
      <c r="J82" s="47">
        <f t="shared" si="4"/>
        <v>1160.81</v>
      </c>
      <c r="K82" s="47">
        <f t="shared" si="2"/>
        <v>35.272257672439991</v>
      </c>
      <c r="L82" s="47">
        <f t="shared" si="3"/>
        <v>-0.43</v>
      </c>
      <c r="M82" s="16"/>
    </row>
    <row r="83" spans="1:13" x14ac:dyDescent="0.2">
      <c r="A83" s="78">
        <v>30</v>
      </c>
      <c r="B83" s="73">
        <v>72</v>
      </c>
      <c r="C83" s="73">
        <v>-4</v>
      </c>
      <c r="E83" s="47">
        <v>1000</v>
      </c>
      <c r="F83" s="47">
        <f t="shared" si="5"/>
        <v>1009</v>
      </c>
      <c r="G83" s="47">
        <f t="shared" si="5"/>
        <v>-40</v>
      </c>
      <c r="H83" s="26"/>
      <c r="I83" s="47">
        <f t="shared" si="1"/>
        <v>10</v>
      </c>
      <c r="J83" s="47">
        <f t="shared" si="4"/>
        <v>1194.4499999999998</v>
      </c>
      <c r="K83" s="47">
        <f t="shared" si="2"/>
        <v>36.294439380127621</v>
      </c>
      <c r="L83" s="47">
        <f t="shared" si="3"/>
        <v>-0.4</v>
      </c>
      <c r="M83" s="16"/>
    </row>
    <row r="84" spans="1:13" x14ac:dyDescent="0.2">
      <c r="A84" s="78">
        <v>40</v>
      </c>
      <c r="B84" s="73">
        <v>104</v>
      </c>
      <c r="C84" s="73">
        <v>-2</v>
      </c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">
      <c r="A85" s="78">
        <v>50</v>
      </c>
      <c r="B85" s="73">
        <v>162</v>
      </c>
      <c r="C85" s="73">
        <v>-2</v>
      </c>
      <c r="E85" s="96" t="str">
        <f>+E1</f>
        <v>ENSAYO DE CORTE DIRECTO PARA DISCONTINUIDADES ARTIFICIALES EN ROCAS</v>
      </c>
      <c r="F85" s="96"/>
      <c r="G85" s="96"/>
      <c r="H85" s="96"/>
      <c r="I85" s="96"/>
      <c r="J85" s="96"/>
      <c r="K85" s="96"/>
      <c r="L85" s="96"/>
      <c r="M85" s="96"/>
    </row>
    <row r="86" spans="1:13" x14ac:dyDescent="0.2">
      <c r="A86" s="78">
        <v>60</v>
      </c>
      <c r="B86" s="73">
        <v>284</v>
      </c>
      <c r="C86" s="73">
        <v>-2</v>
      </c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">
      <c r="A87" s="78">
        <v>70</v>
      </c>
      <c r="B87" s="73">
        <v>452</v>
      </c>
      <c r="C87" s="73">
        <v>-2</v>
      </c>
      <c r="E87" s="12" t="s">
        <v>0</v>
      </c>
      <c r="F87" s="17" t="str">
        <f>+F3</f>
        <v>C1BH-L12-L10-3+780-D</v>
      </c>
      <c r="G87" s="18"/>
      <c r="H87" s="18"/>
      <c r="I87" s="18"/>
      <c r="J87" s="18"/>
      <c r="K87" s="18"/>
      <c r="L87" s="19"/>
      <c r="M87" s="16"/>
    </row>
    <row r="88" spans="1:13" x14ac:dyDescent="0.2">
      <c r="A88" s="78">
        <v>80</v>
      </c>
      <c r="B88" s="73">
        <v>641</v>
      </c>
      <c r="C88" s="73">
        <v>-2</v>
      </c>
      <c r="E88" s="11" t="s">
        <v>39</v>
      </c>
      <c r="F88" s="17" t="str">
        <f>+F4</f>
        <v>1.914.650-G</v>
      </c>
      <c r="G88" s="21"/>
      <c r="H88" s="21"/>
      <c r="I88" s="21"/>
      <c r="J88" s="21"/>
      <c r="K88" s="21"/>
      <c r="L88" s="22"/>
      <c r="M88" s="16"/>
    </row>
    <row r="89" spans="1:13" x14ac:dyDescent="0.2">
      <c r="A89" s="78">
        <v>90</v>
      </c>
      <c r="B89" s="73">
        <v>809</v>
      </c>
      <c r="C89" s="73">
        <v>-3</v>
      </c>
      <c r="E89" s="11" t="s">
        <v>1</v>
      </c>
      <c r="F89" s="17" t="str">
        <f>+F5</f>
        <v>-</v>
      </c>
      <c r="G89" s="21"/>
      <c r="H89" s="21"/>
      <c r="I89" s="21"/>
      <c r="J89" s="21"/>
      <c r="K89" s="21"/>
      <c r="L89" s="22"/>
      <c r="M89" s="16"/>
    </row>
    <row r="90" spans="1:13" x14ac:dyDescent="0.2">
      <c r="A90" s="78">
        <v>100</v>
      </c>
      <c r="B90" s="73">
        <v>971</v>
      </c>
      <c r="C90" s="73">
        <v>-5</v>
      </c>
      <c r="E90" s="23" t="s">
        <v>38</v>
      </c>
      <c r="F90" s="100">
        <f>+F6</f>
        <v>45447</v>
      </c>
      <c r="G90" s="24"/>
      <c r="H90" s="24"/>
      <c r="I90" s="24"/>
      <c r="J90" s="24"/>
      <c r="K90" s="24"/>
      <c r="L90" s="25"/>
      <c r="M90" s="16"/>
    </row>
    <row r="91" spans="1:13" x14ac:dyDescent="0.2">
      <c r="A91" s="78">
        <v>110</v>
      </c>
      <c r="B91" s="73">
        <v>985</v>
      </c>
      <c r="C91" s="73">
        <v>-6</v>
      </c>
      <c r="E91" s="23" t="s">
        <v>37</v>
      </c>
      <c r="F91" s="101">
        <f>+F7</f>
        <v>45447</v>
      </c>
      <c r="G91" s="24"/>
      <c r="H91" s="24"/>
      <c r="I91" s="24"/>
      <c r="J91" s="24"/>
      <c r="K91" s="24"/>
      <c r="L91" s="25"/>
      <c r="M91" s="16"/>
    </row>
    <row r="92" spans="1:13" x14ac:dyDescent="0.2">
      <c r="A92" s="78">
        <v>120</v>
      </c>
      <c r="B92" s="73">
        <v>1026</v>
      </c>
      <c r="C92" s="73">
        <v>-6</v>
      </c>
      <c r="E92" s="26"/>
      <c r="F92" s="27"/>
      <c r="G92" s="26"/>
      <c r="H92" s="16"/>
      <c r="I92" s="16"/>
      <c r="J92" s="16"/>
      <c r="K92" s="16"/>
      <c r="L92" s="16"/>
      <c r="M92" s="16"/>
    </row>
    <row r="93" spans="1:13" x14ac:dyDescent="0.2">
      <c r="A93" s="78">
        <v>130</v>
      </c>
      <c r="B93" s="73">
        <v>985</v>
      </c>
      <c r="C93" s="73">
        <v>-6</v>
      </c>
      <c r="E93" s="23" t="s">
        <v>36</v>
      </c>
      <c r="F93" s="15" t="str">
        <f>+F9</f>
        <v xml:space="preserve">C1BH-L12-L10-3+780-D (23,40-23,50) 	</v>
      </c>
      <c r="G93" s="21"/>
      <c r="H93" s="21"/>
      <c r="I93" s="21"/>
      <c r="J93" s="21"/>
      <c r="K93" s="21"/>
      <c r="L93" s="22"/>
      <c r="M93" s="16"/>
    </row>
    <row r="94" spans="1:13" x14ac:dyDescent="0.2">
      <c r="A94" s="78">
        <v>140</v>
      </c>
      <c r="B94" s="73">
        <v>1070</v>
      </c>
      <c r="C94" s="73">
        <v>-6</v>
      </c>
      <c r="E94" s="10" t="s">
        <v>3</v>
      </c>
      <c r="F94" s="15" t="str">
        <f>+F10</f>
        <v>Toba Lítica</v>
      </c>
      <c r="G94" s="21"/>
      <c r="H94" s="28"/>
      <c r="I94" s="28"/>
      <c r="J94" s="28"/>
      <c r="K94" s="28"/>
      <c r="L94" s="29"/>
      <c r="M94" s="16"/>
    </row>
    <row r="95" spans="1:13" x14ac:dyDescent="0.2">
      <c r="A95" s="78">
        <v>150</v>
      </c>
      <c r="B95" s="73">
        <v>1041</v>
      </c>
      <c r="C95" s="73">
        <v>-6</v>
      </c>
      <c r="E95" s="30" t="s">
        <v>4</v>
      </c>
      <c r="F95" s="15" t="str">
        <f>+F11</f>
        <v>Óxidos de hierro y zeolitas</v>
      </c>
      <c r="G95" s="21"/>
      <c r="H95" s="28"/>
      <c r="I95" s="28"/>
      <c r="J95" s="28"/>
      <c r="K95" s="28"/>
      <c r="L95" s="29"/>
      <c r="M95" s="16"/>
    </row>
    <row r="96" spans="1:13" x14ac:dyDescent="0.2">
      <c r="A96" s="78">
        <v>160</v>
      </c>
      <c r="B96" s="73">
        <v>1073</v>
      </c>
      <c r="C96" s="73">
        <v>-6</v>
      </c>
      <c r="E96" s="30" t="s">
        <v>5</v>
      </c>
      <c r="F96" s="15" t="str">
        <f>+F12</f>
        <v>Oxidación y zeolitización</v>
      </c>
      <c r="G96" s="21"/>
      <c r="H96" s="28"/>
      <c r="I96" s="28"/>
      <c r="J96" s="28"/>
      <c r="K96" s="28"/>
      <c r="L96" s="29"/>
      <c r="M96" s="16"/>
    </row>
    <row r="97" spans="1:13" x14ac:dyDescent="0.2">
      <c r="A97" s="78">
        <v>170</v>
      </c>
      <c r="B97" s="73">
        <v>1116</v>
      </c>
      <c r="C97" s="73">
        <v>-6</v>
      </c>
      <c r="E97" s="26"/>
      <c r="F97" s="26"/>
      <c r="G97" s="26"/>
      <c r="H97" s="16"/>
      <c r="I97" s="16"/>
      <c r="J97" s="16"/>
      <c r="K97" s="16"/>
      <c r="L97" s="16"/>
      <c r="M97" s="16"/>
    </row>
    <row r="98" spans="1:13" x14ac:dyDescent="0.2">
      <c r="A98" s="78">
        <v>180</v>
      </c>
      <c r="B98" s="73">
        <v>1157</v>
      </c>
      <c r="C98" s="73">
        <v>-6</v>
      </c>
      <c r="E98" s="31" t="s">
        <v>41</v>
      </c>
      <c r="F98" s="26"/>
      <c r="G98" s="26"/>
      <c r="H98" s="16"/>
      <c r="I98" s="16"/>
      <c r="J98" s="16"/>
      <c r="K98" s="16"/>
      <c r="L98" s="16"/>
      <c r="M98" s="16"/>
    </row>
    <row r="99" spans="1:13" x14ac:dyDescent="0.2">
      <c r="A99" s="78">
        <v>190</v>
      </c>
      <c r="B99" s="73">
        <v>1084</v>
      </c>
      <c r="C99" s="73">
        <v>-6</v>
      </c>
      <c r="E99" s="32" t="s">
        <v>34</v>
      </c>
      <c r="F99" s="33" t="s">
        <v>27</v>
      </c>
      <c r="G99" s="38">
        <f>B11</f>
        <v>32.909999999999997</v>
      </c>
      <c r="H99" s="16"/>
      <c r="I99" s="16"/>
      <c r="J99" s="16"/>
      <c r="K99" s="16"/>
      <c r="L99" s="16"/>
      <c r="M99" s="16"/>
    </row>
    <row r="100" spans="1:13" x14ac:dyDescent="0.2">
      <c r="A100" s="78">
        <v>200</v>
      </c>
      <c r="B100" s="73">
        <v>1174</v>
      </c>
      <c r="C100" s="73">
        <v>-7</v>
      </c>
      <c r="E100" s="49" t="s">
        <v>33</v>
      </c>
      <c r="F100" s="37" t="s">
        <v>14</v>
      </c>
      <c r="G100" s="38">
        <f>G101/G99</f>
        <v>40.801381854559395</v>
      </c>
      <c r="H100" s="39" t="s">
        <v>14</v>
      </c>
      <c r="I100" s="16"/>
      <c r="J100" s="16"/>
      <c r="K100" s="16"/>
      <c r="L100" s="16"/>
      <c r="M100" s="16"/>
    </row>
    <row r="101" spans="1:13" x14ac:dyDescent="0.2">
      <c r="A101" s="78">
        <v>220</v>
      </c>
      <c r="B101" s="73">
        <v>1145</v>
      </c>
      <c r="C101" s="73">
        <v>-5</v>
      </c>
      <c r="E101" s="32" t="s">
        <v>32</v>
      </c>
      <c r="F101" s="33" t="s">
        <v>31</v>
      </c>
      <c r="G101" s="38">
        <f>+G104*$G$103</f>
        <v>1342.7734768335495</v>
      </c>
      <c r="H101" s="40"/>
      <c r="I101" s="16"/>
      <c r="J101" s="16"/>
      <c r="K101" s="16"/>
      <c r="L101" s="16"/>
      <c r="M101" s="16"/>
    </row>
    <row r="102" spans="1:13" x14ac:dyDescent="0.2">
      <c r="A102" s="78">
        <v>240</v>
      </c>
      <c r="B102" s="73">
        <v>1134</v>
      </c>
      <c r="C102" s="73">
        <v>-3</v>
      </c>
      <c r="E102" s="32" t="s">
        <v>30</v>
      </c>
      <c r="F102" s="37" t="s">
        <v>29</v>
      </c>
      <c r="G102" s="38">
        <f>3.81</f>
        <v>3.81</v>
      </c>
      <c r="H102" s="41"/>
      <c r="I102" s="50"/>
      <c r="J102" s="50"/>
      <c r="K102" s="50"/>
      <c r="L102" s="50"/>
      <c r="M102" s="16"/>
    </row>
    <row r="103" spans="1:13" x14ac:dyDescent="0.2">
      <c r="A103" s="78">
        <v>260</v>
      </c>
      <c r="B103" s="73">
        <v>1061</v>
      </c>
      <c r="C103" s="73">
        <v>0</v>
      </c>
      <c r="E103" s="32" t="s">
        <v>28</v>
      </c>
      <c r="F103" s="33" t="s">
        <v>27</v>
      </c>
      <c r="G103" s="38">
        <f>((G102/2)^2)*PI()</f>
        <v>11.400918279693698</v>
      </c>
      <c r="H103" s="40"/>
      <c r="I103" s="50"/>
      <c r="J103" s="50"/>
      <c r="K103" s="50"/>
      <c r="L103" s="50"/>
      <c r="M103" s="16"/>
    </row>
    <row r="104" spans="1:13" x14ac:dyDescent="0.2">
      <c r="A104" s="78">
        <v>280</v>
      </c>
      <c r="B104" s="73">
        <v>1113</v>
      </c>
      <c r="C104" s="73">
        <v>2</v>
      </c>
      <c r="E104" s="32" t="s">
        <v>60</v>
      </c>
      <c r="F104" s="37" t="s">
        <v>14</v>
      </c>
      <c r="G104" s="38">
        <f>+C76*10.1972</f>
        <v>117.77766000000001</v>
      </c>
      <c r="H104" s="40"/>
      <c r="I104" s="16"/>
      <c r="J104" s="16"/>
      <c r="K104" s="16"/>
      <c r="L104" s="16"/>
      <c r="M104" s="16"/>
    </row>
    <row r="105" spans="1:13" x14ac:dyDescent="0.2">
      <c r="A105" s="78">
        <v>300</v>
      </c>
      <c r="B105" s="73">
        <v>1115</v>
      </c>
      <c r="C105" s="73">
        <v>6</v>
      </c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">
      <c r="A106" s="78">
        <v>320</v>
      </c>
      <c r="B106" s="73">
        <v>1186</v>
      </c>
      <c r="C106" s="73">
        <v>8</v>
      </c>
      <c r="E106" s="42" t="s">
        <v>40</v>
      </c>
      <c r="F106" s="16"/>
      <c r="G106" s="16"/>
      <c r="H106" s="16"/>
      <c r="I106" s="16"/>
      <c r="J106" s="16"/>
      <c r="K106" s="16"/>
      <c r="L106" s="16"/>
      <c r="M106" s="16"/>
    </row>
    <row r="107" spans="1:13" x14ac:dyDescent="0.2">
      <c r="A107" s="78">
        <v>340</v>
      </c>
      <c r="B107" s="73">
        <v>1118</v>
      </c>
      <c r="C107" s="73">
        <v>16</v>
      </c>
      <c r="E107" s="43" t="s">
        <v>22</v>
      </c>
      <c r="F107" s="44" t="s">
        <v>24</v>
      </c>
      <c r="G107" s="43" t="s">
        <v>22</v>
      </c>
      <c r="H107" s="16"/>
      <c r="I107" s="43" t="s">
        <v>22</v>
      </c>
      <c r="J107" s="43" t="s">
        <v>13</v>
      </c>
      <c r="K107" s="43" t="s">
        <v>23</v>
      </c>
      <c r="L107" s="43" t="s">
        <v>22</v>
      </c>
      <c r="M107" s="16"/>
    </row>
    <row r="108" spans="1:13" x14ac:dyDescent="0.2">
      <c r="A108" s="78">
        <v>360</v>
      </c>
      <c r="B108" s="73">
        <v>1229</v>
      </c>
      <c r="C108" s="73">
        <v>17</v>
      </c>
      <c r="E108" s="45" t="s">
        <v>21</v>
      </c>
      <c r="F108" s="45" t="s">
        <v>20</v>
      </c>
      <c r="G108" s="45" t="s">
        <v>19</v>
      </c>
      <c r="H108" s="16"/>
      <c r="I108" s="45" t="s">
        <v>21</v>
      </c>
      <c r="J108" s="45" t="s">
        <v>20</v>
      </c>
      <c r="K108" s="45" t="s">
        <v>20</v>
      </c>
      <c r="L108" s="45" t="s">
        <v>19</v>
      </c>
      <c r="M108" s="16"/>
    </row>
    <row r="109" spans="1:13" x14ac:dyDescent="0.2">
      <c r="A109" s="78">
        <v>380</v>
      </c>
      <c r="B109" s="73">
        <v>1215</v>
      </c>
      <c r="C109" s="73">
        <v>20</v>
      </c>
      <c r="E109" s="46" t="s">
        <v>18</v>
      </c>
      <c r="F109" s="46" t="s">
        <v>61</v>
      </c>
      <c r="G109" s="46" t="s">
        <v>18</v>
      </c>
      <c r="H109" s="16"/>
      <c r="I109" s="46" t="s">
        <v>12</v>
      </c>
      <c r="J109" s="46" t="s">
        <v>31</v>
      </c>
      <c r="K109" s="46" t="s">
        <v>14</v>
      </c>
      <c r="L109" s="46" t="s">
        <v>12</v>
      </c>
      <c r="M109" s="16"/>
    </row>
    <row r="110" spans="1:13" x14ac:dyDescent="0.2">
      <c r="A110" s="78">
        <v>400</v>
      </c>
      <c r="B110" s="73">
        <v>1250</v>
      </c>
      <c r="C110" s="73">
        <v>22</v>
      </c>
      <c r="E110" s="47">
        <v>0</v>
      </c>
      <c r="F110" s="47">
        <f t="shared" ref="F110:G141" si="6">B80</f>
        <v>0</v>
      </c>
      <c r="G110" s="47">
        <f t="shared" si="6"/>
        <v>0</v>
      </c>
      <c r="H110" s="26"/>
      <c r="I110" s="47">
        <f t="shared" ref="I110:I167" si="7">+E110*0.01</f>
        <v>0</v>
      </c>
      <c r="J110" s="47">
        <f>+IF(AND(F110&gt;=0,F110&lt;=500),1.22*F110+4.18,IF(AND(F110&gt;500,F110&lt;=4500),1.16*F110+24.01,"Error"))</f>
        <v>4.18</v>
      </c>
      <c r="K110" s="47">
        <f t="shared" ref="K110:K167" si="8">+J110/$G$99</f>
        <v>0.12701306593740505</v>
      </c>
      <c r="L110" s="47">
        <f t="shared" ref="L110:L167" si="9">+G110*0.01</f>
        <v>0</v>
      </c>
      <c r="M110" s="16"/>
    </row>
    <row r="111" spans="1:13" x14ac:dyDescent="0.2">
      <c r="A111" s="78">
        <v>420</v>
      </c>
      <c r="B111" s="73">
        <v>1267</v>
      </c>
      <c r="C111" s="73">
        <v>25</v>
      </c>
      <c r="E111" s="47">
        <v>10</v>
      </c>
      <c r="F111" s="47">
        <f t="shared" si="6"/>
        <v>46</v>
      </c>
      <c r="G111" s="47">
        <f t="shared" si="6"/>
        <v>-2</v>
      </c>
      <c r="H111" s="26"/>
      <c r="I111" s="47">
        <f t="shared" si="7"/>
        <v>0.1</v>
      </c>
      <c r="J111" s="47">
        <f t="shared" ref="J111:J167" si="10">+IF(AND(F111&gt;=0,F111&lt;=500),1.22*F111+4.18,IF(AND(F111&gt;500,F111&lt;=4500),1.16*F111+24.01,"Error"))</f>
        <v>60.3</v>
      </c>
      <c r="K111" s="47">
        <f t="shared" si="8"/>
        <v>1.8322698268003648</v>
      </c>
      <c r="L111" s="47">
        <f t="shared" si="9"/>
        <v>-0.02</v>
      </c>
      <c r="M111" s="16"/>
    </row>
    <row r="112" spans="1:13" x14ac:dyDescent="0.2">
      <c r="A112" s="78">
        <v>440</v>
      </c>
      <c r="B112" s="73">
        <v>1166</v>
      </c>
      <c r="C112" s="73">
        <v>27</v>
      </c>
      <c r="E112" s="47">
        <v>20</v>
      </c>
      <c r="F112" s="47">
        <f t="shared" si="6"/>
        <v>60</v>
      </c>
      <c r="G112" s="47">
        <f t="shared" si="6"/>
        <v>-4</v>
      </c>
      <c r="H112" s="26"/>
      <c r="I112" s="47">
        <f t="shared" si="7"/>
        <v>0.2</v>
      </c>
      <c r="J112" s="47">
        <f t="shared" si="10"/>
        <v>77.38</v>
      </c>
      <c r="K112" s="47">
        <f t="shared" si="8"/>
        <v>2.3512610148890918</v>
      </c>
      <c r="L112" s="47">
        <f t="shared" si="9"/>
        <v>-0.04</v>
      </c>
      <c r="M112" s="16"/>
    </row>
    <row r="113" spans="1:13" x14ac:dyDescent="0.2">
      <c r="A113" s="78">
        <v>460</v>
      </c>
      <c r="B113" s="73">
        <v>1244</v>
      </c>
      <c r="C113" s="73">
        <v>31</v>
      </c>
      <c r="E113" s="47">
        <v>30</v>
      </c>
      <c r="F113" s="47">
        <f t="shared" si="6"/>
        <v>72</v>
      </c>
      <c r="G113" s="47">
        <f t="shared" si="6"/>
        <v>-4</v>
      </c>
      <c r="H113" s="26"/>
      <c r="I113" s="47">
        <f t="shared" si="7"/>
        <v>0.3</v>
      </c>
      <c r="J113" s="47">
        <f t="shared" si="10"/>
        <v>92.02000000000001</v>
      </c>
      <c r="K113" s="47">
        <f t="shared" si="8"/>
        <v>2.7961106046794293</v>
      </c>
      <c r="L113" s="47">
        <f t="shared" si="9"/>
        <v>-0.04</v>
      </c>
      <c r="M113" s="16"/>
    </row>
    <row r="114" spans="1:13" x14ac:dyDescent="0.2">
      <c r="A114" s="78">
        <v>480</v>
      </c>
      <c r="B114" s="73">
        <v>1224</v>
      </c>
      <c r="C114" s="73">
        <v>34</v>
      </c>
      <c r="E114" s="47">
        <v>40</v>
      </c>
      <c r="F114" s="47">
        <f t="shared" si="6"/>
        <v>104</v>
      </c>
      <c r="G114" s="47">
        <f t="shared" si="6"/>
        <v>-2</v>
      </c>
      <c r="H114" s="26"/>
      <c r="I114" s="47">
        <f t="shared" si="7"/>
        <v>0.4</v>
      </c>
      <c r="J114" s="47">
        <f t="shared" si="10"/>
        <v>131.06</v>
      </c>
      <c r="K114" s="47">
        <f t="shared" si="8"/>
        <v>3.9823761774536619</v>
      </c>
      <c r="L114" s="47">
        <f t="shared" si="9"/>
        <v>-0.02</v>
      </c>
      <c r="M114" s="16"/>
    </row>
    <row r="115" spans="1:13" x14ac:dyDescent="0.2">
      <c r="A115" s="78">
        <v>500</v>
      </c>
      <c r="B115" s="73">
        <v>1215</v>
      </c>
      <c r="C115" s="73">
        <v>41</v>
      </c>
      <c r="E115" s="47">
        <v>50</v>
      </c>
      <c r="F115" s="47">
        <f t="shared" si="6"/>
        <v>162</v>
      </c>
      <c r="G115" s="47">
        <f t="shared" si="6"/>
        <v>-2</v>
      </c>
      <c r="H115" s="26"/>
      <c r="I115" s="47">
        <f t="shared" si="7"/>
        <v>0.5</v>
      </c>
      <c r="J115" s="47">
        <f t="shared" si="10"/>
        <v>201.82</v>
      </c>
      <c r="K115" s="47">
        <f t="shared" si="8"/>
        <v>6.1324825281069586</v>
      </c>
      <c r="L115" s="47">
        <f t="shared" si="9"/>
        <v>-0.02</v>
      </c>
      <c r="M115" s="16"/>
    </row>
    <row r="116" spans="1:13" x14ac:dyDescent="0.2">
      <c r="A116" s="78">
        <v>520</v>
      </c>
      <c r="B116" s="73">
        <v>1273</v>
      </c>
      <c r="C116" s="73">
        <v>43</v>
      </c>
      <c r="E116" s="47">
        <v>60</v>
      </c>
      <c r="F116" s="47">
        <f t="shared" si="6"/>
        <v>284</v>
      </c>
      <c r="G116" s="47">
        <f t="shared" si="6"/>
        <v>-2</v>
      </c>
      <c r="H116" s="26"/>
      <c r="I116" s="47">
        <f t="shared" si="7"/>
        <v>0.6</v>
      </c>
      <c r="J116" s="47">
        <f t="shared" si="10"/>
        <v>350.66</v>
      </c>
      <c r="K116" s="47">
        <f t="shared" si="8"/>
        <v>10.655120024308722</v>
      </c>
      <c r="L116" s="47">
        <f t="shared" si="9"/>
        <v>-0.02</v>
      </c>
      <c r="M116" s="16"/>
    </row>
    <row r="117" spans="1:13" x14ac:dyDescent="0.2">
      <c r="A117" s="78">
        <v>540</v>
      </c>
      <c r="B117" s="73">
        <v>1241</v>
      </c>
      <c r="C117" s="73">
        <v>46</v>
      </c>
      <c r="E117" s="47">
        <v>70</v>
      </c>
      <c r="F117" s="47">
        <f t="shared" si="6"/>
        <v>452</v>
      </c>
      <c r="G117" s="47">
        <f t="shared" si="6"/>
        <v>-2</v>
      </c>
      <c r="H117" s="26"/>
      <c r="I117" s="47">
        <f t="shared" si="7"/>
        <v>0.70000000000000007</v>
      </c>
      <c r="J117" s="47">
        <f t="shared" si="10"/>
        <v>555.61999999999989</v>
      </c>
      <c r="K117" s="47">
        <f t="shared" si="8"/>
        <v>16.883014281373441</v>
      </c>
      <c r="L117" s="47">
        <f t="shared" si="9"/>
        <v>-0.02</v>
      </c>
      <c r="M117" s="16"/>
    </row>
    <row r="118" spans="1:13" x14ac:dyDescent="0.2">
      <c r="A118" s="78">
        <v>560</v>
      </c>
      <c r="B118" s="73">
        <v>1171</v>
      </c>
      <c r="C118" s="73">
        <v>49</v>
      </c>
      <c r="E118" s="47">
        <v>80</v>
      </c>
      <c r="F118" s="47">
        <f t="shared" si="6"/>
        <v>641</v>
      </c>
      <c r="G118" s="47">
        <f t="shared" si="6"/>
        <v>-2</v>
      </c>
      <c r="H118" s="26"/>
      <c r="I118" s="47">
        <f t="shared" si="7"/>
        <v>0.8</v>
      </c>
      <c r="J118" s="47">
        <f t="shared" si="10"/>
        <v>767.56999999999994</v>
      </c>
      <c r="K118" s="47">
        <f t="shared" si="8"/>
        <v>23.323305986022486</v>
      </c>
      <c r="L118" s="47">
        <f t="shared" si="9"/>
        <v>-0.02</v>
      </c>
      <c r="M118" s="16"/>
    </row>
    <row r="119" spans="1:13" x14ac:dyDescent="0.2">
      <c r="A119" s="78">
        <v>580</v>
      </c>
      <c r="B119" s="73">
        <v>1225</v>
      </c>
      <c r="C119" s="73">
        <v>52</v>
      </c>
      <c r="E119" s="47">
        <v>90</v>
      </c>
      <c r="F119" s="47">
        <f t="shared" si="6"/>
        <v>809</v>
      </c>
      <c r="G119" s="47">
        <f t="shared" si="6"/>
        <v>-3</v>
      </c>
      <c r="H119" s="26"/>
      <c r="I119" s="47">
        <f t="shared" si="7"/>
        <v>0.9</v>
      </c>
      <c r="J119" s="47">
        <f t="shared" si="10"/>
        <v>962.44999999999993</v>
      </c>
      <c r="K119" s="47">
        <f t="shared" si="8"/>
        <v>29.244910361592222</v>
      </c>
      <c r="L119" s="47">
        <f t="shared" si="9"/>
        <v>-0.03</v>
      </c>
      <c r="M119" s="16"/>
    </row>
    <row r="120" spans="1:13" x14ac:dyDescent="0.2">
      <c r="A120" s="78">
        <v>600</v>
      </c>
      <c r="B120" s="73">
        <v>1196</v>
      </c>
      <c r="C120" s="73">
        <v>61</v>
      </c>
      <c r="E120" s="47">
        <v>100</v>
      </c>
      <c r="F120" s="47">
        <f t="shared" si="6"/>
        <v>971</v>
      </c>
      <c r="G120" s="47">
        <f t="shared" si="6"/>
        <v>-5</v>
      </c>
      <c r="H120" s="26"/>
      <c r="I120" s="47">
        <f t="shared" si="7"/>
        <v>1</v>
      </c>
      <c r="J120" s="47">
        <f t="shared" si="10"/>
        <v>1150.3699999999999</v>
      </c>
      <c r="K120" s="47">
        <f t="shared" si="8"/>
        <v>34.955028866605893</v>
      </c>
      <c r="L120" s="47">
        <f t="shared" si="9"/>
        <v>-0.05</v>
      </c>
      <c r="M120" s="16"/>
    </row>
    <row r="121" spans="1:13" x14ac:dyDescent="0.2">
      <c r="A121" s="78">
        <v>620</v>
      </c>
      <c r="B121" s="73">
        <v>1218</v>
      </c>
      <c r="C121" s="73">
        <v>67</v>
      </c>
      <c r="E121" s="47">
        <v>110</v>
      </c>
      <c r="F121" s="47">
        <f t="shared" si="6"/>
        <v>985</v>
      </c>
      <c r="G121" s="47">
        <f t="shared" si="6"/>
        <v>-6</v>
      </c>
      <c r="H121" s="26"/>
      <c r="I121" s="47">
        <f t="shared" si="7"/>
        <v>1.1000000000000001</v>
      </c>
      <c r="J121" s="47">
        <f t="shared" si="10"/>
        <v>1166.6099999999999</v>
      </c>
      <c r="K121" s="47">
        <f t="shared" si="8"/>
        <v>35.448495897903371</v>
      </c>
      <c r="L121" s="47">
        <f t="shared" si="9"/>
        <v>-0.06</v>
      </c>
      <c r="M121" s="16"/>
    </row>
    <row r="122" spans="1:13" x14ac:dyDescent="0.2">
      <c r="A122" s="78">
        <v>640</v>
      </c>
      <c r="B122" s="73">
        <v>1206</v>
      </c>
      <c r="C122" s="73">
        <v>70</v>
      </c>
      <c r="E122" s="47">
        <v>120</v>
      </c>
      <c r="F122" s="47">
        <f t="shared" si="6"/>
        <v>1026</v>
      </c>
      <c r="G122" s="47">
        <f t="shared" si="6"/>
        <v>-6</v>
      </c>
      <c r="H122" s="26"/>
      <c r="I122" s="47">
        <f t="shared" si="7"/>
        <v>1.2</v>
      </c>
      <c r="J122" s="47">
        <f t="shared" si="10"/>
        <v>1214.1699999999998</v>
      </c>
      <c r="K122" s="47">
        <f t="shared" si="8"/>
        <v>36.893649346703128</v>
      </c>
      <c r="L122" s="47">
        <f t="shared" si="9"/>
        <v>-0.06</v>
      </c>
      <c r="M122" s="16"/>
    </row>
    <row r="123" spans="1:13" x14ac:dyDescent="0.2">
      <c r="A123" s="78">
        <v>660</v>
      </c>
      <c r="B123" s="73">
        <v>1189</v>
      </c>
      <c r="C123" s="73">
        <v>74</v>
      </c>
      <c r="E123" s="47">
        <v>130</v>
      </c>
      <c r="F123" s="47">
        <f t="shared" si="6"/>
        <v>985</v>
      </c>
      <c r="G123" s="47">
        <f t="shared" si="6"/>
        <v>-6</v>
      </c>
      <c r="H123" s="26"/>
      <c r="I123" s="47">
        <f t="shared" si="7"/>
        <v>1.3</v>
      </c>
      <c r="J123" s="47">
        <f t="shared" si="10"/>
        <v>1166.6099999999999</v>
      </c>
      <c r="K123" s="47">
        <f t="shared" si="8"/>
        <v>35.448495897903371</v>
      </c>
      <c r="L123" s="47">
        <f t="shared" si="9"/>
        <v>-0.06</v>
      </c>
      <c r="M123" s="16"/>
    </row>
    <row r="124" spans="1:13" x14ac:dyDescent="0.2">
      <c r="A124" s="78">
        <v>680</v>
      </c>
      <c r="B124" s="73">
        <v>1226</v>
      </c>
      <c r="C124" s="73">
        <v>74</v>
      </c>
      <c r="E124" s="47">
        <v>140</v>
      </c>
      <c r="F124" s="47">
        <f t="shared" si="6"/>
        <v>1070</v>
      </c>
      <c r="G124" s="47">
        <f t="shared" si="6"/>
        <v>-6</v>
      </c>
      <c r="H124" s="26"/>
      <c r="I124" s="47">
        <f t="shared" si="7"/>
        <v>1.4000000000000001</v>
      </c>
      <c r="J124" s="47">
        <f t="shared" si="10"/>
        <v>1265.2099999999998</v>
      </c>
      <c r="K124" s="47">
        <f t="shared" si="8"/>
        <v>38.444545730780916</v>
      </c>
      <c r="L124" s="47">
        <f t="shared" si="9"/>
        <v>-0.06</v>
      </c>
      <c r="M124" s="16"/>
    </row>
    <row r="125" spans="1:13" x14ac:dyDescent="0.2">
      <c r="A125" s="78">
        <v>700</v>
      </c>
      <c r="B125" s="73">
        <v>1250</v>
      </c>
      <c r="C125" s="73">
        <v>74</v>
      </c>
      <c r="E125" s="47">
        <v>150</v>
      </c>
      <c r="F125" s="47">
        <f t="shared" si="6"/>
        <v>1041</v>
      </c>
      <c r="G125" s="47">
        <f t="shared" si="6"/>
        <v>-6</v>
      </c>
      <c r="H125" s="26"/>
      <c r="I125" s="47">
        <f t="shared" si="7"/>
        <v>1.5</v>
      </c>
      <c r="J125" s="47">
        <f t="shared" si="10"/>
        <v>1231.57</v>
      </c>
      <c r="K125" s="47">
        <f t="shared" si="8"/>
        <v>37.422364023093287</v>
      </c>
      <c r="L125" s="47">
        <f t="shared" si="9"/>
        <v>-0.06</v>
      </c>
      <c r="M125" s="16"/>
    </row>
    <row r="126" spans="1:13" x14ac:dyDescent="0.2">
      <c r="A126" s="78">
        <v>720</v>
      </c>
      <c r="B126" s="73">
        <v>1221</v>
      </c>
      <c r="C126" s="73">
        <v>74</v>
      </c>
      <c r="E126" s="47">
        <v>160</v>
      </c>
      <c r="F126" s="47">
        <f t="shared" si="6"/>
        <v>1073</v>
      </c>
      <c r="G126" s="47">
        <f t="shared" si="6"/>
        <v>-6</v>
      </c>
      <c r="H126" s="26"/>
      <c r="I126" s="47">
        <f t="shared" si="7"/>
        <v>1.6</v>
      </c>
      <c r="J126" s="47">
        <f t="shared" si="10"/>
        <v>1268.6899999999998</v>
      </c>
      <c r="K126" s="47">
        <f t="shared" si="8"/>
        <v>38.550288666058947</v>
      </c>
      <c r="L126" s="47">
        <f t="shared" si="9"/>
        <v>-0.06</v>
      </c>
      <c r="M126" s="16"/>
    </row>
    <row r="127" spans="1:13" x14ac:dyDescent="0.2">
      <c r="A127" s="78">
        <v>740</v>
      </c>
      <c r="B127" s="73">
        <v>1203</v>
      </c>
      <c r="C127" s="73">
        <v>74</v>
      </c>
      <c r="E127" s="47">
        <v>170</v>
      </c>
      <c r="F127" s="47">
        <f t="shared" si="6"/>
        <v>1116</v>
      </c>
      <c r="G127" s="47">
        <f t="shared" si="6"/>
        <v>-6</v>
      </c>
      <c r="H127" s="26"/>
      <c r="I127" s="47">
        <f t="shared" si="7"/>
        <v>1.7</v>
      </c>
      <c r="J127" s="47">
        <f t="shared" si="10"/>
        <v>1318.57</v>
      </c>
      <c r="K127" s="47">
        <f t="shared" si="8"/>
        <v>40.06593740504406</v>
      </c>
      <c r="L127" s="47">
        <f t="shared" si="9"/>
        <v>-0.06</v>
      </c>
      <c r="M127" s="16"/>
    </row>
    <row r="128" spans="1:13" x14ac:dyDescent="0.2">
      <c r="A128" s="78">
        <v>760</v>
      </c>
      <c r="B128" s="73">
        <v>1135</v>
      </c>
      <c r="C128" s="73">
        <v>78</v>
      </c>
      <c r="E128" s="47">
        <v>180</v>
      </c>
      <c r="F128" s="47">
        <f t="shared" si="6"/>
        <v>1157</v>
      </c>
      <c r="G128" s="47">
        <f t="shared" si="6"/>
        <v>-6</v>
      </c>
      <c r="H128" s="26"/>
      <c r="I128" s="47">
        <f t="shared" si="7"/>
        <v>1.8</v>
      </c>
      <c r="J128" s="47">
        <f t="shared" si="10"/>
        <v>1366.1299999999999</v>
      </c>
      <c r="K128" s="47">
        <f t="shared" si="8"/>
        <v>41.511090853843818</v>
      </c>
      <c r="L128" s="47">
        <f t="shared" si="9"/>
        <v>-0.06</v>
      </c>
      <c r="M128" s="16"/>
    </row>
    <row r="129" spans="1:13" x14ac:dyDescent="0.2">
      <c r="A129" s="78">
        <v>780</v>
      </c>
      <c r="B129" s="73">
        <v>1122</v>
      </c>
      <c r="C129" s="73">
        <v>79</v>
      </c>
      <c r="E129" s="47">
        <v>190</v>
      </c>
      <c r="F129" s="47">
        <f t="shared" si="6"/>
        <v>1084</v>
      </c>
      <c r="G129" s="47">
        <f t="shared" si="6"/>
        <v>-6</v>
      </c>
      <c r="H129" s="26"/>
      <c r="I129" s="47">
        <f t="shared" si="7"/>
        <v>1.9000000000000001</v>
      </c>
      <c r="J129" s="47">
        <f t="shared" si="10"/>
        <v>1281.4499999999998</v>
      </c>
      <c r="K129" s="47">
        <f t="shared" si="8"/>
        <v>38.938012762078394</v>
      </c>
      <c r="L129" s="47">
        <f t="shared" si="9"/>
        <v>-0.06</v>
      </c>
      <c r="M129" s="16"/>
    </row>
    <row r="130" spans="1:13" x14ac:dyDescent="0.2">
      <c r="A130" s="78">
        <v>800</v>
      </c>
      <c r="B130" s="73">
        <v>1102</v>
      </c>
      <c r="C130" s="73">
        <v>83</v>
      </c>
      <c r="E130" s="47">
        <v>200</v>
      </c>
      <c r="F130" s="47">
        <f t="shared" si="6"/>
        <v>1174</v>
      </c>
      <c r="G130" s="47">
        <f t="shared" si="6"/>
        <v>-7</v>
      </c>
      <c r="H130" s="26"/>
      <c r="I130" s="47">
        <f t="shared" si="7"/>
        <v>2</v>
      </c>
      <c r="J130" s="47">
        <f t="shared" si="10"/>
        <v>1385.85</v>
      </c>
      <c r="K130" s="47">
        <f t="shared" si="8"/>
        <v>42.110300820419326</v>
      </c>
      <c r="L130" s="47">
        <f t="shared" si="9"/>
        <v>-7.0000000000000007E-2</v>
      </c>
      <c r="M130" s="16"/>
    </row>
    <row r="131" spans="1:13" x14ac:dyDescent="0.2">
      <c r="A131" s="78">
        <v>820</v>
      </c>
      <c r="B131" s="73">
        <v>1154</v>
      </c>
      <c r="C131" s="73">
        <v>83</v>
      </c>
      <c r="E131" s="47">
        <v>220</v>
      </c>
      <c r="F131" s="47">
        <f t="shared" si="6"/>
        <v>1145</v>
      </c>
      <c r="G131" s="47">
        <f t="shared" si="6"/>
        <v>-5</v>
      </c>
      <c r="H131" s="26"/>
      <c r="I131" s="47">
        <f t="shared" si="7"/>
        <v>2.2000000000000002</v>
      </c>
      <c r="J131" s="47">
        <f t="shared" si="10"/>
        <v>1352.2099999999998</v>
      </c>
      <c r="K131" s="47">
        <f t="shared" si="8"/>
        <v>41.08811911273169</v>
      </c>
      <c r="L131" s="47">
        <f t="shared" si="9"/>
        <v>-0.05</v>
      </c>
      <c r="M131" s="16"/>
    </row>
    <row r="132" spans="1:13" x14ac:dyDescent="0.2">
      <c r="A132" s="78">
        <v>840</v>
      </c>
      <c r="B132" s="73">
        <v>1151</v>
      </c>
      <c r="C132" s="73">
        <v>83</v>
      </c>
      <c r="E132" s="47">
        <v>240</v>
      </c>
      <c r="F132" s="47">
        <f t="shared" si="6"/>
        <v>1134</v>
      </c>
      <c r="G132" s="47">
        <f t="shared" si="6"/>
        <v>-3</v>
      </c>
      <c r="H132" s="26"/>
      <c r="I132" s="47">
        <f t="shared" si="7"/>
        <v>2.4</v>
      </c>
      <c r="J132" s="47">
        <f t="shared" si="10"/>
        <v>1339.4499999999998</v>
      </c>
      <c r="K132" s="47">
        <f t="shared" si="8"/>
        <v>40.700395016712243</v>
      </c>
      <c r="L132" s="47">
        <f t="shared" si="9"/>
        <v>-0.03</v>
      </c>
      <c r="M132" s="16"/>
    </row>
    <row r="133" spans="1:13" x14ac:dyDescent="0.2">
      <c r="A133" s="78">
        <v>860</v>
      </c>
      <c r="B133" s="73">
        <v>1163</v>
      </c>
      <c r="C133" s="73">
        <v>84</v>
      </c>
      <c r="E133" s="47">
        <v>260</v>
      </c>
      <c r="F133" s="47">
        <f t="shared" si="6"/>
        <v>1061</v>
      </c>
      <c r="G133" s="47">
        <f t="shared" si="6"/>
        <v>0</v>
      </c>
      <c r="H133" s="26"/>
      <c r="I133" s="47">
        <f t="shared" si="7"/>
        <v>2.6</v>
      </c>
      <c r="J133" s="47">
        <f t="shared" si="10"/>
        <v>1254.77</v>
      </c>
      <c r="K133" s="47">
        <f t="shared" si="8"/>
        <v>38.127316924946825</v>
      </c>
      <c r="L133" s="47">
        <f t="shared" si="9"/>
        <v>0</v>
      </c>
      <c r="M133" s="16"/>
    </row>
    <row r="134" spans="1:13" x14ac:dyDescent="0.2">
      <c r="A134" s="78">
        <v>880</v>
      </c>
      <c r="B134" s="73">
        <v>1174</v>
      </c>
      <c r="C134" s="73">
        <v>85</v>
      </c>
      <c r="E134" s="47">
        <v>280</v>
      </c>
      <c r="F134" s="47">
        <f t="shared" si="6"/>
        <v>1113</v>
      </c>
      <c r="G134" s="47">
        <f t="shared" si="6"/>
        <v>2</v>
      </c>
      <c r="H134" s="26"/>
      <c r="I134" s="47">
        <f t="shared" si="7"/>
        <v>2.8000000000000003</v>
      </c>
      <c r="J134" s="47">
        <f t="shared" si="10"/>
        <v>1315.09</v>
      </c>
      <c r="K134" s="47">
        <f t="shared" si="8"/>
        <v>39.96019446976603</v>
      </c>
      <c r="L134" s="47">
        <f t="shared" si="9"/>
        <v>0.02</v>
      </c>
      <c r="M134" s="16"/>
    </row>
    <row r="135" spans="1:13" x14ac:dyDescent="0.2">
      <c r="A135" s="78">
        <v>900</v>
      </c>
      <c r="B135" s="73">
        <v>1177</v>
      </c>
      <c r="C135" s="73">
        <v>85</v>
      </c>
      <c r="E135" s="47">
        <v>300</v>
      </c>
      <c r="F135" s="47">
        <f t="shared" si="6"/>
        <v>1115</v>
      </c>
      <c r="G135" s="47">
        <f t="shared" si="6"/>
        <v>6</v>
      </c>
      <c r="H135" s="26"/>
      <c r="I135" s="47">
        <f t="shared" si="7"/>
        <v>3</v>
      </c>
      <c r="J135" s="47">
        <f t="shared" si="10"/>
        <v>1317.4099999999999</v>
      </c>
      <c r="K135" s="47">
        <f t="shared" si="8"/>
        <v>40.030689759951379</v>
      </c>
      <c r="L135" s="47">
        <f t="shared" si="9"/>
        <v>0.06</v>
      </c>
      <c r="M135" s="16"/>
    </row>
    <row r="136" spans="1:13" x14ac:dyDescent="0.2">
      <c r="A136" s="78">
        <v>950</v>
      </c>
      <c r="B136" s="73">
        <v>1171</v>
      </c>
      <c r="C136" s="73">
        <v>86</v>
      </c>
      <c r="E136" s="47">
        <v>320</v>
      </c>
      <c r="F136" s="47">
        <f t="shared" si="6"/>
        <v>1186</v>
      </c>
      <c r="G136" s="47">
        <f t="shared" si="6"/>
        <v>8</v>
      </c>
      <c r="H136" s="26"/>
      <c r="I136" s="47">
        <f t="shared" si="7"/>
        <v>3.2</v>
      </c>
      <c r="J136" s="47">
        <f t="shared" si="10"/>
        <v>1399.77</v>
      </c>
      <c r="K136" s="47">
        <f t="shared" si="8"/>
        <v>42.533272561531454</v>
      </c>
      <c r="L136" s="47">
        <f t="shared" si="9"/>
        <v>0.08</v>
      </c>
      <c r="M136" s="16"/>
    </row>
    <row r="137" spans="1:13" x14ac:dyDescent="0.2">
      <c r="A137" s="78">
        <v>1000</v>
      </c>
      <c r="B137" s="73">
        <v>1166</v>
      </c>
      <c r="C137" s="73">
        <v>87</v>
      </c>
      <c r="E137" s="47">
        <v>340</v>
      </c>
      <c r="F137" s="47">
        <f t="shared" si="6"/>
        <v>1118</v>
      </c>
      <c r="G137" s="47">
        <f t="shared" si="6"/>
        <v>16</v>
      </c>
      <c r="H137" s="26"/>
      <c r="I137" s="47">
        <f t="shared" si="7"/>
        <v>3.4</v>
      </c>
      <c r="J137" s="47">
        <f t="shared" si="10"/>
        <v>1320.8899999999999</v>
      </c>
      <c r="K137" s="47">
        <f t="shared" si="8"/>
        <v>40.136432695229416</v>
      </c>
      <c r="L137" s="47">
        <f t="shared" si="9"/>
        <v>0.16</v>
      </c>
      <c r="M137" s="16"/>
    </row>
    <row r="138" spans="1:13" x14ac:dyDescent="0.2">
      <c r="E138" s="47">
        <v>360</v>
      </c>
      <c r="F138" s="47">
        <f t="shared" si="6"/>
        <v>1229</v>
      </c>
      <c r="G138" s="47">
        <f t="shared" si="6"/>
        <v>17</v>
      </c>
      <c r="H138" s="26"/>
      <c r="I138" s="47">
        <f t="shared" si="7"/>
        <v>3.6</v>
      </c>
      <c r="J138" s="47">
        <f t="shared" si="10"/>
        <v>1449.6499999999999</v>
      </c>
      <c r="K138" s="47">
        <f t="shared" si="8"/>
        <v>44.048921300516561</v>
      </c>
      <c r="L138" s="47">
        <f t="shared" si="9"/>
        <v>0.17</v>
      </c>
      <c r="M138" s="16"/>
    </row>
    <row r="139" spans="1:13" x14ac:dyDescent="0.2">
      <c r="A139" s="53" t="s">
        <v>59</v>
      </c>
      <c r="C139" s="73">
        <v>14.43</v>
      </c>
      <c r="E139" s="47">
        <v>380</v>
      </c>
      <c r="F139" s="47">
        <f t="shared" si="6"/>
        <v>1215</v>
      </c>
      <c r="G139" s="47">
        <f t="shared" si="6"/>
        <v>20</v>
      </c>
      <c r="H139" s="26"/>
      <c r="I139" s="47">
        <f t="shared" si="7"/>
        <v>3.8000000000000003</v>
      </c>
      <c r="J139" s="47">
        <f t="shared" si="10"/>
        <v>1433.4099999999999</v>
      </c>
      <c r="K139" s="47">
        <f t="shared" si="8"/>
        <v>43.555454269219084</v>
      </c>
      <c r="L139" s="47">
        <f t="shared" si="9"/>
        <v>0.2</v>
      </c>
      <c r="M139" s="16"/>
    </row>
    <row r="140" spans="1:13" x14ac:dyDescent="0.2">
      <c r="A140" s="54" t="s">
        <v>22</v>
      </c>
      <c r="B140" s="55" t="s">
        <v>24</v>
      </c>
      <c r="C140" s="54" t="s">
        <v>22</v>
      </c>
      <c r="E140" s="47">
        <v>400</v>
      </c>
      <c r="F140" s="47">
        <f t="shared" si="6"/>
        <v>1250</v>
      </c>
      <c r="G140" s="47">
        <f t="shared" si="6"/>
        <v>22</v>
      </c>
      <c r="H140" s="26"/>
      <c r="I140" s="47">
        <f t="shared" si="7"/>
        <v>4</v>
      </c>
      <c r="J140" s="47">
        <f t="shared" si="10"/>
        <v>1474.01</v>
      </c>
      <c r="K140" s="47">
        <f t="shared" si="8"/>
        <v>44.789121847462781</v>
      </c>
      <c r="L140" s="47">
        <f t="shared" si="9"/>
        <v>0.22</v>
      </c>
      <c r="M140" s="16"/>
    </row>
    <row r="141" spans="1:13" x14ac:dyDescent="0.2">
      <c r="A141" s="56" t="s">
        <v>21</v>
      </c>
      <c r="B141" s="56" t="s">
        <v>20</v>
      </c>
      <c r="C141" s="56" t="s">
        <v>19</v>
      </c>
      <c r="E141" s="47">
        <v>420</v>
      </c>
      <c r="F141" s="47">
        <f t="shared" si="6"/>
        <v>1267</v>
      </c>
      <c r="G141" s="47">
        <f t="shared" si="6"/>
        <v>25</v>
      </c>
      <c r="H141" s="26"/>
      <c r="I141" s="47">
        <f t="shared" si="7"/>
        <v>4.2</v>
      </c>
      <c r="J141" s="47">
        <f t="shared" si="10"/>
        <v>1493.7299999999998</v>
      </c>
      <c r="K141" s="47">
        <f t="shared" si="8"/>
        <v>45.388331814038281</v>
      </c>
      <c r="L141" s="47">
        <f t="shared" si="9"/>
        <v>0.25</v>
      </c>
      <c r="M141" s="16"/>
    </row>
    <row r="142" spans="1:13" x14ac:dyDescent="0.2">
      <c r="A142" s="57" t="s">
        <v>18</v>
      </c>
      <c r="B142" s="57" t="s">
        <v>61</v>
      </c>
      <c r="C142" s="57" t="s">
        <v>18</v>
      </c>
      <c r="E142" s="47">
        <v>440</v>
      </c>
      <c r="F142" s="47">
        <f t="shared" ref="F142:G167" si="11">B112</f>
        <v>1166</v>
      </c>
      <c r="G142" s="47">
        <f t="shared" si="11"/>
        <v>27</v>
      </c>
      <c r="H142" s="26"/>
      <c r="I142" s="47">
        <f t="shared" si="7"/>
        <v>4.4000000000000004</v>
      </c>
      <c r="J142" s="47">
        <f t="shared" si="10"/>
        <v>1376.57</v>
      </c>
      <c r="K142" s="47">
        <f t="shared" si="8"/>
        <v>41.828319659677909</v>
      </c>
      <c r="L142" s="47">
        <f t="shared" si="9"/>
        <v>0.27</v>
      </c>
      <c r="M142" s="16"/>
    </row>
    <row r="143" spans="1:13" x14ac:dyDescent="0.2">
      <c r="A143" s="78">
        <v>0</v>
      </c>
      <c r="B143" s="73">
        <v>0</v>
      </c>
      <c r="C143" s="73">
        <v>0</v>
      </c>
      <c r="E143" s="47">
        <v>460</v>
      </c>
      <c r="F143" s="47">
        <f t="shared" si="11"/>
        <v>1244</v>
      </c>
      <c r="G143" s="47">
        <f t="shared" si="11"/>
        <v>31</v>
      </c>
      <c r="H143" s="26"/>
      <c r="I143" s="47">
        <f t="shared" si="7"/>
        <v>4.6000000000000005</v>
      </c>
      <c r="J143" s="47">
        <f t="shared" si="10"/>
        <v>1467.05</v>
      </c>
      <c r="K143" s="47">
        <f t="shared" si="8"/>
        <v>44.57763597690672</v>
      </c>
      <c r="L143" s="47">
        <f t="shared" si="9"/>
        <v>0.31</v>
      </c>
      <c r="M143" s="16"/>
    </row>
    <row r="144" spans="1:13" x14ac:dyDescent="0.2">
      <c r="A144" s="78">
        <v>10</v>
      </c>
      <c r="B144" s="73">
        <v>34</v>
      </c>
      <c r="C144" s="73">
        <v>0</v>
      </c>
      <c r="E144" s="47">
        <v>480</v>
      </c>
      <c r="F144" s="47">
        <f t="shared" si="11"/>
        <v>1224</v>
      </c>
      <c r="G144" s="47">
        <f t="shared" si="11"/>
        <v>34</v>
      </c>
      <c r="H144" s="26"/>
      <c r="I144" s="47">
        <f t="shared" si="7"/>
        <v>4.8</v>
      </c>
      <c r="J144" s="47">
        <f t="shared" si="10"/>
        <v>1443.85</v>
      </c>
      <c r="K144" s="47">
        <f t="shared" si="8"/>
        <v>43.872683075053175</v>
      </c>
      <c r="L144" s="47">
        <f t="shared" si="9"/>
        <v>0.34</v>
      </c>
      <c r="M144" s="16"/>
    </row>
    <row r="145" spans="1:13" x14ac:dyDescent="0.2">
      <c r="A145" s="78">
        <v>20</v>
      </c>
      <c r="B145" s="73">
        <v>52</v>
      </c>
      <c r="C145" s="73">
        <v>1</v>
      </c>
      <c r="E145" s="47">
        <v>500</v>
      </c>
      <c r="F145" s="47">
        <f t="shared" si="11"/>
        <v>1215</v>
      </c>
      <c r="G145" s="47">
        <f t="shared" si="11"/>
        <v>41</v>
      </c>
      <c r="H145" s="26"/>
      <c r="I145" s="47">
        <f t="shared" si="7"/>
        <v>5</v>
      </c>
      <c r="J145" s="47">
        <f t="shared" si="10"/>
        <v>1433.4099999999999</v>
      </c>
      <c r="K145" s="47">
        <f t="shared" si="8"/>
        <v>43.555454269219084</v>
      </c>
      <c r="L145" s="47">
        <f t="shared" si="9"/>
        <v>0.41000000000000003</v>
      </c>
      <c r="M145" s="16"/>
    </row>
    <row r="146" spans="1:13" x14ac:dyDescent="0.2">
      <c r="A146" s="78">
        <v>30</v>
      </c>
      <c r="B146" s="73">
        <v>63</v>
      </c>
      <c r="C146" s="73">
        <v>1</v>
      </c>
      <c r="E146" s="47">
        <v>520</v>
      </c>
      <c r="F146" s="47">
        <f t="shared" si="11"/>
        <v>1273</v>
      </c>
      <c r="G146" s="47">
        <f t="shared" si="11"/>
        <v>43</v>
      </c>
      <c r="H146" s="26"/>
      <c r="I146" s="47">
        <f t="shared" si="7"/>
        <v>5.2</v>
      </c>
      <c r="J146" s="47">
        <f t="shared" si="10"/>
        <v>1500.6899999999998</v>
      </c>
      <c r="K146" s="47">
        <f t="shared" si="8"/>
        <v>45.599817684594349</v>
      </c>
      <c r="L146" s="47">
        <f t="shared" si="9"/>
        <v>0.43</v>
      </c>
      <c r="M146" s="16"/>
    </row>
    <row r="147" spans="1:13" x14ac:dyDescent="0.2">
      <c r="A147" s="78">
        <v>40</v>
      </c>
      <c r="B147" s="73">
        <v>81</v>
      </c>
      <c r="C147" s="73">
        <v>2</v>
      </c>
      <c r="E147" s="47">
        <v>540</v>
      </c>
      <c r="F147" s="47">
        <f t="shared" si="11"/>
        <v>1241</v>
      </c>
      <c r="G147" s="47">
        <f t="shared" si="11"/>
        <v>46</v>
      </c>
      <c r="H147" s="26"/>
      <c r="I147" s="47">
        <f t="shared" si="7"/>
        <v>5.4</v>
      </c>
      <c r="J147" s="47">
        <f t="shared" si="10"/>
        <v>1463.57</v>
      </c>
      <c r="K147" s="47">
        <f t="shared" si="8"/>
        <v>44.47189304162869</v>
      </c>
      <c r="L147" s="47">
        <f t="shared" si="9"/>
        <v>0.46</v>
      </c>
      <c r="M147" s="16"/>
    </row>
    <row r="148" spans="1:13" x14ac:dyDescent="0.2">
      <c r="A148" s="78">
        <v>50</v>
      </c>
      <c r="B148" s="73">
        <v>130</v>
      </c>
      <c r="C148" s="73">
        <v>2</v>
      </c>
      <c r="E148" s="47">
        <v>560</v>
      </c>
      <c r="F148" s="47">
        <f t="shared" si="11"/>
        <v>1171</v>
      </c>
      <c r="G148" s="47">
        <f t="shared" si="11"/>
        <v>49</v>
      </c>
      <c r="H148" s="26"/>
      <c r="I148" s="47">
        <f t="shared" si="7"/>
        <v>5.6000000000000005</v>
      </c>
      <c r="J148" s="47">
        <f t="shared" si="10"/>
        <v>1382.37</v>
      </c>
      <c r="K148" s="47">
        <f t="shared" si="8"/>
        <v>42.004557885141296</v>
      </c>
      <c r="L148" s="47">
        <f t="shared" si="9"/>
        <v>0.49</v>
      </c>
      <c r="M148" s="16"/>
    </row>
    <row r="149" spans="1:13" x14ac:dyDescent="0.2">
      <c r="A149" s="78">
        <v>60</v>
      </c>
      <c r="B149" s="73">
        <v>220</v>
      </c>
      <c r="C149" s="73">
        <v>2</v>
      </c>
      <c r="E149" s="47">
        <v>580</v>
      </c>
      <c r="F149" s="47">
        <f t="shared" si="11"/>
        <v>1225</v>
      </c>
      <c r="G149" s="47">
        <f t="shared" si="11"/>
        <v>52</v>
      </c>
      <c r="H149" s="26"/>
      <c r="I149" s="47">
        <f t="shared" si="7"/>
        <v>5.8</v>
      </c>
      <c r="J149" s="47">
        <f t="shared" si="10"/>
        <v>1445.01</v>
      </c>
      <c r="K149" s="47">
        <f t="shared" si="8"/>
        <v>43.907930720145856</v>
      </c>
      <c r="L149" s="47">
        <f t="shared" si="9"/>
        <v>0.52</v>
      </c>
      <c r="M149" s="16"/>
    </row>
    <row r="150" spans="1:13" x14ac:dyDescent="0.2">
      <c r="A150" s="78">
        <v>70</v>
      </c>
      <c r="B150" s="73">
        <v>490</v>
      </c>
      <c r="C150" s="73">
        <v>11</v>
      </c>
      <c r="E150" s="47">
        <v>600</v>
      </c>
      <c r="F150" s="47">
        <f t="shared" si="11"/>
        <v>1196</v>
      </c>
      <c r="G150" s="47">
        <f t="shared" si="11"/>
        <v>61</v>
      </c>
      <c r="H150" s="26"/>
      <c r="I150" s="47">
        <f t="shared" si="7"/>
        <v>6</v>
      </c>
      <c r="J150" s="47">
        <f t="shared" si="10"/>
        <v>1411.37</v>
      </c>
      <c r="K150" s="47">
        <f t="shared" si="8"/>
        <v>42.88574901245822</v>
      </c>
      <c r="L150" s="47">
        <f t="shared" si="9"/>
        <v>0.61</v>
      </c>
      <c r="M150" s="16"/>
    </row>
    <row r="151" spans="1:13" x14ac:dyDescent="0.2">
      <c r="A151" s="78">
        <v>80</v>
      </c>
      <c r="B151" s="73">
        <v>643</v>
      </c>
      <c r="C151" s="73">
        <v>11</v>
      </c>
      <c r="E151" s="47">
        <v>620</v>
      </c>
      <c r="F151" s="47">
        <f t="shared" si="11"/>
        <v>1218</v>
      </c>
      <c r="G151" s="47">
        <f t="shared" si="11"/>
        <v>67</v>
      </c>
      <c r="H151" s="26"/>
      <c r="I151" s="47">
        <f t="shared" si="7"/>
        <v>6.2</v>
      </c>
      <c r="J151" s="47">
        <f t="shared" si="10"/>
        <v>1436.8899999999999</v>
      </c>
      <c r="K151" s="47">
        <f t="shared" si="8"/>
        <v>43.661197204497114</v>
      </c>
      <c r="L151" s="47">
        <f t="shared" si="9"/>
        <v>0.67</v>
      </c>
      <c r="M151" s="16"/>
    </row>
    <row r="152" spans="1:13" x14ac:dyDescent="0.2">
      <c r="A152" s="78">
        <v>90</v>
      </c>
      <c r="B152" s="73">
        <v>815</v>
      </c>
      <c r="C152" s="73">
        <v>11</v>
      </c>
      <c r="E152" s="47">
        <v>640</v>
      </c>
      <c r="F152" s="47">
        <f t="shared" si="11"/>
        <v>1206</v>
      </c>
      <c r="G152" s="47">
        <f t="shared" si="11"/>
        <v>70</v>
      </c>
      <c r="H152" s="26"/>
      <c r="I152" s="47">
        <f t="shared" si="7"/>
        <v>6.4</v>
      </c>
      <c r="J152" s="47">
        <f t="shared" si="10"/>
        <v>1422.9699999999998</v>
      </c>
      <c r="K152" s="47">
        <f t="shared" si="8"/>
        <v>43.238225463384985</v>
      </c>
      <c r="L152" s="47">
        <f t="shared" si="9"/>
        <v>0.70000000000000007</v>
      </c>
      <c r="M152" s="16"/>
    </row>
    <row r="153" spans="1:13" x14ac:dyDescent="0.2">
      <c r="A153" s="78">
        <v>100</v>
      </c>
      <c r="B153" s="73">
        <v>934</v>
      </c>
      <c r="C153" s="73">
        <v>11</v>
      </c>
      <c r="E153" s="47">
        <v>660</v>
      </c>
      <c r="F153" s="47">
        <f t="shared" si="11"/>
        <v>1189</v>
      </c>
      <c r="G153" s="47">
        <f t="shared" si="11"/>
        <v>74</v>
      </c>
      <c r="H153" s="26"/>
      <c r="I153" s="47">
        <f t="shared" si="7"/>
        <v>6.6000000000000005</v>
      </c>
      <c r="J153" s="47">
        <f t="shared" si="10"/>
        <v>1403.25</v>
      </c>
      <c r="K153" s="47">
        <f t="shared" si="8"/>
        <v>42.639015496809485</v>
      </c>
      <c r="L153" s="47">
        <f t="shared" si="9"/>
        <v>0.74</v>
      </c>
      <c r="M153" s="16"/>
    </row>
    <row r="154" spans="1:13" x14ac:dyDescent="0.2">
      <c r="A154" s="78">
        <v>110</v>
      </c>
      <c r="B154" s="73">
        <v>1055</v>
      </c>
      <c r="C154" s="73">
        <v>11</v>
      </c>
      <c r="E154" s="47">
        <v>680</v>
      </c>
      <c r="F154" s="47">
        <f t="shared" si="11"/>
        <v>1226</v>
      </c>
      <c r="G154" s="47">
        <f t="shared" si="11"/>
        <v>74</v>
      </c>
      <c r="H154" s="26"/>
      <c r="I154" s="47">
        <f t="shared" si="7"/>
        <v>6.8</v>
      </c>
      <c r="J154" s="47">
        <f t="shared" si="10"/>
        <v>1446.1699999999998</v>
      </c>
      <c r="K154" s="47">
        <f t="shared" si="8"/>
        <v>43.943178365238531</v>
      </c>
      <c r="L154" s="47">
        <f t="shared" si="9"/>
        <v>0.74</v>
      </c>
      <c r="M154" s="16"/>
    </row>
    <row r="155" spans="1:13" x14ac:dyDescent="0.2">
      <c r="A155" s="78">
        <v>120</v>
      </c>
      <c r="B155" s="73">
        <v>1128</v>
      </c>
      <c r="C155" s="73">
        <v>11</v>
      </c>
      <c r="E155" s="47">
        <v>700</v>
      </c>
      <c r="F155" s="47">
        <f t="shared" si="11"/>
        <v>1250</v>
      </c>
      <c r="G155" s="47">
        <f t="shared" si="11"/>
        <v>74</v>
      </c>
      <c r="H155" s="48"/>
      <c r="I155" s="47">
        <f t="shared" si="7"/>
        <v>7</v>
      </c>
      <c r="J155" s="47">
        <f t="shared" si="10"/>
        <v>1474.01</v>
      </c>
      <c r="K155" s="47">
        <f t="shared" si="8"/>
        <v>44.789121847462781</v>
      </c>
      <c r="L155" s="47">
        <f t="shared" si="9"/>
        <v>0.74</v>
      </c>
      <c r="M155" s="16"/>
    </row>
    <row r="156" spans="1:13" x14ac:dyDescent="0.2">
      <c r="A156" s="78">
        <v>130</v>
      </c>
      <c r="B156" s="73">
        <v>1203</v>
      </c>
      <c r="C156" s="73">
        <v>11</v>
      </c>
      <c r="E156" s="47">
        <v>720</v>
      </c>
      <c r="F156" s="47">
        <f t="shared" si="11"/>
        <v>1221</v>
      </c>
      <c r="G156" s="47">
        <f t="shared" si="11"/>
        <v>74</v>
      </c>
      <c r="H156" s="26"/>
      <c r="I156" s="47">
        <f t="shared" si="7"/>
        <v>7.2</v>
      </c>
      <c r="J156" s="47">
        <f t="shared" si="10"/>
        <v>1440.37</v>
      </c>
      <c r="K156" s="47">
        <f t="shared" si="8"/>
        <v>43.766940139775144</v>
      </c>
      <c r="L156" s="47">
        <f t="shared" si="9"/>
        <v>0.74</v>
      </c>
      <c r="M156" s="16"/>
    </row>
    <row r="157" spans="1:13" x14ac:dyDescent="0.2">
      <c r="A157" s="78">
        <v>140</v>
      </c>
      <c r="B157" s="73">
        <v>1226</v>
      </c>
      <c r="C157" s="73">
        <v>11</v>
      </c>
      <c r="E157" s="47">
        <v>740</v>
      </c>
      <c r="F157" s="47">
        <f t="shared" si="11"/>
        <v>1203</v>
      </c>
      <c r="G157" s="47">
        <f t="shared" si="11"/>
        <v>74</v>
      </c>
      <c r="H157" s="26"/>
      <c r="I157" s="47">
        <f t="shared" si="7"/>
        <v>7.4</v>
      </c>
      <c r="J157" s="47">
        <f t="shared" si="10"/>
        <v>1419.4899999999998</v>
      </c>
      <c r="K157" s="47">
        <f t="shared" si="8"/>
        <v>43.132482528106955</v>
      </c>
      <c r="L157" s="47">
        <f t="shared" si="9"/>
        <v>0.74</v>
      </c>
      <c r="M157" s="16"/>
    </row>
    <row r="158" spans="1:13" x14ac:dyDescent="0.2">
      <c r="A158" s="78">
        <v>150</v>
      </c>
      <c r="B158" s="73">
        <v>1241</v>
      </c>
      <c r="C158" s="73">
        <v>11</v>
      </c>
      <c r="E158" s="47">
        <v>760</v>
      </c>
      <c r="F158" s="47">
        <f t="shared" si="11"/>
        <v>1135</v>
      </c>
      <c r="G158" s="47">
        <f t="shared" si="11"/>
        <v>78</v>
      </c>
      <c r="H158" s="26"/>
      <c r="I158" s="47">
        <f t="shared" si="7"/>
        <v>7.6000000000000005</v>
      </c>
      <c r="J158" s="47">
        <f t="shared" si="10"/>
        <v>1340.61</v>
      </c>
      <c r="K158" s="47">
        <f t="shared" si="8"/>
        <v>40.735642661804924</v>
      </c>
      <c r="L158" s="47">
        <f t="shared" si="9"/>
        <v>0.78</v>
      </c>
      <c r="M158" s="16"/>
    </row>
    <row r="159" spans="1:13" x14ac:dyDescent="0.2">
      <c r="A159" s="78">
        <v>160</v>
      </c>
      <c r="B159" s="73">
        <v>1250</v>
      </c>
      <c r="C159" s="73">
        <v>11</v>
      </c>
      <c r="E159" s="47">
        <v>780</v>
      </c>
      <c r="F159" s="47">
        <f t="shared" si="11"/>
        <v>1122</v>
      </c>
      <c r="G159" s="47">
        <f t="shared" si="11"/>
        <v>79</v>
      </c>
      <c r="H159" s="26"/>
      <c r="I159" s="47">
        <f t="shared" si="7"/>
        <v>7.8</v>
      </c>
      <c r="J159" s="47">
        <f t="shared" si="10"/>
        <v>1325.53</v>
      </c>
      <c r="K159" s="47">
        <f t="shared" si="8"/>
        <v>40.277423275600128</v>
      </c>
      <c r="L159" s="47">
        <f t="shared" si="9"/>
        <v>0.79</v>
      </c>
      <c r="M159" s="16"/>
    </row>
    <row r="160" spans="1:13" x14ac:dyDescent="0.2">
      <c r="A160" s="78">
        <v>170</v>
      </c>
      <c r="B160" s="73">
        <v>1299</v>
      </c>
      <c r="C160" s="73">
        <v>11</v>
      </c>
      <c r="E160" s="47">
        <v>800</v>
      </c>
      <c r="F160" s="47">
        <f t="shared" si="11"/>
        <v>1102</v>
      </c>
      <c r="G160" s="47">
        <f t="shared" si="11"/>
        <v>83</v>
      </c>
      <c r="H160" s="48"/>
      <c r="I160" s="47">
        <f t="shared" si="7"/>
        <v>8</v>
      </c>
      <c r="J160" s="47">
        <f t="shared" si="10"/>
        <v>1302.33</v>
      </c>
      <c r="K160" s="47">
        <f t="shared" si="8"/>
        <v>39.572470373746583</v>
      </c>
      <c r="L160" s="47">
        <f t="shared" si="9"/>
        <v>0.83000000000000007</v>
      </c>
      <c r="M160" s="16"/>
    </row>
    <row r="161" spans="1:13" x14ac:dyDescent="0.2">
      <c r="A161" s="78">
        <v>180</v>
      </c>
      <c r="B161" s="73">
        <v>1296</v>
      </c>
      <c r="C161" s="73">
        <v>11</v>
      </c>
      <c r="E161" s="47">
        <v>820</v>
      </c>
      <c r="F161" s="47">
        <f t="shared" si="11"/>
        <v>1154</v>
      </c>
      <c r="G161" s="47">
        <f t="shared" si="11"/>
        <v>83</v>
      </c>
      <c r="H161" s="26"/>
      <c r="I161" s="47">
        <f t="shared" si="7"/>
        <v>8.1999999999999993</v>
      </c>
      <c r="J161" s="47">
        <f t="shared" si="10"/>
        <v>1362.6499999999999</v>
      </c>
      <c r="K161" s="47">
        <f t="shared" si="8"/>
        <v>41.405347918565788</v>
      </c>
      <c r="L161" s="47">
        <f t="shared" si="9"/>
        <v>0.83000000000000007</v>
      </c>
      <c r="M161" s="16"/>
    </row>
    <row r="162" spans="1:13" x14ac:dyDescent="0.2">
      <c r="A162" s="78">
        <v>190</v>
      </c>
      <c r="B162" s="73">
        <v>1314</v>
      </c>
      <c r="C162" s="73">
        <v>12</v>
      </c>
      <c r="E162" s="47">
        <v>840</v>
      </c>
      <c r="F162" s="47">
        <f t="shared" si="11"/>
        <v>1151</v>
      </c>
      <c r="G162" s="47">
        <f t="shared" si="11"/>
        <v>83</v>
      </c>
      <c r="H162" s="26"/>
      <c r="I162" s="47">
        <f t="shared" si="7"/>
        <v>8.4</v>
      </c>
      <c r="J162" s="47">
        <f t="shared" si="10"/>
        <v>1359.1699999999998</v>
      </c>
      <c r="K162" s="47">
        <f t="shared" si="8"/>
        <v>41.299604983287757</v>
      </c>
      <c r="L162" s="47">
        <f t="shared" si="9"/>
        <v>0.83000000000000007</v>
      </c>
      <c r="M162" s="16"/>
    </row>
    <row r="163" spans="1:13" x14ac:dyDescent="0.2">
      <c r="A163" s="78">
        <v>200</v>
      </c>
      <c r="B163" s="73">
        <v>1319</v>
      </c>
      <c r="C163" s="73">
        <v>13</v>
      </c>
      <c r="E163" s="47">
        <v>860</v>
      </c>
      <c r="F163" s="47">
        <f t="shared" si="11"/>
        <v>1163</v>
      </c>
      <c r="G163" s="47">
        <f t="shared" si="11"/>
        <v>84</v>
      </c>
      <c r="H163" s="26"/>
      <c r="I163" s="47">
        <f t="shared" si="7"/>
        <v>8.6</v>
      </c>
      <c r="J163" s="47">
        <f t="shared" si="10"/>
        <v>1373.09</v>
      </c>
      <c r="K163" s="47">
        <f t="shared" si="8"/>
        <v>41.722576724399879</v>
      </c>
      <c r="L163" s="47">
        <f t="shared" si="9"/>
        <v>0.84</v>
      </c>
      <c r="M163" s="16"/>
    </row>
    <row r="164" spans="1:13" x14ac:dyDescent="0.2">
      <c r="A164" s="78">
        <v>220</v>
      </c>
      <c r="B164" s="73">
        <v>1377</v>
      </c>
      <c r="C164" s="73">
        <v>15</v>
      </c>
      <c r="E164" s="47">
        <v>880</v>
      </c>
      <c r="F164" s="47">
        <f t="shared" si="11"/>
        <v>1174</v>
      </c>
      <c r="G164" s="47">
        <f t="shared" si="11"/>
        <v>85</v>
      </c>
      <c r="H164" s="26"/>
      <c r="I164" s="47">
        <f t="shared" si="7"/>
        <v>8.8000000000000007</v>
      </c>
      <c r="J164" s="47">
        <f t="shared" si="10"/>
        <v>1385.85</v>
      </c>
      <c r="K164" s="47">
        <f t="shared" si="8"/>
        <v>42.110300820419326</v>
      </c>
      <c r="L164" s="47">
        <f t="shared" si="9"/>
        <v>0.85</v>
      </c>
      <c r="M164" s="16"/>
    </row>
    <row r="165" spans="1:13" x14ac:dyDescent="0.2">
      <c r="A165" s="78">
        <v>240</v>
      </c>
      <c r="B165" s="73">
        <v>1360</v>
      </c>
      <c r="C165" s="73">
        <v>21</v>
      </c>
      <c r="E165" s="47">
        <v>900</v>
      </c>
      <c r="F165" s="47">
        <f t="shared" si="11"/>
        <v>1177</v>
      </c>
      <c r="G165" s="47">
        <f t="shared" si="11"/>
        <v>85</v>
      </c>
      <c r="H165" s="26"/>
      <c r="I165" s="47">
        <f t="shared" si="7"/>
        <v>9</v>
      </c>
      <c r="J165" s="47">
        <f t="shared" si="10"/>
        <v>1389.33</v>
      </c>
      <c r="K165" s="47">
        <f t="shared" si="8"/>
        <v>42.216043755697356</v>
      </c>
      <c r="L165" s="47">
        <f t="shared" si="9"/>
        <v>0.85</v>
      </c>
      <c r="M165" s="16"/>
    </row>
    <row r="166" spans="1:13" x14ac:dyDescent="0.2">
      <c r="A166" s="78">
        <v>260</v>
      </c>
      <c r="B166" s="73">
        <v>1392</v>
      </c>
      <c r="C166" s="73">
        <v>19</v>
      </c>
      <c r="E166" s="47">
        <v>950</v>
      </c>
      <c r="F166" s="47">
        <f t="shared" si="11"/>
        <v>1171</v>
      </c>
      <c r="G166" s="47">
        <f t="shared" si="11"/>
        <v>86</v>
      </c>
      <c r="H166" s="26"/>
      <c r="I166" s="47">
        <f t="shared" si="7"/>
        <v>9.5</v>
      </c>
      <c r="J166" s="47">
        <f t="shared" si="10"/>
        <v>1382.37</v>
      </c>
      <c r="K166" s="47">
        <f t="shared" si="8"/>
        <v>42.004557885141296</v>
      </c>
      <c r="L166" s="47">
        <f t="shared" si="9"/>
        <v>0.86</v>
      </c>
      <c r="M166" s="16"/>
    </row>
    <row r="167" spans="1:13" x14ac:dyDescent="0.2">
      <c r="A167" s="78">
        <v>280</v>
      </c>
      <c r="B167" s="73">
        <v>1418</v>
      </c>
      <c r="C167" s="73">
        <v>15</v>
      </c>
      <c r="E167" s="47">
        <v>1000</v>
      </c>
      <c r="F167" s="47">
        <f t="shared" si="11"/>
        <v>1166</v>
      </c>
      <c r="G167" s="47">
        <f t="shared" si="11"/>
        <v>87</v>
      </c>
      <c r="H167" s="26"/>
      <c r="I167" s="47">
        <f t="shared" si="7"/>
        <v>10</v>
      </c>
      <c r="J167" s="47">
        <f t="shared" si="10"/>
        <v>1376.57</v>
      </c>
      <c r="K167" s="47">
        <f t="shared" si="8"/>
        <v>41.828319659677909</v>
      </c>
      <c r="L167" s="47">
        <f t="shared" si="9"/>
        <v>0.87</v>
      </c>
      <c r="M167" s="16"/>
    </row>
    <row r="168" spans="1:13" x14ac:dyDescent="0.2">
      <c r="A168" s="78">
        <v>300</v>
      </c>
      <c r="B168" s="73">
        <v>1435</v>
      </c>
      <c r="C168" s="73">
        <v>12</v>
      </c>
      <c r="E168" s="16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">
      <c r="A169" s="78">
        <v>320</v>
      </c>
      <c r="B169" s="73">
        <v>1430</v>
      </c>
      <c r="C169" s="73">
        <v>3</v>
      </c>
      <c r="E169" s="96" t="str">
        <f>+E85</f>
        <v>ENSAYO DE CORTE DIRECTO PARA DISCONTINUIDADES ARTIFICIALES EN ROCAS</v>
      </c>
      <c r="F169" s="96"/>
      <c r="G169" s="96"/>
      <c r="H169" s="96"/>
      <c r="I169" s="96"/>
      <c r="J169" s="96"/>
      <c r="K169" s="96"/>
      <c r="L169" s="96"/>
      <c r="M169" s="96"/>
    </row>
    <row r="170" spans="1:13" x14ac:dyDescent="0.2">
      <c r="A170" s="78">
        <v>340</v>
      </c>
      <c r="B170" s="73">
        <v>1398</v>
      </c>
      <c r="C170" s="73">
        <v>12</v>
      </c>
      <c r="E170" s="16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">
      <c r="A171" s="78">
        <v>360</v>
      </c>
      <c r="B171" s="73">
        <v>1389</v>
      </c>
      <c r="C171" s="73">
        <v>12</v>
      </c>
      <c r="E171" s="12" t="s">
        <v>0</v>
      </c>
      <c r="F171" s="17" t="str">
        <f>+F87</f>
        <v>C1BH-L12-L10-3+780-D</v>
      </c>
      <c r="G171" s="18"/>
      <c r="H171" s="18"/>
      <c r="I171" s="18"/>
      <c r="J171" s="18"/>
      <c r="K171" s="18"/>
      <c r="L171" s="19"/>
      <c r="M171" s="16"/>
    </row>
    <row r="172" spans="1:13" x14ac:dyDescent="0.2">
      <c r="A172" s="78">
        <v>380</v>
      </c>
      <c r="B172" s="73">
        <v>1359</v>
      </c>
      <c r="C172" s="73">
        <v>12</v>
      </c>
      <c r="E172" s="11" t="s">
        <v>39</v>
      </c>
      <c r="F172" s="17" t="str">
        <f>+F88</f>
        <v>1.914.650-G</v>
      </c>
      <c r="G172" s="21"/>
      <c r="H172" s="21"/>
      <c r="I172" s="21"/>
      <c r="J172" s="21"/>
      <c r="K172" s="21"/>
      <c r="L172" s="22"/>
      <c r="M172" s="16"/>
    </row>
    <row r="173" spans="1:13" x14ac:dyDescent="0.2">
      <c r="A173" s="78">
        <v>400</v>
      </c>
      <c r="B173" s="73">
        <v>1319</v>
      </c>
      <c r="C173" s="73">
        <v>10</v>
      </c>
      <c r="E173" s="11" t="s">
        <v>1</v>
      </c>
      <c r="F173" s="17" t="str">
        <f>+F89</f>
        <v>-</v>
      </c>
      <c r="G173" s="21"/>
      <c r="H173" s="21"/>
      <c r="I173" s="21"/>
      <c r="J173" s="21"/>
      <c r="K173" s="21"/>
      <c r="L173" s="22"/>
      <c r="M173" s="16"/>
    </row>
    <row r="174" spans="1:13" x14ac:dyDescent="0.2">
      <c r="A174" s="78">
        <v>420</v>
      </c>
      <c r="B174" s="73">
        <v>1363</v>
      </c>
      <c r="C174" s="73">
        <v>8</v>
      </c>
      <c r="E174" s="23" t="s">
        <v>38</v>
      </c>
      <c r="F174" s="100">
        <f>+F90</f>
        <v>45447</v>
      </c>
      <c r="G174" s="24"/>
      <c r="H174" s="24"/>
      <c r="I174" s="24"/>
      <c r="J174" s="24"/>
      <c r="K174" s="24"/>
      <c r="L174" s="25"/>
      <c r="M174" s="16"/>
    </row>
    <row r="175" spans="1:13" x14ac:dyDescent="0.2">
      <c r="A175" s="78">
        <v>440</v>
      </c>
      <c r="B175" s="73">
        <v>1389</v>
      </c>
      <c r="C175" s="73">
        <v>8</v>
      </c>
      <c r="E175" s="23" t="s">
        <v>37</v>
      </c>
      <c r="F175" s="101">
        <f>+F91</f>
        <v>45447</v>
      </c>
      <c r="G175" s="24"/>
      <c r="H175" s="24"/>
      <c r="I175" s="24"/>
      <c r="J175" s="24"/>
      <c r="K175" s="24"/>
      <c r="L175" s="25"/>
      <c r="M175" s="50"/>
    </row>
    <row r="176" spans="1:13" x14ac:dyDescent="0.2">
      <c r="A176" s="78">
        <v>460</v>
      </c>
      <c r="B176" s="73">
        <v>1363</v>
      </c>
      <c r="C176" s="73">
        <v>8</v>
      </c>
      <c r="E176" s="26"/>
      <c r="F176" s="27"/>
      <c r="G176" s="26"/>
      <c r="H176" s="16"/>
      <c r="I176" s="16"/>
      <c r="J176" s="16"/>
      <c r="K176" s="16"/>
      <c r="L176" s="16"/>
      <c r="M176" s="50"/>
    </row>
    <row r="177" spans="1:13" x14ac:dyDescent="0.2">
      <c r="A177" s="78">
        <v>480</v>
      </c>
      <c r="B177" s="73">
        <v>1430</v>
      </c>
      <c r="C177" s="73">
        <v>8</v>
      </c>
      <c r="E177" s="23" t="s">
        <v>36</v>
      </c>
      <c r="F177" s="15" t="str">
        <f>+F93</f>
        <v xml:space="preserve">C1BH-L12-L10-3+780-D (23,40-23,50) 	</v>
      </c>
      <c r="G177" s="21"/>
      <c r="H177" s="21"/>
      <c r="I177" s="21"/>
      <c r="J177" s="21"/>
      <c r="K177" s="21"/>
      <c r="L177" s="22"/>
      <c r="M177" s="50"/>
    </row>
    <row r="178" spans="1:13" x14ac:dyDescent="0.2">
      <c r="A178" s="78">
        <v>500</v>
      </c>
      <c r="B178" s="73">
        <v>1447</v>
      </c>
      <c r="C178" s="73">
        <v>8</v>
      </c>
      <c r="E178" s="10" t="s">
        <v>3</v>
      </c>
      <c r="F178" s="15" t="str">
        <f>+F94</f>
        <v>Toba Lítica</v>
      </c>
      <c r="G178" s="21"/>
      <c r="H178" s="28"/>
      <c r="I178" s="28"/>
      <c r="J178" s="28"/>
      <c r="K178" s="28"/>
      <c r="L178" s="29"/>
      <c r="M178" s="50"/>
    </row>
    <row r="179" spans="1:13" x14ac:dyDescent="0.2">
      <c r="A179" s="78">
        <v>520</v>
      </c>
      <c r="B179" s="73">
        <v>1421</v>
      </c>
      <c r="C179" s="73">
        <v>8</v>
      </c>
      <c r="E179" s="30" t="s">
        <v>4</v>
      </c>
      <c r="F179" s="15" t="str">
        <f>+F95</f>
        <v>Óxidos de hierro y zeolitas</v>
      </c>
      <c r="G179" s="21"/>
      <c r="H179" s="28"/>
      <c r="I179" s="28"/>
      <c r="J179" s="28"/>
      <c r="K179" s="28"/>
      <c r="L179" s="29"/>
      <c r="M179" s="50"/>
    </row>
    <row r="180" spans="1:13" x14ac:dyDescent="0.2">
      <c r="A180" s="78">
        <v>540</v>
      </c>
      <c r="B180" s="73">
        <v>1444</v>
      </c>
      <c r="C180" s="73">
        <v>10</v>
      </c>
      <c r="E180" s="30" t="s">
        <v>5</v>
      </c>
      <c r="F180" s="15" t="str">
        <f>+F96</f>
        <v>Oxidación y zeolitización</v>
      </c>
      <c r="G180" s="21"/>
      <c r="H180" s="28"/>
      <c r="I180" s="28"/>
      <c r="J180" s="28"/>
      <c r="K180" s="28"/>
      <c r="L180" s="29"/>
      <c r="M180" s="50"/>
    </row>
    <row r="181" spans="1:13" x14ac:dyDescent="0.2">
      <c r="A181" s="78">
        <v>560</v>
      </c>
      <c r="B181" s="73">
        <v>1441</v>
      </c>
      <c r="C181" s="73">
        <v>10</v>
      </c>
      <c r="E181" s="26"/>
      <c r="F181" s="26"/>
      <c r="G181" s="26"/>
      <c r="H181" s="16"/>
      <c r="I181" s="16"/>
      <c r="J181" s="16"/>
      <c r="K181" s="16"/>
      <c r="L181" s="16"/>
      <c r="M181" s="50"/>
    </row>
    <row r="182" spans="1:13" x14ac:dyDescent="0.2">
      <c r="A182" s="78">
        <v>580</v>
      </c>
      <c r="B182" s="73">
        <v>1438</v>
      </c>
      <c r="C182" s="73">
        <v>11</v>
      </c>
      <c r="E182" s="31" t="s">
        <v>35</v>
      </c>
      <c r="F182" s="26"/>
      <c r="G182" s="26"/>
      <c r="H182" s="16"/>
      <c r="I182" s="16"/>
      <c r="J182" s="16"/>
      <c r="K182" s="16"/>
      <c r="L182" s="16"/>
      <c r="M182" s="50"/>
    </row>
    <row r="183" spans="1:13" x14ac:dyDescent="0.2">
      <c r="A183" s="78">
        <v>600</v>
      </c>
      <c r="B183" s="73">
        <v>1467</v>
      </c>
      <c r="C183" s="73">
        <v>11</v>
      </c>
      <c r="E183" s="32" t="s">
        <v>34</v>
      </c>
      <c r="F183" s="33" t="s">
        <v>27</v>
      </c>
      <c r="G183" s="38">
        <f>B11</f>
        <v>32.909999999999997</v>
      </c>
      <c r="H183" s="16"/>
      <c r="I183" s="16"/>
      <c r="J183" s="16"/>
      <c r="K183" s="16"/>
      <c r="L183" s="16"/>
      <c r="M183" s="16"/>
    </row>
    <row r="184" spans="1:13" x14ac:dyDescent="0.2">
      <c r="A184" s="78">
        <v>620</v>
      </c>
      <c r="B184" s="73">
        <v>1430</v>
      </c>
      <c r="C184" s="73">
        <v>11</v>
      </c>
      <c r="E184" s="49" t="s">
        <v>33</v>
      </c>
      <c r="F184" s="37" t="s">
        <v>14</v>
      </c>
      <c r="G184" s="38">
        <f>G185/G183</f>
        <v>50.97523291439758</v>
      </c>
      <c r="H184" s="39" t="s">
        <v>14</v>
      </c>
      <c r="I184" s="16"/>
      <c r="J184" s="16"/>
      <c r="K184" s="16"/>
      <c r="L184" s="16"/>
      <c r="M184" s="16"/>
    </row>
    <row r="185" spans="1:13" x14ac:dyDescent="0.2">
      <c r="A185" s="78">
        <v>640</v>
      </c>
      <c r="B185" s="73">
        <v>1427</v>
      </c>
      <c r="C185" s="73">
        <v>11</v>
      </c>
      <c r="E185" s="32" t="s">
        <v>32</v>
      </c>
      <c r="F185" s="33" t="s">
        <v>31</v>
      </c>
      <c r="G185" s="38">
        <f>+G188*$G$187</f>
        <v>1677.5949152128242</v>
      </c>
      <c r="H185" s="40"/>
      <c r="I185" s="16"/>
      <c r="J185" s="16"/>
      <c r="K185" s="16"/>
      <c r="L185" s="16"/>
      <c r="M185" s="16"/>
    </row>
    <row r="186" spans="1:13" x14ac:dyDescent="0.2">
      <c r="A186" s="78">
        <v>660</v>
      </c>
      <c r="B186" s="73">
        <v>1415</v>
      </c>
      <c r="C186" s="73">
        <v>12</v>
      </c>
      <c r="E186" s="32" t="s">
        <v>30</v>
      </c>
      <c r="F186" s="37" t="s">
        <v>29</v>
      </c>
      <c r="G186" s="38">
        <f>3.81</f>
        <v>3.81</v>
      </c>
      <c r="H186" s="41"/>
      <c r="I186" s="16"/>
      <c r="J186" s="16"/>
      <c r="K186" s="16"/>
      <c r="L186" s="16"/>
      <c r="M186" s="16"/>
    </row>
    <row r="187" spans="1:13" x14ac:dyDescent="0.2">
      <c r="A187" s="78">
        <v>680</v>
      </c>
      <c r="B187" s="73">
        <v>1456</v>
      </c>
      <c r="C187" s="73">
        <v>12</v>
      </c>
      <c r="E187" s="32" t="s">
        <v>28</v>
      </c>
      <c r="F187" s="33" t="s">
        <v>27</v>
      </c>
      <c r="G187" s="38">
        <f>((G186/2)^2)*PI()</f>
        <v>11.400918279693698</v>
      </c>
      <c r="H187" s="40"/>
      <c r="I187" s="16"/>
      <c r="J187" s="16"/>
      <c r="K187" s="16"/>
      <c r="L187" s="16"/>
      <c r="M187" s="16"/>
    </row>
    <row r="188" spans="1:13" x14ac:dyDescent="0.2">
      <c r="A188" s="78">
        <v>700</v>
      </c>
      <c r="B188" s="73">
        <v>1498</v>
      </c>
      <c r="C188" s="73">
        <v>12</v>
      </c>
      <c r="E188" s="32" t="s">
        <v>26</v>
      </c>
      <c r="F188" s="37" t="s">
        <v>14</v>
      </c>
      <c r="G188" s="38">
        <f>+C139*10.1972</f>
        <v>147.14559600000001</v>
      </c>
      <c r="H188" s="40"/>
      <c r="I188" s="16"/>
      <c r="J188" s="16"/>
      <c r="K188" s="16"/>
      <c r="L188" s="16"/>
      <c r="M188" s="16"/>
    </row>
    <row r="189" spans="1:13" x14ac:dyDescent="0.2">
      <c r="A189" s="78">
        <v>720</v>
      </c>
      <c r="B189" s="73">
        <v>1572</v>
      </c>
      <c r="C189" s="73">
        <v>12</v>
      </c>
      <c r="E189" s="41"/>
      <c r="F189" s="16"/>
      <c r="G189" s="51"/>
      <c r="H189" s="16"/>
      <c r="I189" s="16"/>
      <c r="J189" s="16"/>
      <c r="K189" s="16"/>
      <c r="L189" s="16"/>
      <c r="M189" s="16"/>
    </row>
    <row r="190" spans="1:13" x14ac:dyDescent="0.2">
      <c r="A190" s="78">
        <v>740</v>
      </c>
      <c r="B190" s="73">
        <v>1522</v>
      </c>
      <c r="C190" s="73">
        <v>12</v>
      </c>
      <c r="E190" s="42" t="s">
        <v>25</v>
      </c>
      <c r="F190" s="16"/>
      <c r="G190" s="16"/>
      <c r="H190" s="16"/>
      <c r="I190" s="16"/>
      <c r="J190" s="16"/>
      <c r="K190" s="16"/>
      <c r="L190" s="16"/>
      <c r="M190" s="16"/>
    </row>
    <row r="191" spans="1:13" x14ac:dyDescent="0.2">
      <c r="A191" s="78">
        <v>760</v>
      </c>
      <c r="B191" s="73">
        <v>1506</v>
      </c>
      <c r="C191" s="73">
        <v>12</v>
      </c>
      <c r="E191" s="43" t="s">
        <v>22</v>
      </c>
      <c r="F191" s="44" t="s">
        <v>24</v>
      </c>
      <c r="G191" s="43" t="s">
        <v>22</v>
      </c>
      <c r="H191" s="16"/>
      <c r="I191" s="43" t="s">
        <v>22</v>
      </c>
      <c r="J191" s="43" t="s">
        <v>13</v>
      </c>
      <c r="K191" s="43" t="s">
        <v>23</v>
      </c>
      <c r="L191" s="43" t="s">
        <v>22</v>
      </c>
      <c r="M191" s="16"/>
    </row>
    <row r="192" spans="1:13" x14ac:dyDescent="0.2">
      <c r="A192" s="78">
        <v>780</v>
      </c>
      <c r="B192" s="73">
        <v>1511</v>
      </c>
      <c r="C192" s="73">
        <v>11</v>
      </c>
      <c r="E192" s="45" t="s">
        <v>21</v>
      </c>
      <c r="F192" s="45" t="s">
        <v>20</v>
      </c>
      <c r="G192" s="45" t="s">
        <v>19</v>
      </c>
      <c r="H192" s="16"/>
      <c r="I192" s="45" t="s">
        <v>21</v>
      </c>
      <c r="J192" s="45" t="s">
        <v>20</v>
      </c>
      <c r="K192" s="45" t="s">
        <v>20</v>
      </c>
      <c r="L192" s="45" t="s">
        <v>19</v>
      </c>
      <c r="M192" s="16"/>
    </row>
    <row r="193" spans="1:13" x14ac:dyDescent="0.2">
      <c r="A193" s="78">
        <v>800</v>
      </c>
      <c r="B193" s="73">
        <v>1522</v>
      </c>
      <c r="C193" s="73">
        <v>11</v>
      </c>
      <c r="E193" s="46" t="s">
        <v>18</v>
      </c>
      <c r="F193" s="46" t="s">
        <v>61</v>
      </c>
      <c r="G193" s="46" t="s">
        <v>18</v>
      </c>
      <c r="H193" s="16"/>
      <c r="I193" s="46" t="s">
        <v>12</v>
      </c>
      <c r="J193" s="46" t="s">
        <v>31</v>
      </c>
      <c r="K193" s="46" t="s">
        <v>14</v>
      </c>
      <c r="L193" s="46" t="s">
        <v>12</v>
      </c>
      <c r="M193" s="16"/>
    </row>
    <row r="194" spans="1:13" x14ac:dyDescent="0.2">
      <c r="A194" s="78">
        <v>820</v>
      </c>
      <c r="B194" s="73">
        <v>1589</v>
      </c>
      <c r="C194" s="73">
        <v>11</v>
      </c>
      <c r="E194" s="47">
        <v>0</v>
      </c>
      <c r="F194" s="47">
        <f t="shared" ref="F194:G225" si="12">B143</f>
        <v>0</v>
      </c>
      <c r="G194" s="47">
        <f t="shared" si="12"/>
        <v>0</v>
      </c>
      <c r="H194" s="26"/>
      <c r="I194" s="47">
        <f t="shared" ref="I194:I251" si="13">+E194*0.01</f>
        <v>0</v>
      </c>
      <c r="J194" s="47">
        <f>+IF(AND(F194&gt;=0,F194&lt;=500),1.22*F194+4.18,IF(AND(F194&gt;500,F194&lt;=4500),1.16*F194+24.01,"Error"))</f>
        <v>4.18</v>
      </c>
      <c r="K194" s="47">
        <f t="shared" ref="K194:K251" si="14">+J194/$G$183</f>
        <v>0.12701306593740505</v>
      </c>
      <c r="L194" s="47">
        <f t="shared" ref="L194:L251" si="15">+G194*0.01</f>
        <v>0</v>
      </c>
      <c r="M194" s="16"/>
    </row>
    <row r="195" spans="1:13" x14ac:dyDescent="0.2">
      <c r="A195" s="78">
        <v>840</v>
      </c>
      <c r="B195" s="73">
        <v>1630</v>
      </c>
      <c r="C195" s="73">
        <v>11</v>
      </c>
      <c r="E195" s="47">
        <v>10</v>
      </c>
      <c r="F195" s="47">
        <f t="shared" si="12"/>
        <v>34</v>
      </c>
      <c r="G195" s="47">
        <f t="shared" si="12"/>
        <v>0</v>
      </c>
      <c r="H195" s="26"/>
      <c r="I195" s="47">
        <f t="shared" si="13"/>
        <v>0.1</v>
      </c>
      <c r="J195" s="47">
        <f t="shared" ref="J195:J251" si="16">+IF(AND(F195&gt;=0,F195&lt;=500),1.22*F195+4.18,IF(AND(F195&gt;500,F195&lt;=4500),1.16*F195+24.01,"Error"))</f>
        <v>45.66</v>
      </c>
      <c r="K195" s="47">
        <f t="shared" si="14"/>
        <v>1.3874202370100275</v>
      </c>
      <c r="L195" s="47">
        <f t="shared" si="15"/>
        <v>0</v>
      </c>
      <c r="M195" s="16"/>
    </row>
    <row r="196" spans="1:13" x14ac:dyDescent="0.2">
      <c r="A196" s="78">
        <v>860</v>
      </c>
      <c r="B196" s="73">
        <v>1598</v>
      </c>
      <c r="C196" s="73">
        <v>11</v>
      </c>
      <c r="E196" s="47">
        <v>20</v>
      </c>
      <c r="F196" s="47">
        <f t="shared" si="12"/>
        <v>52</v>
      </c>
      <c r="G196" s="47">
        <f t="shared" si="12"/>
        <v>1</v>
      </c>
      <c r="H196" s="26"/>
      <c r="I196" s="47">
        <f t="shared" si="13"/>
        <v>0.2</v>
      </c>
      <c r="J196" s="47">
        <f t="shared" si="16"/>
        <v>67.62</v>
      </c>
      <c r="K196" s="47">
        <f t="shared" si="14"/>
        <v>2.0546946216955337</v>
      </c>
      <c r="L196" s="47">
        <f t="shared" si="15"/>
        <v>0.01</v>
      </c>
      <c r="M196" s="16"/>
    </row>
    <row r="197" spans="1:13" x14ac:dyDescent="0.2">
      <c r="A197" s="78">
        <v>880</v>
      </c>
      <c r="B197" s="73">
        <v>1595</v>
      </c>
      <c r="C197" s="73">
        <v>11</v>
      </c>
      <c r="E197" s="47">
        <v>30</v>
      </c>
      <c r="F197" s="47">
        <f t="shared" si="12"/>
        <v>63</v>
      </c>
      <c r="G197" s="47">
        <f t="shared" si="12"/>
        <v>1</v>
      </c>
      <c r="H197" s="26"/>
      <c r="I197" s="47">
        <f t="shared" si="13"/>
        <v>0.3</v>
      </c>
      <c r="J197" s="47">
        <f t="shared" si="16"/>
        <v>81.039999999999992</v>
      </c>
      <c r="K197" s="47">
        <f t="shared" si="14"/>
        <v>2.4624734123366756</v>
      </c>
      <c r="L197" s="47">
        <f t="shared" si="15"/>
        <v>0.01</v>
      </c>
      <c r="M197" s="16"/>
    </row>
    <row r="198" spans="1:13" x14ac:dyDescent="0.2">
      <c r="A198" s="78">
        <v>900</v>
      </c>
      <c r="B198" s="73">
        <v>1618</v>
      </c>
      <c r="C198" s="73">
        <v>11</v>
      </c>
      <c r="E198" s="47">
        <v>40</v>
      </c>
      <c r="F198" s="47">
        <f t="shared" si="12"/>
        <v>81</v>
      </c>
      <c r="G198" s="47">
        <f t="shared" si="12"/>
        <v>2</v>
      </c>
      <c r="H198" s="26"/>
      <c r="I198" s="47">
        <f t="shared" si="13"/>
        <v>0.4</v>
      </c>
      <c r="J198" s="47">
        <f t="shared" si="16"/>
        <v>103</v>
      </c>
      <c r="K198" s="47">
        <f t="shared" si="14"/>
        <v>3.1297477970221821</v>
      </c>
      <c r="L198" s="47">
        <f t="shared" si="15"/>
        <v>0.02</v>
      </c>
      <c r="M198" s="16"/>
    </row>
    <row r="199" spans="1:13" x14ac:dyDescent="0.2">
      <c r="A199" s="78">
        <v>950</v>
      </c>
      <c r="B199" s="73">
        <v>1560</v>
      </c>
      <c r="C199" s="73">
        <v>12</v>
      </c>
      <c r="E199" s="47">
        <v>50</v>
      </c>
      <c r="F199" s="47">
        <f t="shared" si="12"/>
        <v>130</v>
      </c>
      <c r="G199" s="47">
        <f t="shared" si="12"/>
        <v>2</v>
      </c>
      <c r="H199" s="26"/>
      <c r="I199" s="47">
        <f t="shared" si="13"/>
        <v>0.5</v>
      </c>
      <c r="J199" s="47">
        <f t="shared" si="16"/>
        <v>162.78</v>
      </c>
      <c r="K199" s="47">
        <f t="shared" si="14"/>
        <v>4.9462169553327264</v>
      </c>
      <c r="L199" s="47">
        <f t="shared" si="15"/>
        <v>0.02</v>
      </c>
      <c r="M199" s="16"/>
    </row>
    <row r="200" spans="1:13" x14ac:dyDescent="0.2">
      <c r="A200" s="78">
        <v>1000</v>
      </c>
      <c r="B200" s="73">
        <v>1544</v>
      </c>
      <c r="C200" s="73">
        <v>14</v>
      </c>
      <c r="E200" s="47">
        <v>60</v>
      </c>
      <c r="F200" s="47">
        <f t="shared" si="12"/>
        <v>220</v>
      </c>
      <c r="G200" s="47">
        <f t="shared" si="12"/>
        <v>2</v>
      </c>
      <c r="H200" s="26"/>
      <c r="I200" s="47">
        <f t="shared" si="13"/>
        <v>0.6</v>
      </c>
      <c r="J200" s="47">
        <f t="shared" si="16"/>
        <v>272.58</v>
      </c>
      <c r="K200" s="47">
        <f t="shared" si="14"/>
        <v>8.2825888787602562</v>
      </c>
      <c r="L200" s="47">
        <f t="shared" si="15"/>
        <v>0.02</v>
      </c>
      <c r="M200" s="16"/>
    </row>
    <row r="201" spans="1:13" x14ac:dyDescent="0.2">
      <c r="E201" s="47">
        <v>70</v>
      </c>
      <c r="F201" s="47">
        <f t="shared" si="12"/>
        <v>490</v>
      </c>
      <c r="G201" s="47">
        <f t="shared" si="12"/>
        <v>11</v>
      </c>
      <c r="H201" s="26"/>
      <c r="I201" s="47">
        <f t="shared" si="13"/>
        <v>0.70000000000000007</v>
      </c>
      <c r="J201" s="47">
        <f t="shared" si="16"/>
        <v>601.9799999999999</v>
      </c>
      <c r="K201" s="47">
        <f t="shared" si="14"/>
        <v>18.291704649042842</v>
      </c>
      <c r="L201" s="47">
        <f t="shared" si="15"/>
        <v>0.11</v>
      </c>
      <c r="M201" s="16"/>
    </row>
    <row r="202" spans="1:13" x14ac:dyDescent="0.2">
      <c r="E202" s="47">
        <v>80</v>
      </c>
      <c r="F202" s="47">
        <f t="shared" si="12"/>
        <v>643</v>
      </c>
      <c r="G202" s="47">
        <f t="shared" si="12"/>
        <v>11</v>
      </c>
      <c r="H202" s="26"/>
      <c r="I202" s="47">
        <f t="shared" si="13"/>
        <v>0.8</v>
      </c>
      <c r="J202" s="47">
        <f t="shared" si="16"/>
        <v>769.89</v>
      </c>
      <c r="K202" s="47">
        <f t="shared" si="14"/>
        <v>23.393801276207842</v>
      </c>
      <c r="L202" s="47">
        <f t="shared" si="15"/>
        <v>0.11</v>
      </c>
      <c r="M202" s="16"/>
    </row>
    <row r="203" spans="1:13" x14ac:dyDescent="0.2">
      <c r="E203" s="47">
        <v>90</v>
      </c>
      <c r="F203" s="47">
        <f t="shared" si="12"/>
        <v>815</v>
      </c>
      <c r="G203" s="47">
        <f t="shared" si="12"/>
        <v>11</v>
      </c>
      <c r="H203" s="26"/>
      <c r="I203" s="47">
        <f t="shared" si="13"/>
        <v>0.9</v>
      </c>
      <c r="J203" s="47">
        <f t="shared" si="16"/>
        <v>969.41</v>
      </c>
      <c r="K203" s="47">
        <f t="shared" si="14"/>
        <v>29.456396232148286</v>
      </c>
      <c r="L203" s="47">
        <f t="shared" si="15"/>
        <v>0.11</v>
      </c>
      <c r="M203" s="16"/>
    </row>
    <row r="204" spans="1:13" x14ac:dyDescent="0.2">
      <c r="E204" s="47">
        <v>100</v>
      </c>
      <c r="F204" s="47">
        <f t="shared" si="12"/>
        <v>934</v>
      </c>
      <c r="G204" s="47">
        <f t="shared" si="12"/>
        <v>11</v>
      </c>
      <c r="H204" s="26"/>
      <c r="I204" s="47">
        <f t="shared" si="13"/>
        <v>1</v>
      </c>
      <c r="J204" s="47">
        <f t="shared" si="16"/>
        <v>1107.4499999999998</v>
      </c>
      <c r="K204" s="47">
        <f t="shared" si="14"/>
        <v>33.650865998176847</v>
      </c>
      <c r="L204" s="47">
        <f t="shared" si="15"/>
        <v>0.11</v>
      </c>
      <c r="M204" s="16"/>
    </row>
    <row r="205" spans="1:13" x14ac:dyDescent="0.2">
      <c r="E205" s="47">
        <v>110</v>
      </c>
      <c r="F205" s="47">
        <f t="shared" si="12"/>
        <v>1055</v>
      </c>
      <c r="G205" s="47">
        <f t="shared" si="12"/>
        <v>11</v>
      </c>
      <c r="H205" s="26"/>
      <c r="I205" s="47">
        <f t="shared" si="13"/>
        <v>1.1000000000000001</v>
      </c>
      <c r="J205" s="47">
        <f t="shared" si="16"/>
        <v>1247.81</v>
      </c>
      <c r="K205" s="47">
        <f t="shared" si="14"/>
        <v>37.915831054390765</v>
      </c>
      <c r="L205" s="47">
        <f t="shared" si="15"/>
        <v>0.11</v>
      </c>
      <c r="M205" s="16"/>
    </row>
    <row r="206" spans="1:13" x14ac:dyDescent="0.2">
      <c r="E206" s="47">
        <v>120</v>
      </c>
      <c r="F206" s="47">
        <f t="shared" si="12"/>
        <v>1128</v>
      </c>
      <c r="G206" s="47">
        <f t="shared" si="12"/>
        <v>11</v>
      </c>
      <c r="H206" s="26"/>
      <c r="I206" s="47">
        <f t="shared" si="13"/>
        <v>1.2</v>
      </c>
      <c r="J206" s="47">
        <f t="shared" si="16"/>
        <v>1332.49</v>
      </c>
      <c r="K206" s="47">
        <f t="shared" si="14"/>
        <v>40.488909146156189</v>
      </c>
      <c r="L206" s="47">
        <f t="shared" si="15"/>
        <v>0.11</v>
      </c>
      <c r="M206" s="16"/>
    </row>
    <row r="207" spans="1:13" x14ac:dyDescent="0.2">
      <c r="E207" s="47">
        <v>130</v>
      </c>
      <c r="F207" s="47">
        <f t="shared" si="12"/>
        <v>1203</v>
      </c>
      <c r="G207" s="47">
        <f t="shared" si="12"/>
        <v>11</v>
      </c>
      <c r="H207" s="26"/>
      <c r="I207" s="47">
        <f t="shared" si="13"/>
        <v>1.3</v>
      </c>
      <c r="J207" s="47">
        <f t="shared" si="16"/>
        <v>1419.4899999999998</v>
      </c>
      <c r="K207" s="47">
        <f t="shared" si="14"/>
        <v>43.132482528106955</v>
      </c>
      <c r="L207" s="47">
        <f t="shared" si="15"/>
        <v>0.11</v>
      </c>
      <c r="M207" s="16"/>
    </row>
    <row r="208" spans="1:13" x14ac:dyDescent="0.2">
      <c r="E208" s="47">
        <v>140</v>
      </c>
      <c r="F208" s="47">
        <f t="shared" si="12"/>
        <v>1226</v>
      </c>
      <c r="G208" s="47">
        <f t="shared" si="12"/>
        <v>11</v>
      </c>
      <c r="H208" s="26"/>
      <c r="I208" s="47">
        <f t="shared" si="13"/>
        <v>1.4000000000000001</v>
      </c>
      <c r="J208" s="47">
        <f t="shared" si="16"/>
        <v>1446.1699999999998</v>
      </c>
      <c r="K208" s="47">
        <f t="shared" si="14"/>
        <v>43.943178365238531</v>
      </c>
      <c r="L208" s="47">
        <f t="shared" si="15"/>
        <v>0.11</v>
      </c>
      <c r="M208" s="16"/>
    </row>
    <row r="209" spans="5:13" x14ac:dyDescent="0.2">
      <c r="E209" s="47">
        <v>150</v>
      </c>
      <c r="F209" s="47">
        <f t="shared" si="12"/>
        <v>1241</v>
      </c>
      <c r="G209" s="47">
        <f t="shared" si="12"/>
        <v>11</v>
      </c>
      <c r="H209" s="26"/>
      <c r="I209" s="47">
        <f t="shared" si="13"/>
        <v>1.5</v>
      </c>
      <c r="J209" s="47">
        <f t="shared" si="16"/>
        <v>1463.57</v>
      </c>
      <c r="K209" s="47">
        <f t="shared" si="14"/>
        <v>44.47189304162869</v>
      </c>
      <c r="L209" s="47">
        <f t="shared" si="15"/>
        <v>0.11</v>
      </c>
      <c r="M209" s="16"/>
    </row>
    <row r="210" spans="5:13" x14ac:dyDescent="0.2">
      <c r="E210" s="47">
        <v>160</v>
      </c>
      <c r="F210" s="47">
        <f t="shared" si="12"/>
        <v>1250</v>
      </c>
      <c r="G210" s="47">
        <f t="shared" si="12"/>
        <v>11</v>
      </c>
      <c r="H210" s="26"/>
      <c r="I210" s="47">
        <f t="shared" si="13"/>
        <v>1.6</v>
      </c>
      <c r="J210" s="47">
        <f t="shared" si="16"/>
        <v>1474.01</v>
      </c>
      <c r="K210" s="47">
        <f t="shared" si="14"/>
        <v>44.789121847462781</v>
      </c>
      <c r="L210" s="47">
        <f t="shared" si="15"/>
        <v>0.11</v>
      </c>
      <c r="M210" s="16"/>
    </row>
    <row r="211" spans="5:13" x14ac:dyDescent="0.2">
      <c r="E211" s="47">
        <v>170</v>
      </c>
      <c r="F211" s="47">
        <f t="shared" si="12"/>
        <v>1299</v>
      </c>
      <c r="G211" s="47">
        <f t="shared" si="12"/>
        <v>11</v>
      </c>
      <c r="H211" s="26"/>
      <c r="I211" s="47">
        <f t="shared" si="13"/>
        <v>1.7</v>
      </c>
      <c r="J211" s="47">
        <f t="shared" si="16"/>
        <v>1530.85</v>
      </c>
      <c r="K211" s="47">
        <f t="shared" si="14"/>
        <v>46.516256457003955</v>
      </c>
      <c r="L211" s="47">
        <f t="shared" si="15"/>
        <v>0.11</v>
      </c>
      <c r="M211" s="16"/>
    </row>
    <row r="212" spans="5:13" x14ac:dyDescent="0.2">
      <c r="E212" s="47">
        <v>180</v>
      </c>
      <c r="F212" s="47">
        <f t="shared" si="12"/>
        <v>1296</v>
      </c>
      <c r="G212" s="47">
        <f t="shared" si="12"/>
        <v>11</v>
      </c>
      <c r="H212" s="26"/>
      <c r="I212" s="47">
        <f t="shared" si="13"/>
        <v>1.8</v>
      </c>
      <c r="J212" s="47">
        <f t="shared" si="16"/>
        <v>1527.37</v>
      </c>
      <c r="K212" s="47">
        <f t="shared" si="14"/>
        <v>46.410513521725917</v>
      </c>
      <c r="L212" s="47">
        <f t="shared" si="15"/>
        <v>0.11</v>
      </c>
      <c r="M212" s="16"/>
    </row>
    <row r="213" spans="5:13" x14ac:dyDescent="0.2">
      <c r="E213" s="47">
        <v>190</v>
      </c>
      <c r="F213" s="47">
        <f t="shared" si="12"/>
        <v>1314</v>
      </c>
      <c r="G213" s="47">
        <f t="shared" si="12"/>
        <v>12</v>
      </c>
      <c r="H213" s="26"/>
      <c r="I213" s="47">
        <f t="shared" si="13"/>
        <v>1.9000000000000001</v>
      </c>
      <c r="J213" s="47">
        <f t="shared" si="16"/>
        <v>1548.2499999999998</v>
      </c>
      <c r="K213" s="47">
        <f t="shared" si="14"/>
        <v>47.0449711333941</v>
      </c>
      <c r="L213" s="47">
        <f t="shared" si="15"/>
        <v>0.12</v>
      </c>
      <c r="M213" s="16"/>
    </row>
    <row r="214" spans="5:13" x14ac:dyDescent="0.2">
      <c r="E214" s="47">
        <v>200</v>
      </c>
      <c r="F214" s="47">
        <f t="shared" si="12"/>
        <v>1319</v>
      </c>
      <c r="G214" s="47">
        <f t="shared" si="12"/>
        <v>13</v>
      </c>
      <c r="H214" s="26"/>
      <c r="I214" s="47">
        <f t="shared" si="13"/>
        <v>2</v>
      </c>
      <c r="J214" s="47">
        <f t="shared" si="16"/>
        <v>1554.05</v>
      </c>
      <c r="K214" s="47">
        <f t="shared" si="14"/>
        <v>47.221209358857493</v>
      </c>
      <c r="L214" s="47">
        <f t="shared" si="15"/>
        <v>0.13</v>
      </c>
      <c r="M214" s="16"/>
    </row>
    <row r="215" spans="5:13" x14ac:dyDescent="0.2">
      <c r="E215" s="47">
        <v>220</v>
      </c>
      <c r="F215" s="47">
        <f t="shared" si="12"/>
        <v>1377</v>
      </c>
      <c r="G215" s="47">
        <f t="shared" si="12"/>
        <v>15</v>
      </c>
      <c r="H215" s="26"/>
      <c r="I215" s="47">
        <f t="shared" si="13"/>
        <v>2.2000000000000002</v>
      </c>
      <c r="J215" s="47">
        <f t="shared" si="16"/>
        <v>1621.33</v>
      </c>
      <c r="K215" s="47">
        <f t="shared" si="14"/>
        <v>49.265572774232758</v>
      </c>
      <c r="L215" s="47">
        <f t="shared" si="15"/>
        <v>0.15</v>
      </c>
      <c r="M215" s="16"/>
    </row>
    <row r="216" spans="5:13" x14ac:dyDescent="0.2">
      <c r="E216" s="47">
        <v>240</v>
      </c>
      <c r="F216" s="47">
        <f t="shared" si="12"/>
        <v>1360</v>
      </c>
      <c r="G216" s="47">
        <f t="shared" si="12"/>
        <v>21</v>
      </c>
      <c r="H216" s="26"/>
      <c r="I216" s="47">
        <f t="shared" si="13"/>
        <v>2.4</v>
      </c>
      <c r="J216" s="47">
        <f t="shared" si="16"/>
        <v>1601.61</v>
      </c>
      <c r="K216" s="47">
        <f t="shared" si="14"/>
        <v>48.666362807657251</v>
      </c>
      <c r="L216" s="47">
        <f t="shared" si="15"/>
        <v>0.21</v>
      </c>
      <c r="M216" s="16"/>
    </row>
    <row r="217" spans="5:13" x14ac:dyDescent="0.2">
      <c r="E217" s="47">
        <v>260</v>
      </c>
      <c r="F217" s="47">
        <f t="shared" si="12"/>
        <v>1392</v>
      </c>
      <c r="G217" s="47">
        <f t="shared" si="12"/>
        <v>19</v>
      </c>
      <c r="H217" s="48"/>
      <c r="I217" s="47">
        <f t="shared" si="13"/>
        <v>2.6</v>
      </c>
      <c r="J217" s="47">
        <f t="shared" si="16"/>
        <v>1638.7299999999998</v>
      </c>
      <c r="K217" s="47">
        <f t="shared" si="14"/>
        <v>49.79428745062291</v>
      </c>
      <c r="L217" s="47">
        <f t="shared" si="15"/>
        <v>0.19</v>
      </c>
      <c r="M217" s="16"/>
    </row>
    <row r="218" spans="5:13" x14ac:dyDescent="0.2">
      <c r="E218" s="47">
        <v>280</v>
      </c>
      <c r="F218" s="47">
        <f t="shared" si="12"/>
        <v>1418</v>
      </c>
      <c r="G218" s="47">
        <f t="shared" si="12"/>
        <v>15</v>
      </c>
      <c r="H218" s="26"/>
      <c r="I218" s="47">
        <f t="shared" si="13"/>
        <v>2.8000000000000003</v>
      </c>
      <c r="J218" s="47">
        <f t="shared" si="16"/>
        <v>1668.8899999999999</v>
      </c>
      <c r="K218" s="47">
        <f t="shared" si="14"/>
        <v>50.710726223032516</v>
      </c>
      <c r="L218" s="47">
        <f t="shared" si="15"/>
        <v>0.15</v>
      </c>
      <c r="M218" s="16"/>
    </row>
    <row r="219" spans="5:13" x14ac:dyDescent="0.2">
      <c r="E219" s="47">
        <v>300</v>
      </c>
      <c r="F219" s="47">
        <f t="shared" si="12"/>
        <v>1435</v>
      </c>
      <c r="G219" s="47">
        <f t="shared" si="12"/>
        <v>12</v>
      </c>
      <c r="H219" s="26"/>
      <c r="I219" s="47">
        <f t="shared" si="13"/>
        <v>3</v>
      </c>
      <c r="J219" s="47">
        <f t="shared" si="16"/>
        <v>1688.61</v>
      </c>
      <c r="K219" s="47">
        <f t="shared" si="14"/>
        <v>51.309936189608024</v>
      </c>
      <c r="L219" s="47">
        <f t="shared" si="15"/>
        <v>0.12</v>
      </c>
      <c r="M219" s="16"/>
    </row>
    <row r="220" spans="5:13" x14ac:dyDescent="0.2">
      <c r="E220" s="47">
        <v>320</v>
      </c>
      <c r="F220" s="47">
        <f t="shared" si="12"/>
        <v>1430</v>
      </c>
      <c r="G220" s="47">
        <f t="shared" si="12"/>
        <v>3</v>
      </c>
      <c r="H220" s="26"/>
      <c r="I220" s="47">
        <f t="shared" si="13"/>
        <v>3.2</v>
      </c>
      <c r="J220" s="47">
        <f t="shared" si="16"/>
        <v>1682.81</v>
      </c>
      <c r="K220" s="47">
        <f t="shared" si="14"/>
        <v>51.133697964144638</v>
      </c>
      <c r="L220" s="47">
        <f t="shared" si="15"/>
        <v>0.03</v>
      </c>
      <c r="M220" s="16"/>
    </row>
    <row r="221" spans="5:13" x14ac:dyDescent="0.2">
      <c r="E221" s="47">
        <v>340</v>
      </c>
      <c r="F221" s="47">
        <f t="shared" si="12"/>
        <v>1398</v>
      </c>
      <c r="G221" s="47">
        <f t="shared" si="12"/>
        <v>12</v>
      </c>
      <c r="H221" s="26"/>
      <c r="I221" s="47">
        <f t="shared" si="13"/>
        <v>3.4</v>
      </c>
      <c r="J221" s="47">
        <f t="shared" si="16"/>
        <v>1645.6899999999998</v>
      </c>
      <c r="K221" s="47">
        <f t="shared" si="14"/>
        <v>50.005773321178971</v>
      </c>
      <c r="L221" s="47">
        <f t="shared" si="15"/>
        <v>0.12</v>
      </c>
      <c r="M221" s="16"/>
    </row>
    <row r="222" spans="5:13" x14ac:dyDescent="0.2">
      <c r="E222" s="47">
        <v>360</v>
      </c>
      <c r="F222" s="47">
        <f t="shared" si="12"/>
        <v>1389</v>
      </c>
      <c r="G222" s="47">
        <f t="shared" si="12"/>
        <v>12</v>
      </c>
      <c r="H222" s="26"/>
      <c r="I222" s="47">
        <f t="shared" si="13"/>
        <v>3.6</v>
      </c>
      <c r="J222" s="47">
        <f t="shared" si="16"/>
        <v>1635.2499999999998</v>
      </c>
      <c r="K222" s="47">
        <f t="shared" si="14"/>
        <v>49.68854451534488</v>
      </c>
      <c r="L222" s="47">
        <f t="shared" si="15"/>
        <v>0.12</v>
      </c>
      <c r="M222" s="16"/>
    </row>
    <row r="223" spans="5:13" x14ac:dyDescent="0.2">
      <c r="E223" s="47">
        <v>380</v>
      </c>
      <c r="F223" s="47">
        <f t="shared" si="12"/>
        <v>1359</v>
      </c>
      <c r="G223" s="47">
        <f t="shared" si="12"/>
        <v>12</v>
      </c>
      <c r="H223" s="26"/>
      <c r="I223" s="47">
        <f t="shared" si="13"/>
        <v>3.8000000000000003</v>
      </c>
      <c r="J223" s="47">
        <f t="shared" si="16"/>
        <v>1600.4499999999998</v>
      </c>
      <c r="K223" s="47">
        <f t="shared" si="14"/>
        <v>48.631115162564569</v>
      </c>
      <c r="L223" s="47">
        <f t="shared" si="15"/>
        <v>0.12</v>
      </c>
      <c r="M223" s="16"/>
    </row>
    <row r="224" spans="5:13" x14ac:dyDescent="0.2">
      <c r="E224" s="47">
        <v>400</v>
      </c>
      <c r="F224" s="47">
        <f t="shared" si="12"/>
        <v>1319</v>
      </c>
      <c r="G224" s="47">
        <f t="shared" si="12"/>
        <v>10</v>
      </c>
      <c r="H224" s="26"/>
      <c r="I224" s="47">
        <f t="shared" si="13"/>
        <v>4</v>
      </c>
      <c r="J224" s="47">
        <f t="shared" si="16"/>
        <v>1554.05</v>
      </c>
      <c r="K224" s="47">
        <f t="shared" si="14"/>
        <v>47.221209358857493</v>
      </c>
      <c r="L224" s="47">
        <f t="shared" si="15"/>
        <v>0.1</v>
      </c>
      <c r="M224" s="16"/>
    </row>
    <row r="225" spans="5:13" x14ac:dyDescent="0.2">
      <c r="E225" s="47">
        <v>420</v>
      </c>
      <c r="F225" s="47">
        <f t="shared" si="12"/>
        <v>1363</v>
      </c>
      <c r="G225" s="47">
        <f t="shared" si="12"/>
        <v>8</v>
      </c>
      <c r="H225" s="26"/>
      <c r="I225" s="47">
        <f t="shared" si="13"/>
        <v>4.2</v>
      </c>
      <c r="J225" s="47">
        <f t="shared" si="16"/>
        <v>1605.09</v>
      </c>
      <c r="K225" s="47">
        <f t="shared" si="14"/>
        <v>48.772105742935281</v>
      </c>
      <c r="L225" s="47">
        <f t="shared" si="15"/>
        <v>0.08</v>
      </c>
      <c r="M225" s="16"/>
    </row>
    <row r="226" spans="5:13" x14ac:dyDescent="0.2">
      <c r="E226" s="47">
        <v>440</v>
      </c>
      <c r="F226" s="47">
        <f t="shared" ref="F226:G251" si="17">B175</f>
        <v>1389</v>
      </c>
      <c r="G226" s="47">
        <f t="shared" si="17"/>
        <v>8</v>
      </c>
      <c r="H226" s="26"/>
      <c r="I226" s="47">
        <f t="shared" si="13"/>
        <v>4.4000000000000004</v>
      </c>
      <c r="J226" s="47">
        <f t="shared" si="16"/>
        <v>1635.2499999999998</v>
      </c>
      <c r="K226" s="47">
        <f t="shared" si="14"/>
        <v>49.68854451534488</v>
      </c>
      <c r="L226" s="47">
        <f t="shared" si="15"/>
        <v>0.08</v>
      </c>
      <c r="M226" s="16"/>
    </row>
    <row r="227" spans="5:13" x14ac:dyDescent="0.2">
      <c r="E227" s="47">
        <v>460</v>
      </c>
      <c r="F227" s="47">
        <f t="shared" si="17"/>
        <v>1363</v>
      </c>
      <c r="G227" s="47">
        <f t="shared" si="17"/>
        <v>8</v>
      </c>
      <c r="H227" s="26"/>
      <c r="I227" s="47">
        <f t="shared" si="13"/>
        <v>4.6000000000000005</v>
      </c>
      <c r="J227" s="47">
        <f t="shared" si="16"/>
        <v>1605.09</v>
      </c>
      <c r="K227" s="47">
        <f t="shared" si="14"/>
        <v>48.772105742935281</v>
      </c>
      <c r="L227" s="47">
        <f t="shared" si="15"/>
        <v>0.08</v>
      </c>
      <c r="M227" s="16"/>
    </row>
    <row r="228" spans="5:13" x14ac:dyDescent="0.2">
      <c r="E228" s="47">
        <v>480</v>
      </c>
      <c r="F228" s="47">
        <f t="shared" si="17"/>
        <v>1430</v>
      </c>
      <c r="G228" s="47">
        <f t="shared" si="17"/>
        <v>8</v>
      </c>
      <c r="H228" s="26"/>
      <c r="I228" s="47">
        <f t="shared" si="13"/>
        <v>4.8</v>
      </c>
      <c r="J228" s="47">
        <f t="shared" si="16"/>
        <v>1682.81</v>
      </c>
      <c r="K228" s="47">
        <f t="shared" si="14"/>
        <v>51.133697964144638</v>
      </c>
      <c r="L228" s="47">
        <f t="shared" si="15"/>
        <v>0.08</v>
      </c>
      <c r="M228" s="16"/>
    </row>
    <row r="229" spans="5:13" x14ac:dyDescent="0.2">
      <c r="E229" s="47">
        <v>500</v>
      </c>
      <c r="F229" s="47">
        <f t="shared" si="17"/>
        <v>1447</v>
      </c>
      <c r="G229" s="47">
        <f t="shared" si="17"/>
        <v>8</v>
      </c>
      <c r="H229" s="26"/>
      <c r="I229" s="47">
        <f t="shared" si="13"/>
        <v>5</v>
      </c>
      <c r="J229" s="47">
        <f t="shared" si="16"/>
        <v>1702.53</v>
      </c>
      <c r="K229" s="47">
        <f t="shared" si="14"/>
        <v>51.732907930720152</v>
      </c>
      <c r="L229" s="47">
        <f t="shared" si="15"/>
        <v>0.08</v>
      </c>
      <c r="M229" s="16"/>
    </row>
    <row r="230" spans="5:13" x14ac:dyDescent="0.2">
      <c r="E230" s="47">
        <v>520</v>
      </c>
      <c r="F230" s="47">
        <f t="shared" si="17"/>
        <v>1421</v>
      </c>
      <c r="G230" s="47">
        <f t="shared" si="17"/>
        <v>8</v>
      </c>
      <c r="H230" s="26"/>
      <c r="I230" s="47">
        <f t="shared" si="13"/>
        <v>5.2</v>
      </c>
      <c r="J230" s="47">
        <f t="shared" si="16"/>
        <v>1672.37</v>
      </c>
      <c r="K230" s="47">
        <f t="shared" si="14"/>
        <v>50.816469158310547</v>
      </c>
      <c r="L230" s="47">
        <f t="shared" si="15"/>
        <v>0.08</v>
      </c>
      <c r="M230" s="16"/>
    </row>
    <row r="231" spans="5:13" x14ac:dyDescent="0.2">
      <c r="E231" s="47">
        <v>540</v>
      </c>
      <c r="F231" s="47">
        <f t="shared" si="17"/>
        <v>1444</v>
      </c>
      <c r="G231" s="47">
        <f t="shared" si="17"/>
        <v>10</v>
      </c>
      <c r="H231" s="26"/>
      <c r="I231" s="47">
        <f t="shared" si="13"/>
        <v>5.4</v>
      </c>
      <c r="J231" s="47">
        <f t="shared" si="16"/>
        <v>1699.05</v>
      </c>
      <c r="K231" s="47">
        <f t="shared" si="14"/>
        <v>51.627164995442122</v>
      </c>
      <c r="L231" s="47">
        <f t="shared" si="15"/>
        <v>0.1</v>
      </c>
      <c r="M231" s="16"/>
    </row>
    <row r="232" spans="5:13" x14ac:dyDescent="0.2">
      <c r="E232" s="47">
        <v>560</v>
      </c>
      <c r="F232" s="47">
        <f t="shared" si="17"/>
        <v>1441</v>
      </c>
      <c r="G232" s="47">
        <f t="shared" si="17"/>
        <v>10</v>
      </c>
      <c r="H232" s="26"/>
      <c r="I232" s="47">
        <f t="shared" si="13"/>
        <v>5.6000000000000005</v>
      </c>
      <c r="J232" s="47">
        <f t="shared" si="16"/>
        <v>1695.57</v>
      </c>
      <c r="K232" s="47">
        <f t="shared" si="14"/>
        <v>51.521422060164085</v>
      </c>
      <c r="L232" s="47">
        <f t="shared" si="15"/>
        <v>0.1</v>
      </c>
      <c r="M232" s="16"/>
    </row>
    <row r="233" spans="5:13" x14ac:dyDescent="0.2">
      <c r="E233" s="47">
        <v>580</v>
      </c>
      <c r="F233" s="47">
        <f t="shared" si="17"/>
        <v>1438</v>
      </c>
      <c r="G233" s="47">
        <f t="shared" si="17"/>
        <v>11</v>
      </c>
      <c r="H233" s="26"/>
      <c r="I233" s="47">
        <f t="shared" si="13"/>
        <v>5.8</v>
      </c>
      <c r="J233" s="47">
        <f t="shared" si="16"/>
        <v>1692.09</v>
      </c>
      <c r="K233" s="47">
        <f t="shared" si="14"/>
        <v>51.415679124886054</v>
      </c>
      <c r="L233" s="47">
        <f t="shared" si="15"/>
        <v>0.11</v>
      </c>
      <c r="M233" s="16"/>
    </row>
    <row r="234" spans="5:13" x14ac:dyDescent="0.2">
      <c r="E234" s="47">
        <v>600</v>
      </c>
      <c r="F234" s="47">
        <f t="shared" si="17"/>
        <v>1467</v>
      </c>
      <c r="G234" s="47">
        <f t="shared" si="17"/>
        <v>11</v>
      </c>
      <c r="H234" s="26"/>
      <c r="I234" s="47">
        <f t="shared" si="13"/>
        <v>6</v>
      </c>
      <c r="J234" s="47">
        <f t="shared" si="16"/>
        <v>1725.7299999999998</v>
      </c>
      <c r="K234" s="47">
        <f t="shared" si="14"/>
        <v>52.437860832573683</v>
      </c>
      <c r="L234" s="47">
        <f t="shared" si="15"/>
        <v>0.11</v>
      </c>
      <c r="M234" s="16"/>
    </row>
    <row r="235" spans="5:13" x14ac:dyDescent="0.2">
      <c r="E235" s="47">
        <v>620</v>
      </c>
      <c r="F235" s="47">
        <f t="shared" si="17"/>
        <v>1430</v>
      </c>
      <c r="G235" s="47">
        <f t="shared" si="17"/>
        <v>11</v>
      </c>
      <c r="H235" s="26"/>
      <c r="I235" s="47">
        <f t="shared" si="13"/>
        <v>6.2</v>
      </c>
      <c r="J235" s="47">
        <f t="shared" si="16"/>
        <v>1682.81</v>
      </c>
      <c r="K235" s="47">
        <f t="shared" si="14"/>
        <v>51.133697964144638</v>
      </c>
      <c r="L235" s="47">
        <f t="shared" si="15"/>
        <v>0.11</v>
      </c>
      <c r="M235" s="16"/>
    </row>
    <row r="236" spans="5:13" x14ac:dyDescent="0.2">
      <c r="E236" s="47">
        <v>640</v>
      </c>
      <c r="F236" s="47">
        <f t="shared" si="17"/>
        <v>1427</v>
      </c>
      <c r="G236" s="47">
        <f t="shared" si="17"/>
        <v>11</v>
      </c>
      <c r="H236" s="26"/>
      <c r="I236" s="47">
        <f t="shared" si="13"/>
        <v>6.4</v>
      </c>
      <c r="J236" s="47">
        <f t="shared" si="16"/>
        <v>1679.33</v>
      </c>
      <c r="K236" s="47">
        <f t="shared" si="14"/>
        <v>51.027955028866607</v>
      </c>
      <c r="L236" s="47">
        <f t="shared" si="15"/>
        <v>0.11</v>
      </c>
      <c r="M236" s="16"/>
    </row>
    <row r="237" spans="5:13" x14ac:dyDescent="0.2">
      <c r="E237" s="47">
        <v>660</v>
      </c>
      <c r="F237" s="47">
        <f t="shared" si="17"/>
        <v>1415</v>
      </c>
      <c r="G237" s="47">
        <f t="shared" si="17"/>
        <v>12</v>
      </c>
      <c r="H237" s="26"/>
      <c r="I237" s="47">
        <f t="shared" si="13"/>
        <v>6.6000000000000005</v>
      </c>
      <c r="J237" s="47">
        <f t="shared" si="16"/>
        <v>1665.4099999999999</v>
      </c>
      <c r="K237" s="47">
        <f t="shared" si="14"/>
        <v>50.604983287754486</v>
      </c>
      <c r="L237" s="47">
        <f t="shared" si="15"/>
        <v>0.12</v>
      </c>
      <c r="M237" s="16"/>
    </row>
    <row r="238" spans="5:13" x14ac:dyDescent="0.2">
      <c r="E238" s="47">
        <v>680</v>
      </c>
      <c r="F238" s="47">
        <f t="shared" si="17"/>
        <v>1456</v>
      </c>
      <c r="G238" s="47">
        <f t="shared" si="17"/>
        <v>12</v>
      </c>
      <c r="H238" s="26"/>
      <c r="I238" s="47">
        <f t="shared" si="13"/>
        <v>6.8</v>
      </c>
      <c r="J238" s="47">
        <f t="shared" si="16"/>
        <v>1712.9699999999998</v>
      </c>
      <c r="K238" s="47">
        <f t="shared" si="14"/>
        <v>52.050136736554236</v>
      </c>
      <c r="L238" s="47">
        <f t="shared" si="15"/>
        <v>0.12</v>
      </c>
      <c r="M238" s="16"/>
    </row>
    <row r="239" spans="5:13" x14ac:dyDescent="0.2">
      <c r="E239" s="47">
        <v>700</v>
      </c>
      <c r="F239" s="47">
        <f t="shared" si="17"/>
        <v>1498</v>
      </c>
      <c r="G239" s="47">
        <f t="shared" si="17"/>
        <v>12</v>
      </c>
      <c r="H239" s="26"/>
      <c r="I239" s="47">
        <f t="shared" si="13"/>
        <v>7</v>
      </c>
      <c r="J239" s="47">
        <f t="shared" si="16"/>
        <v>1761.6899999999998</v>
      </c>
      <c r="K239" s="47">
        <f t="shared" si="14"/>
        <v>53.530537830446676</v>
      </c>
      <c r="L239" s="47">
        <f t="shared" si="15"/>
        <v>0.12</v>
      </c>
      <c r="M239" s="16"/>
    </row>
    <row r="240" spans="5:13" x14ac:dyDescent="0.2">
      <c r="E240" s="47">
        <v>720</v>
      </c>
      <c r="F240" s="47">
        <f t="shared" si="17"/>
        <v>1572</v>
      </c>
      <c r="G240" s="47">
        <f t="shared" si="17"/>
        <v>12</v>
      </c>
      <c r="H240" s="26"/>
      <c r="I240" s="47">
        <f t="shared" si="13"/>
        <v>7.2</v>
      </c>
      <c r="J240" s="47">
        <f t="shared" si="16"/>
        <v>1847.53</v>
      </c>
      <c r="K240" s="47">
        <f t="shared" si="14"/>
        <v>56.138863567304774</v>
      </c>
      <c r="L240" s="47">
        <f t="shared" si="15"/>
        <v>0.12</v>
      </c>
      <c r="M240" s="16"/>
    </row>
    <row r="241" spans="4:13" x14ac:dyDescent="0.2">
      <c r="E241" s="47">
        <v>740</v>
      </c>
      <c r="F241" s="47">
        <f t="shared" si="17"/>
        <v>1522</v>
      </c>
      <c r="G241" s="47">
        <f t="shared" si="17"/>
        <v>12</v>
      </c>
      <c r="H241" s="26"/>
      <c r="I241" s="47">
        <f t="shared" si="13"/>
        <v>7.4</v>
      </c>
      <c r="J241" s="47">
        <f t="shared" si="16"/>
        <v>1789.53</v>
      </c>
      <c r="K241" s="47">
        <f t="shared" si="14"/>
        <v>54.376481312670926</v>
      </c>
      <c r="L241" s="47">
        <f t="shared" si="15"/>
        <v>0.12</v>
      </c>
      <c r="M241" s="16"/>
    </row>
    <row r="242" spans="4:13" x14ac:dyDescent="0.2">
      <c r="E242" s="47">
        <v>760</v>
      </c>
      <c r="F242" s="47">
        <f t="shared" si="17"/>
        <v>1506</v>
      </c>
      <c r="G242" s="47">
        <f t="shared" si="17"/>
        <v>12</v>
      </c>
      <c r="H242" s="26"/>
      <c r="I242" s="47">
        <f t="shared" si="13"/>
        <v>7.6000000000000005</v>
      </c>
      <c r="J242" s="47">
        <f t="shared" si="16"/>
        <v>1770.9699999999998</v>
      </c>
      <c r="K242" s="47">
        <f t="shared" si="14"/>
        <v>53.812518991188085</v>
      </c>
      <c r="L242" s="47">
        <f t="shared" si="15"/>
        <v>0.12</v>
      </c>
      <c r="M242" s="16"/>
    </row>
    <row r="243" spans="4:13" x14ac:dyDescent="0.2">
      <c r="E243" s="47">
        <v>780</v>
      </c>
      <c r="F243" s="47">
        <f t="shared" si="17"/>
        <v>1511</v>
      </c>
      <c r="G243" s="47">
        <f t="shared" si="17"/>
        <v>11</v>
      </c>
      <c r="H243" s="26"/>
      <c r="I243" s="47">
        <f t="shared" si="13"/>
        <v>7.8</v>
      </c>
      <c r="J243" s="47">
        <f t="shared" si="16"/>
        <v>1776.77</v>
      </c>
      <c r="K243" s="47">
        <f t="shared" si="14"/>
        <v>53.988757216651479</v>
      </c>
      <c r="L243" s="47">
        <f t="shared" si="15"/>
        <v>0.11</v>
      </c>
      <c r="M243" s="16"/>
    </row>
    <row r="244" spans="4:13" x14ac:dyDescent="0.2">
      <c r="E244" s="47">
        <v>800</v>
      </c>
      <c r="F244" s="47">
        <f t="shared" si="17"/>
        <v>1522</v>
      </c>
      <c r="G244" s="47">
        <f t="shared" si="17"/>
        <v>11</v>
      </c>
      <c r="H244" s="26"/>
      <c r="I244" s="47">
        <f t="shared" si="13"/>
        <v>8</v>
      </c>
      <c r="J244" s="47">
        <f t="shared" si="16"/>
        <v>1789.53</v>
      </c>
      <c r="K244" s="47">
        <f t="shared" si="14"/>
        <v>54.376481312670926</v>
      </c>
      <c r="L244" s="47">
        <f t="shared" si="15"/>
        <v>0.11</v>
      </c>
      <c r="M244" s="16"/>
    </row>
    <row r="245" spans="4:13" x14ac:dyDescent="0.2">
      <c r="E245" s="47">
        <v>820</v>
      </c>
      <c r="F245" s="47">
        <f t="shared" si="17"/>
        <v>1589</v>
      </c>
      <c r="G245" s="47">
        <f t="shared" si="17"/>
        <v>11</v>
      </c>
      <c r="H245" s="26"/>
      <c r="I245" s="47">
        <f t="shared" si="13"/>
        <v>8.1999999999999993</v>
      </c>
      <c r="J245" s="47">
        <f t="shared" si="16"/>
        <v>1867.2499999999998</v>
      </c>
      <c r="K245" s="47">
        <f t="shared" si="14"/>
        <v>56.738073533880275</v>
      </c>
      <c r="L245" s="47">
        <f t="shared" si="15"/>
        <v>0.11</v>
      </c>
      <c r="M245" s="16"/>
    </row>
    <row r="246" spans="4:13" x14ac:dyDescent="0.2">
      <c r="E246" s="47">
        <v>840</v>
      </c>
      <c r="F246" s="47">
        <f t="shared" si="17"/>
        <v>1630</v>
      </c>
      <c r="G246" s="47">
        <f t="shared" si="17"/>
        <v>11</v>
      </c>
      <c r="H246" s="26"/>
      <c r="I246" s="47">
        <f t="shared" si="13"/>
        <v>8.4</v>
      </c>
      <c r="J246" s="47">
        <f t="shared" si="16"/>
        <v>1914.81</v>
      </c>
      <c r="K246" s="47">
        <f t="shared" si="14"/>
        <v>58.18322698268004</v>
      </c>
      <c r="L246" s="47">
        <f t="shared" si="15"/>
        <v>0.11</v>
      </c>
      <c r="M246" s="16"/>
    </row>
    <row r="247" spans="4:13" x14ac:dyDescent="0.2">
      <c r="E247" s="47">
        <v>860</v>
      </c>
      <c r="F247" s="47">
        <f t="shared" si="17"/>
        <v>1598</v>
      </c>
      <c r="G247" s="47">
        <f t="shared" si="17"/>
        <v>11</v>
      </c>
      <c r="H247" s="26"/>
      <c r="I247" s="47">
        <f t="shared" si="13"/>
        <v>8.6</v>
      </c>
      <c r="J247" s="47">
        <f t="shared" si="16"/>
        <v>1877.6899999999998</v>
      </c>
      <c r="K247" s="47">
        <f t="shared" si="14"/>
        <v>57.055302339714373</v>
      </c>
      <c r="L247" s="47">
        <f t="shared" si="15"/>
        <v>0.11</v>
      </c>
      <c r="M247" s="16"/>
    </row>
    <row r="248" spans="4:13" x14ac:dyDescent="0.2">
      <c r="E248" s="47">
        <v>880</v>
      </c>
      <c r="F248" s="47">
        <f t="shared" si="17"/>
        <v>1595</v>
      </c>
      <c r="G248" s="47">
        <f t="shared" si="17"/>
        <v>11</v>
      </c>
      <c r="H248" s="26"/>
      <c r="I248" s="47">
        <f t="shared" si="13"/>
        <v>8.8000000000000007</v>
      </c>
      <c r="J248" s="47">
        <f t="shared" si="16"/>
        <v>1874.2099999999998</v>
      </c>
      <c r="K248" s="47">
        <f t="shared" si="14"/>
        <v>56.949559404436343</v>
      </c>
      <c r="L248" s="47">
        <f t="shared" si="15"/>
        <v>0.11</v>
      </c>
      <c r="M248" s="16"/>
    </row>
    <row r="249" spans="4:13" x14ac:dyDescent="0.2">
      <c r="E249" s="47">
        <v>900</v>
      </c>
      <c r="F249" s="47">
        <f t="shared" si="17"/>
        <v>1618</v>
      </c>
      <c r="G249" s="47">
        <f t="shared" si="17"/>
        <v>11</v>
      </c>
      <c r="H249" s="26"/>
      <c r="I249" s="47">
        <f t="shared" si="13"/>
        <v>9</v>
      </c>
      <c r="J249" s="47">
        <f t="shared" si="16"/>
        <v>1900.8899999999999</v>
      </c>
      <c r="K249" s="47">
        <f t="shared" si="14"/>
        <v>57.760255241567911</v>
      </c>
      <c r="L249" s="47">
        <f t="shared" si="15"/>
        <v>0.11</v>
      </c>
      <c r="M249" s="16"/>
    </row>
    <row r="250" spans="4:13" x14ac:dyDescent="0.2">
      <c r="E250" s="47">
        <v>950</v>
      </c>
      <c r="F250" s="47">
        <f t="shared" si="17"/>
        <v>1560</v>
      </c>
      <c r="G250" s="47">
        <f t="shared" si="17"/>
        <v>12</v>
      </c>
      <c r="H250" s="26"/>
      <c r="I250" s="47">
        <f t="shared" si="13"/>
        <v>9.5</v>
      </c>
      <c r="J250" s="47">
        <f t="shared" si="16"/>
        <v>1833.61</v>
      </c>
      <c r="K250" s="47">
        <f t="shared" si="14"/>
        <v>55.715891826192646</v>
      </c>
      <c r="L250" s="47">
        <f t="shared" si="15"/>
        <v>0.12</v>
      </c>
      <c r="M250" s="16"/>
    </row>
    <row r="251" spans="4:13" x14ac:dyDescent="0.2">
      <c r="E251" s="47">
        <v>1000</v>
      </c>
      <c r="F251" s="47">
        <f t="shared" si="17"/>
        <v>1544</v>
      </c>
      <c r="G251" s="47">
        <f t="shared" si="17"/>
        <v>14</v>
      </c>
      <c r="H251" s="26"/>
      <c r="I251" s="47">
        <f t="shared" si="13"/>
        <v>10</v>
      </c>
      <c r="J251" s="47">
        <f t="shared" si="16"/>
        <v>1815.05</v>
      </c>
      <c r="K251" s="47">
        <f t="shared" si="14"/>
        <v>55.15192950470982</v>
      </c>
      <c r="L251" s="47">
        <f t="shared" si="15"/>
        <v>0.14000000000000001</v>
      </c>
      <c r="M251" s="16"/>
    </row>
    <row r="252" spans="4:13" x14ac:dyDescent="0.2">
      <c r="E252" s="16"/>
      <c r="F252" s="16"/>
      <c r="G252" s="16"/>
      <c r="H252" s="16"/>
      <c r="I252" s="16"/>
      <c r="J252" s="16"/>
      <c r="K252" s="16"/>
      <c r="L252" s="16"/>
      <c r="M252" s="16"/>
    </row>
    <row r="253" spans="4:13" x14ac:dyDescent="0.2">
      <c r="E253" s="52" t="s">
        <v>2</v>
      </c>
      <c r="F253" s="16"/>
      <c r="G253" s="16"/>
      <c r="H253" s="16"/>
      <c r="I253" s="16"/>
      <c r="J253" s="16"/>
      <c r="K253" s="16"/>
      <c r="L253" s="16"/>
      <c r="M253" s="16"/>
    </row>
    <row r="254" spans="4:13" x14ac:dyDescent="0.2">
      <c r="D254" s="79"/>
      <c r="E254" s="16" t="s">
        <v>57</v>
      </c>
      <c r="F254" s="16"/>
      <c r="G254" s="16"/>
      <c r="H254" s="16"/>
      <c r="I254" s="16"/>
      <c r="J254" s="16"/>
      <c r="K254" s="16"/>
      <c r="L254" s="16"/>
      <c r="M254" s="16"/>
    </row>
    <row r="255" spans="4:13" x14ac:dyDescent="0.2">
      <c r="D255" s="79"/>
      <c r="E255" s="16" t="s">
        <v>55</v>
      </c>
      <c r="F255" s="16"/>
      <c r="G255" s="16"/>
      <c r="H255" s="16"/>
      <c r="I255" s="16"/>
      <c r="J255" s="16"/>
      <c r="K255" s="16"/>
      <c r="L255" s="16"/>
      <c r="M255" s="16"/>
    </row>
    <row r="269" spans="5:12" x14ac:dyDescent="0.2">
      <c r="E269" s="80"/>
      <c r="F269" s="81"/>
      <c r="G269" s="82"/>
      <c r="H269" s="82"/>
      <c r="I269" s="82"/>
      <c r="J269" s="82"/>
      <c r="K269" s="82"/>
      <c r="L269" s="82"/>
    </row>
    <row r="270" spans="5:12" x14ac:dyDescent="0.2">
      <c r="E270" s="83"/>
      <c r="F270" s="84"/>
      <c r="G270" s="82"/>
      <c r="H270" s="82"/>
      <c r="I270" s="82"/>
      <c r="J270" s="82"/>
      <c r="K270" s="82"/>
      <c r="L270" s="82"/>
    </row>
    <row r="271" spans="5:12" x14ac:dyDescent="0.2">
      <c r="E271" s="58"/>
      <c r="F271" s="58"/>
      <c r="G271" s="58"/>
      <c r="H271" s="58"/>
      <c r="I271" s="58"/>
      <c r="J271" s="58"/>
      <c r="K271" s="58"/>
      <c r="L271" s="58"/>
    </row>
    <row r="272" spans="5:12" x14ac:dyDescent="0.2">
      <c r="E272" s="58"/>
      <c r="F272" s="58"/>
      <c r="G272" s="58"/>
      <c r="H272" s="58"/>
      <c r="I272" s="58"/>
      <c r="J272" s="58"/>
      <c r="K272" s="58"/>
      <c r="L272" s="58"/>
    </row>
    <row r="273" spans="5:12" x14ac:dyDescent="0.2">
      <c r="E273" s="58"/>
      <c r="F273" s="58"/>
      <c r="G273" s="58"/>
      <c r="H273" s="58"/>
      <c r="I273" s="58"/>
      <c r="J273" s="58"/>
      <c r="K273" s="58"/>
      <c r="L273" s="58"/>
    </row>
    <row r="274" spans="5:12" x14ac:dyDescent="0.2">
      <c r="E274" s="58"/>
      <c r="F274" s="58"/>
      <c r="G274" s="58"/>
      <c r="H274" s="58"/>
      <c r="I274" s="58"/>
      <c r="J274" s="58"/>
      <c r="K274" s="58"/>
      <c r="L274" s="58"/>
    </row>
    <row r="275" spans="5:12" x14ac:dyDescent="0.2">
      <c r="E275" s="58"/>
      <c r="F275" s="58"/>
      <c r="G275" s="58"/>
      <c r="H275" s="58"/>
      <c r="I275" s="58"/>
      <c r="J275" s="58"/>
      <c r="K275" s="58"/>
      <c r="L275" s="58"/>
    </row>
    <row r="276" spans="5:12" x14ac:dyDescent="0.2">
      <c r="E276" s="58"/>
      <c r="F276" s="58"/>
      <c r="G276" s="58"/>
      <c r="H276" s="58"/>
      <c r="I276" s="58"/>
      <c r="J276" s="58"/>
      <c r="K276" s="58"/>
      <c r="L276" s="58"/>
    </row>
    <row r="277" spans="5:12" x14ac:dyDescent="0.2">
      <c r="E277" s="58"/>
      <c r="F277" s="58"/>
      <c r="G277" s="58"/>
      <c r="H277" s="58"/>
      <c r="I277" s="58"/>
      <c r="J277" s="58"/>
      <c r="K277" s="58"/>
      <c r="L277" s="58"/>
    </row>
  </sheetData>
  <sheetProtection formatCells="0" formatColumns="0" formatRows="0"/>
  <mergeCells count="5">
    <mergeCell ref="E1:M1"/>
    <mergeCell ref="N1:U1"/>
    <mergeCell ref="V2:AI2"/>
    <mergeCell ref="E85:M85"/>
    <mergeCell ref="E169:M169"/>
  </mergeCells>
  <conditionalFormatting sqref="B5">
    <cfRule type="cellIs" dxfId="26" priority="9" operator="greaterThan">
      <formula>0</formula>
    </cfRule>
  </conditionalFormatting>
  <conditionalFormatting sqref="B6 B8:B11">
    <cfRule type="cellIs" dxfId="25" priority="8" operator="greaterThan">
      <formula>0</formula>
    </cfRule>
  </conditionalFormatting>
  <conditionalFormatting sqref="C13">
    <cfRule type="cellIs" dxfId="24" priority="7" operator="greaterThan">
      <formula>0</formula>
    </cfRule>
  </conditionalFormatting>
  <conditionalFormatting sqref="B17:C74">
    <cfRule type="cellIs" dxfId="23" priority="6" operator="greaterThan">
      <formula>0</formula>
    </cfRule>
  </conditionalFormatting>
  <conditionalFormatting sqref="C76">
    <cfRule type="cellIs" dxfId="22" priority="5" operator="greaterThan">
      <formula>0</formula>
    </cfRule>
  </conditionalFormatting>
  <conditionalFormatting sqref="B80:C137">
    <cfRule type="cellIs" dxfId="21" priority="4" operator="greaterThan">
      <formula>0</formula>
    </cfRule>
  </conditionalFormatting>
  <conditionalFormatting sqref="C139">
    <cfRule type="cellIs" dxfId="20" priority="3" operator="greaterThan">
      <formula>0</formula>
    </cfRule>
  </conditionalFormatting>
  <conditionalFormatting sqref="B143:C200">
    <cfRule type="cellIs" dxfId="19" priority="2" operator="greaterThan">
      <formula>0</formula>
    </cfRule>
  </conditionalFormatting>
  <conditionalFormatting sqref="B7">
    <cfRule type="cellIs" dxfId="18" priority="1" operator="greaterThan">
      <formula>0</formula>
    </cfRule>
  </conditionalFormatting>
  <printOptions horizontalCentered="1" verticalCentered="1"/>
  <pageMargins left="0.75" right="0.75" top="1" bottom="1" header="0" footer="0"/>
  <pageSetup paperSize="9" orientation="landscape" horizontalDpi="300" verticalDpi="300" r:id="rId1"/>
  <headerFooter alignWithMargins="0"/>
  <ignoredErrors>
    <ignoredError sqref="N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:AS275"/>
  <sheetViews>
    <sheetView topLeftCell="G1" zoomScaleNormal="100" workbookViewId="0">
      <selection activeCell="B171" sqref="B171"/>
    </sheetView>
  </sheetViews>
  <sheetFormatPr baseColWidth="10" defaultRowHeight="12" x14ac:dyDescent="0.2"/>
  <cols>
    <col min="1" max="1" width="10.25" style="53" customWidth="1"/>
    <col min="2" max="3" width="10.875" style="53" customWidth="1"/>
    <col min="4" max="4" width="11" style="53"/>
    <col min="5" max="5" width="15.875" style="53" customWidth="1"/>
    <col min="6" max="7" width="11.5" style="53" customWidth="1"/>
    <col min="8" max="8" width="4.75" style="53" customWidth="1"/>
    <col min="9" max="13" width="11.5" style="53" customWidth="1"/>
    <col min="14" max="21" width="11" style="53"/>
    <col min="22" max="22" width="8.125" style="53" customWidth="1"/>
    <col min="23" max="23" width="3.375" style="53" customWidth="1"/>
    <col min="24" max="26" width="11" style="58"/>
    <col min="27" max="27" width="10.125" style="58" customWidth="1"/>
    <col min="28" max="28" width="11" style="58"/>
    <col min="29" max="29" width="2.5" style="58" customWidth="1"/>
    <col min="30" max="33" width="11" style="58"/>
    <col min="34" max="34" width="3" style="63" customWidth="1"/>
    <col min="35" max="35" width="6.375" style="63" customWidth="1"/>
    <col min="36" max="36" width="11" style="63"/>
    <col min="37" max="37" width="1" style="63" customWidth="1"/>
    <col min="38" max="16384" width="11" style="53"/>
  </cols>
  <sheetData>
    <row r="1" spans="1:45" x14ac:dyDescent="0.2">
      <c r="A1" s="59" t="s">
        <v>56</v>
      </c>
      <c r="B1" s="60"/>
      <c r="C1" s="61"/>
      <c r="E1" s="97" t="s">
        <v>54</v>
      </c>
      <c r="F1" s="97"/>
      <c r="G1" s="97"/>
      <c r="H1" s="97"/>
      <c r="I1" s="97"/>
      <c r="J1" s="97"/>
      <c r="K1" s="97"/>
      <c r="L1" s="97"/>
      <c r="M1" s="97"/>
      <c r="N1" s="95" t="str">
        <f>+E1</f>
        <v>ENSAYO DE CORTE DIRECTO PARA DISCONTINUIDADES ARTIFICIALES EN ROCAS</v>
      </c>
      <c r="O1" s="95"/>
      <c r="P1" s="95"/>
      <c r="Q1" s="95"/>
      <c r="R1" s="95"/>
      <c r="S1" s="95"/>
      <c r="T1" s="95"/>
      <c r="U1" s="95"/>
      <c r="X1" s="62"/>
      <c r="Y1" s="62"/>
      <c r="Z1" s="62"/>
      <c r="AA1" s="62"/>
      <c r="AB1" s="62"/>
      <c r="AC1" s="62"/>
      <c r="AD1" s="62"/>
      <c r="AE1" s="62"/>
      <c r="AF1" s="62"/>
      <c r="AG1" s="62"/>
    </row>
    <row r="2" spans="1:45" ht="12.75" customHeight="1" x14ac:dyDescent="0.2">
      <c r="A2" s="64" t="s">
        <v>53</v>
      </c>
      <c r="B2" s="65"/>
      <c r="C2" s="66"/>
      <c r="E2" s="16"/>
      <c r="F2" s="16"/>
      <c r="G2" s="16"/>
      <c r="H2" s="16"/>
      <c r="I2" s="16"/>
      <c r="J2" s="16"/>
      <c r="K2" s="16"/>
      <c r="L2" s="16"/>
      <c r="M2" s="16"/>
      <c r="V2" s="98" t="s">
        <v>52</v>
      </c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1:45" x14ac:dyDescent="0.2">
      <c r="A3" s="67" t="s">
        <v>51</v>
      </c>
      <c r="B3" s="68"/>
      <c r="C3" s="69"/>
      <c r="E3" s="12" t="s">
        <v>0</v>
      </c>
      <c r="F3" s="17" t="str">
        <f>B5</f>
        <v>C1BH-L12-L10-3+780-D</v>
      </c>
      <c r="G3" s="18"/>
      <c r="H3" s="18"/>
      <c r="I3" s="18"/>
      <c r="J3" s="18"/>
      <c r="K3" s="18"/>
      <c r="L3" s="19"/>
      <c r="M3" s="16"/>
    </row>
    <row r="4" spans="1:45" x14ac:dyDescent="0.2">
      <c r="E4" s="11" t="s">
        <v>39</v>
      </c>
      <c r="F4" s="20" t="str">
        <f>+'Ingreso Datos'!C3</f>
        <v>1.914.650-G</v>
      </c>
      <c r="G4" s="21"/>
      <c r="H4" s="21"/>
      <c r="I4" s="21"/>
      <c r="J4" s="21"/>
      <c r="K4" s="21"/>
      <c r="L4" s="22"/>
      <c r="M4" s="16"/>
      <c r="AK4" s="70" t="str">
        <f>+CONCATENATE(A5,"  ",":","  ",B5)</f>
        <v>PROYECTO  :  C1BH-L12-L10-3+780-D</v>
      </c>
      <c r="AL4" s="71"/>
      <c r="AM4" s="71"/>
      <c r="AN4" s="71"/>
      <c r="AO4" s="71"/>
      <c r="AP4" s="71"/>
      <c r="AQ4" s="71"/>
      <c r="AR4" s="71"/>
      <c r="AS4" s="71"/>
    </row>
    <row r="5" spans="1:45" x14ac:dyDescent="0.2">
      <c r="A5" s="53" t="s">
        <v>10</v>
      </c>
      <c r="B5" s="72" t="str">
        <f>+'Ingreso Datos'!C2</f>
        <v>C1BH-L12-L10-3+780-D</v>
      </c>
      <c r="E5" s="11" t="s">
        <v>1</v>
      </c>
      <c r="F5" s="20" t="str">
        <f>+'Ingreso Datos'!C4</f>
        <v>-</v>
      </c>
      <c r="G5" s="21"/>
      <c r="H5" s="21"/>
      <c r="I5" s="21"/>
      <c r="J5" s="21"/>
      <c r="K5" s="21"/>
      <c r="L5" s="22"/>
      <c r="M5" s="16"/>
      <c r="AK5" s="70" t="str">
        <f>+CONCATENATE(A7,"  ",":","  ",B7)</f>
        <v>MUESTRA  :  C1BH-L12-L10-3+780-D (25,8-25,16)</v>
      </c>
      <c r="AL5" s="71"/>
      <c r="AM5" s="71"/>
      <c r="AN5" s="71"/>
      <c r="AO5" s="71"/>
      <c r="AP5" s="71"/>
      <c r="AQ5" s="71"/>
      <c r="AR5" s="71"/>
      <c r="AS5" s="71"/>
    </row>
    <row r="6" spans="1:45" x14ac:dyDescent="0.2">
      <c r="A6" s="53" t="s">
        <v>50</v>
      </c>
      <c r="B6" s="91">
        <v>45449</v>
      </c>
      <c r="E6" s="23" t="s">
        <v>38</v>
      </c>
      <c r="F6" s="99">
        <f>+B6</f>
        <v>45449</v>
      </c>
      <c r="G6" s="24"/>
      <c r="H6" s="24"/>
      <c r="I6" s="24"/>
      <c r="J6" s="24"/>
      <c r="K6" s="24"/>
      <c r="L6" s="25"/>
      <c r="M6" s="16"/>
    </row>
    <row r="7" spans="1:45" x14ac:dyDescent="0.2">
      <c r="A7" s="53" t="s">
        <v>11</v>
      </c>
      <c r="B7" s="73" t="s">
        <v>73</v>
      </c>
      <c r="C7" s="74"/>
      <c r="E7" s="23" t="s">
        <v>37</v>
      </c>
      <c r="F7" s="99">
        <f>B6</f>
        <v>45449</v>
      </c>
      <c r="G7" s="24"/>
      <c r="H7" s="24"/>
      <c r="I7" s="24"/>
      <c r="J7" s="24"/>
      <c r="K7" s="24"/>
      <c r="L7" s="25"/>
      <c r="M7" s="16"/>
      <c r="W7" s="58"/>
      <c r="AH7" s="75"/>
    </row>
    <row r="8" spans="1:45" x14ac:dyDescent="0.2">
      <c r="A8" s="53" t="s">
        <v>17</v>
      </c>
      <c r="B8" s="73" t="s">
        <v>74</v>
      </c>
      <c r="C8" s="74"/>
      <c r="E8" s="26"/>
      <c r="F8" s="27"/>
      <c r="G8" s="26"/>
      <c r="H8" s="16"/>
      <c r="I8" s="16"/>
      <c r="J8" s="16"/>
      <c r="K8" s="16"/>
      <c r="L8" s="16"/>
      <c r="M8" s="16"/>
      <c r="W8" s="58"/>
      <c r="AH8" s="75"/>
    </row>
    <row r="9" spans="1:45" x14ac:dyDescent="0.2">
      <c r="A9" s="53" t="s">
        <v>16</v>
      </c>
      <c r="B9" s="73" t="s">
        <v>67</v>
      </c>
      <c r="C9" s="76"/>
      <c r="E9" s="23" t="s">
        <v>36</v>
      </c>
      <c r="F9" s="15" t="str">
        <f>B$7</f>
        <v>C1BH-L12-L10-3+780-D (25,8-25,16)</v>
      </c>
      <c r="G9" s="21"/>
      <c r="H9" s="21"/>
      <c r="I9" s="21"/>
      <c r="J9" s="21"/>
      <c r="K9" s="21"/>
      <c r="L9" s="22"/>
      <c r="M9" s="16"/>
      <c r="W9" s="58"/>
      <c r="AH9" s="75"/>
    </row>
    <row r="10" spans="1:45" x14ac:dyDescent="0.2">
      <c r="A10" s="77" t="s">
        <v>15</v>
      </c>
      <c r="B10" s="73" t="s">
        <v>75</v>
      </c>
      <c r="E10" s="10" t="s">
        <v>3</v>
      </c>
      <c r="F10" s="15" t="str">
        <f>B8</f>
        <v>Lapillita lítica</v>
      </c>
      <c r="G10" s="21"/>
      <c r="H10" s="28"/>
      <c r="I10" s="28"/>
      <c r="J10" s="28"/>
      <c r="K10" s="28"/>
      <c r="L10" s="29"/>
      <c r="M10" s="16"/>
      <c r="W10" s="58"/>
      <c r="AH10" s="75"/>
    </row>
    <row r="11" spans="1:45" x14ac:dyDescent="0.2">
      <c r="A11" s="53" t="s">
        <v>49</v>
      </c>
      <c r="B11" s="73">
        <v>15.63</v>
      </c>
      <c r="C11" s="53" t="s">
        <v>58</v>
      </c>
      <c r="E11" s="30" t="s">
        <v>4</v>
      </c>
      <c r="F11" s="15" t="str">
        <f>B9</f>
        <v>Zeolitas</v>
      </c>
      <c r="G11" s="21"/>
      <c r="H11" s="28"/>
      <c r="I11" s="28"/>
      <c r="J11" s="28"/>
      <c r="K11" s="28"/>
      <c r="L11" s="29"/>
      <c r="M11" s="16"/>
      <c r="W11" s="58"/>
      <c r="AH11" s="75"/>
    </row>
    <row r="12" spans="1:45" x14ac:dyDescent="0.2">
      <c r="E12" s="30" t="s">
        <v>5</v>
      </c>
      <c r="F12" s="15" t="str">
        <f>B10</f>
        <v>Zeolitización y oxidación</v>
      </c>
      <c r="G12" s="21"/>
      <c r="H12" s="28"/>
      <c r="I12" s="28"/>
      <c r="J12" s="28"/>
      <c r="K12" s="28"/>
      <c r="L12" s="29"/>
      <c r="M12" s="16"/>
      <c r="W12" s="58"/>
      <c r="AH12" s="75"/>
    </row>
    <row r="13" spans="1:45" x14ac:dyDescent="0.2">
      <c r="A13" s="53" t="s">
        <v>59</v>
      </c>
      <c r="C13" s="73">
        <v>4.1100000000000003</v>
      </c>
      <c r="E13" s="26"/>
      <c r="F13" s="26"/>
      <c r="G13" s="26"/>
      <c r="H13" s="16"/>
      <c r="I13" s="16"/>
      <c r="J13" s="16"/>
      <c r="K13" s="16"/>
      <c r="L13" s="16"/>
      <c r="M13" s="16"/>
      <c r="W13" s="58"/>
      <c r="AH13" s="75"/>
    </row>
    <row r="14" spans="1:45" x14ac:dyDescent="0.2">
      <c r="A14" s="54" t="s">
        <v>22</v>
      </c>
      <c r="B14" s="55" t="s">
        <v>24</v>
      </c>
      <c r="C14" s="54" t="s">
        <v>22</v>
      </c>
      <c r="E14" s="31" t="s">
        <v>48</v>
      </c>
      <c r="F14" s="26"/>
      <c r="G14" s="26"/>
      <c r="H14" s="16"/>
      <c r="I14" s="16"/>
      <c r="J14" s="16"/>
      <c r="K14" s="16"/>
      <c r="L14" s="16"/>
      <c r="M14" s="16"/>
      <c r="W14" s="58"/>
      <c r="AH14" s="75"/>
    </row>
    <row r="15" spans="1:45" x14ac:dyDescent="0.2">
      <c r="A15" s="56" t="s">
        <v>21</v>
      </c>
      <c r="B15" s="56" t="s">
        <v>20</v>
      </c>
      <c r="C15" s="56" t="s">
        <v>19</v>
      </c>
      <c r="E15" s="32" t="s">
        <v>34</v>
      </c>
      <c r="F15" s="33" t="s">
        <v>27</v>
      </c>
      <c r="G15" s="34">
        <f>B11</f>
        <v>15.63</v>
      </c>
      <c r="H15" s="16"/>
      <c r="I15" s="35"/>
      <c r="J15" s="16"/>
      <c r="K15" s="16"/>
      <c r="L15" s="16"/>
      <c r="M15" s="16"/>
      <c r="W15" s="58"/>
      <c r="AH15" s="75"/>
    </row>
    <row r="16" spans="1:45" x14ac:dyDescent="0.2">
      <c r="A16" s="57" t="s">
        <v>18</v>
      </c>
      <c r="B16" s="57" t="s">
        <v>61</v>
      </c>
      <c r="C16" s="57" t="s">
        <v>18</v>
      </c>
      <c r="E16" s="36" t="s">
        <v>33</v>
      </c>
      <c r="F16" s="37" t="s">
        <v>14</v>
      </c>
      <c r="G16" s="38">
        <f>G17/G15</f>
        <v>30.570575454494982</v>
      </c>
      <c r="H16" s="39" t="s">
        <v>14</v>
      </c>
      <c r="I16" s="16"/>
      <c r="J16" s="16"/>
      <c r="K16" s="16"/>
      <c r="L16" s="16"/>
      <c r="M16" s="16"/>
      <c r="W16" s="58"/>
      <c r="AH16" s="75"/>
    </row>
    <row r="17" spans="1:34" x14ac:dyDescent="0.2">
      <c r="A17" s="78">
        <v>0</v>
      </c>
      <c r="B17" s="73">
        <v>0</v>
      </c>
      <c r="C17" s="73">
        <v>0</v>
      </c>
      <c r="E17" s="32" t="s">
        <v>32</v>
      </c>
      <c r="F17" s="33" t="s">
        <v>31</v>
      </c>
      <c r="G17" s="38">
        <f>+G19*$G$20</f>
        <v>477.81809435375658</v>
      </c>
      <c r="H17" s="40"/>
      <c r="I17" s="35"/>
      <c r="J17" s="16"/>
      <c r="K17" s="16"/>
      <c r="L17" s="16"/>
      <c r="M17" s="16"/>
      <c r="W17" s="58"/>
      <c r="AH17" s="75"/>
    </row>
    <row r="18" spans="1:34" x14ac:dyDescent="0.2">
      <c r="A18" s="78">
        <v>10</v>
      </c>
      <c r="B18" s="73">
        <v>34</v>
      </c>
      <c r="C18" s="73">
        <v>-1</v>
      </c>
      <c r="E18" s="32" t="s">
        <v>30</v>
      </c>
      <c r="F18" s="37" t="s">
        <v>29</v>
      </c>
      <c r="G18" s="38">
        <f>3.81</f>
        <v>3.81</v>
      </c>
      <c r="H18" s="41"/>
      <c r="I18" s="16"/>
      <c r="J18" s="16"/>
      <c r="K18" s="16"/>
      <c r="L18" s="16"/>
      <c r="M18" s="16"/>
      <c r="W18" s="58"/>
      <c r="AH18" s="75"/>
    </row>
    <row r="19" spans="1:34" x14ac:dyDescent="0.2">
      <c r="A19" s="78">
        <v>20</v>
      </c>
      <c r="B19" s="73">
        <v>49</v>
      </c>
      <c r="C19" s="73">
        <v>-2</v>
      </c>
      <c r="E19" s="32" t="s">
        <v>28</v>
      </c>
      <c r="F19" s="33" t="s">
        <v>27</v>
      </c>
      <c r="G19" s="38">
        <f>((G18/2)^2)*PI()</f>
        <v>11.400918279693698</v>
      </c>
      <c r="H19" s="40"/>
      <c r="I19" s="16"/>
      <c r="J19" s="16"/>
      <c r="K19" s="16"/>
      <c r="L19" s="16"/>
      <c r="M19" s="16"/>
      <c r="W19" s="58"/>
      <c r="AH19" s="75"/>
    </row>
    <row r="20" spans="1:34" x14ac:dyDescent="0.2">
      <c r="A20" s="78">
        <v>30</v>
      </c>
      <c r="B20" s="73">
        <v>52</v>
      </c>
      <c r="C20" s="73">
        <v>-8</v>
      </c>
      <c r="E20" s="32" t="s">
        <v>60</v>
      </c>
      <c r="F20" s="37" t="s">
        <v>14</v>
      </c>
      <c r="G20" s="38">
        <f>+C13*10.1972</f>
        <v>41.910492000000005</v>
      </c>
      <c r="H20" s="40"/>
      <c r="I20" s="35"/>
      <c r="J20" s="16"/>
      <c r="K20" s="16"/>
      <c r="L20" s="16"/>
      <c r="M20" s="16"/>
      <c r="W20" s="58"/>
      <c r="AH20" s="75"/>
    </row>
    <row r="21" spans="1:34" x14ac:dyDescent="0.2">
      <c r="A21" s="78">
        <v>40</v>
      </c>
      <c r="B21" s="73">
        <v>60</v>
      </c>
      <c r="C21" s="73">
        <v>-10</v>
      </c>
      <c r="E21" s="26"/>
      <c r="F21" s="26"/>
      <c r="G21" s="26"/>
      <c r="H21" s="16"/>
      <c r="I21" s="16"/>
      <c r="J21" s="16"/>
      <c r="K21" s="16"/>
      <c r="L21" s="16"/>
      <c r="M21" s="16"/>
      <c r="W21" s="58"/>
      <c r="AH21" s="75"/>
    </row>
    <row r="22" spans="1:34" x14ac:dyDescent="0.2">
      <c r="A22" s="78">
        <v>50</v>
      </c>
      <c r="B22" s="73">
        <v>69</v>
      </c>
      <c r="C22" s="73">
        <v>-11</v>
      </c>
      <c r="E22" s="42" t="s">
        <v>47</v>
      </c>
      <c r="F22" s="16"/>
      <c r="G22" s="16"/>
      <c r="H22" s="16"/>
      <c r="I22" s="16"/>
      <c r="J22" s="16"/>
      <c r="K22" s="16"/>
      <c r="L22" s="16"/>
      <c r="M22" s="16"/>
      <c r="W22" s="58"/>
      <c r="AH22" s="75"/>
    </row>
    <row r="23" spans="1:34" x14ac:dyDescent="0.2">
      <c r="A23" s="78">
        <v>60</v>
      </c>
      <c r="B23" s="73">
        <v>84</v>
      </c>
      <c r="C23" s="73">
        <v>-13</v>
      </c>
      <c r="E23" s="43" t="s">
        <v>22</v>
      </c>
      <c r="F23" s="44" t="s">
        <v>24</v>
      </c>
      <c r="G23" s="43" t="s">
        <v>22</v>
      </c>
      <c r="H23" s="16"/>
      <c r="I23" s="43" t="s">
        <v>22</v>
      </c>
      <c r="J23" s="43" t="s">
        <v>13</v>
      </c>
      <c r="K23" s="43" t="s">
        <v>23</v>
      </c>
      <c r="L23" s="43" t="s">
        <v>22</v>
      </c>
      <c r="M23" s="16"/>
      <c r="W23" s="58"/>
      <c r="AH23" s="75"/>
    </row>
    <row r="24" spans="1:34" x14ac:dyDescent="0.2">
      <c r="A24" s="78">
        <v>70</v>
      </c>
      <c r="B24" s="73">
        <v>98</v>
      </c>
      <c r="C24" s="73">
        <v>-15</v>
      </c>
      <c r="E24" s="45" t="s">
        <v>21</v>
      </c>
      <c r="F24" s="45" t="s">
        <v>20</v>
      </c>
      <c r="G24" s="45" t="s">
        <v>19</v>
      </c>
      <c r="H24" s="16"/>
      <c r="I24" s="45" t="s">
        <v>21</v>
      </c>
      <c r="J24" s="45" t="s">
        <v>20</v>
      </c>
      <c r="K24" s="45" t="s">
        <v>20</v>
      </c>
      <c r="L24" s="45" t="s">
        <v>19</v>
      </c>
      <c r="M24" s="16"/>
      <c r="W24" s="58"/>
      <c r="AH24" s="75"/>
    </row>
    <row r="25" spans="1:34" x14ac:dyDescent="0.2">
      <c r="A25" s="78">
        <v>80</v>
      </c>
      <c r="B25" s="73">
        <v>116</v>
      </c>
      <c r="C25" s="73">
        <v>-18</v>
      </c>
      <c r="E25" s="46" t="s">
        <v>18</v>
      </c>
      <c r="F25" s="46" t="s">
        <v>61</v>
      </c>
      <c r="G25" s="46" t="s">
        <v>18</v>
      </c>
      <c r="H25" s="16"/>
      <c r="I25" s="46" t="s">
        <v>12</v>
      </c>
      <c r="J25" s="46" t="s">
        <v>31</v>
      </c>
      <c r="K25" s="46" t="s">
        <v>14</v>
      </c>
      <c r="L25" s="46" t="s">
        <v>12</v>
      </c>
      <c r="M25" s="16"/>
      <c r="W25" s="58"/>
      <c r="AH25" s="75"/>
    </row>
    <row r="26" spans="1:34" x14ac:dyDescent="0.2">
      <c r="A26" s="78">
        <v>90</v>
      </c>
      <c r="B26" s="73">
        <v>136</v>
      </c>
      <c r="C26" s="73">
        <v>-22</v>
      </c>
      <c r="E26" s="47">
        <v>0</v>
      </c>
      <c r="F26" s="47">
        <f t="shared" ref="F26:G57" si="0">B17</f>
        <v>0</v>
      </c>
      <c r="G26" s="47">
        <f t="shared" si="0"/>
        <v>0</v>
      </c>
      <c r="H26" s="48"/>
      <c r="I26" s="47">
        <f t="shared" ref="I26:I81" si="1">+E26*0.01</f>
        <v>0</v>
      </c>
      <c r="J26" s="47">
        <f>+IF(AND(F26&gt;=0,F26&lt;=500),1.22*F26+4.18,IF(AND(F26&gt;500,F26&lt;=4500),1.16*F26+24.01,"Error"))</f>
        <v>4.18</v>
      </c>
      <c r="K26" s="47">
        <f t="shared" ref="K26:K81" si="2">+J26/$G$15</f>
        <v>0.26743442098528469</v>
      </c>
      <c r="L26" s="47">
        <f t="shared" ref="L26:L81" si="3">+G26*0.01</f>
        <v>0</v>
      </c>
      <c r="M26" s="16"/>
      <c r="W26" s="58"/>
      <c r="AH26" s="75"/>
    </row>
    <row r="27" spans="1:34" x14ac:dyDescent="0.2">
      <c r="A27" s="78">
        <v>100</v>
      </c>
      <c r="B27" s="73">
        <v>153</v>
      </c>
      <c r="C27" s="73">
        <v>-26</v>
      </c>
      <c r="E27" s="47">
        <v>10</v>
      </c>
      <c r="F27" s="47">
        <f t="shared" si="0"/>
        <v>34</v>
      </c>
      <c r="G27" s="47">
        <f t="shared" si="0"/>
        <v>-1</v>
      </c>
      <c r="H27" s="26"/>
      <c r="I27" s="47">
        <f t="shared" si="1"/>
        <v>0.1</v>
      </c>
      <c r="J27" s="47">
        <f t="shared" ref="J27:J81" si="4">+IF(AND(F27&gt;=0,F27&lt;=500),1.22*F27+4.18,IF(AND(F27&gt;500,F27&lt;=4500),1.16*F27+24.01,"Error"))</f>
        <v>45.66</v>
      </c>
      <c r="K27" s="47">
        <f t="shared" si="2"/>
        <v>2.9213051823416505</v>
      </c>
      <c r="L27" s="47">
        <f t="shared" si="3"/>
        <v>-0.01</v>
      </c>
      <c r="M27" s="16"/>
      <c r="W27" s="58"/>
      <c r="AH27" s="75"/>
    </row>
    <row r="28" spans="1:34" x14ac:dyDescent="0.2">
      <c r="A28" s="78">
        <v>110</v>
      </c>
      <c r="B28" s="73">
        <v>171</v>
      </c>
      <c r="C28" s="73">
        <v>-31</v>
      </c>
      <c r="E28" s="47">
        <v>20</v>
      </c>
      <c r="F28" s="47">
        <f t="shared" si="0"/>
        <v>49</v>
      </c>
      <c r="G28" s="47">
        <f t="shared" si="0"/>
        <v>-2</v>
      </c>
      <c r="H28" s="26"/>
      <c r="I28" s="47">
        <f t="shared" si="1"/>
        <v>0.2</v>
      </c>
      <c r="J28" s="47">
        <f t="shared" si="4"/>
        <v>63.96</v>
      </c>
      <c r="K28" s="47">
        <f t="shared" si="2"/>
        <v>4.092130518234165</v>
      </c>
      <c r="L28" s="47">
        <f t="shared" si="3"/>
        <v>-0.02</v>
      </c>
      <c r="M28" s="16"/>
      <c r="W28" s="58"/>
      <c r="AH28" s="75"/>
    </row>
    <row r="29" spans="1:34" x14ac:dyDescent="0.2">
      <c r="A29" s="78">
        <v>120</v>
      </c>
      <c r="B29" s="73">
        <v>185</v>
      </c>
      <c r="C29" s="73">
        <v>-36</v>
      </c>
      <c r="E29" s="47">
        <v>30</v>
      </c>
      <c r="F29" s="47">
        <f t="shared" si="0"/>
        <v>52</v>
      </c>
      <c r="G29" s="47">
        <f t="shared" si="0"/>
        <v>-8</v>
      </c>
      <c r="H29" s="26"/>
      <c r="I29" s="47">
        <f t="shared" si="1"/>
        <v>0.3</v>
      </c>
      <c r="J29" s="47">
        <f t="shared" si="4"/>
        <v>67.62</v>
      </c>
      <c r="K29" s="47">
        <f t="shared" si="2"/>
        <v>4.3262955854126677</v>
      </c>
      <c r="L29" s="47">
        <f t="shared" si="3"/>
        <v>-0.08</v>
      </c>
      <c r="M29" s="16"/>
      <c r="W29" s="58"/>
      <c r="AH29" s="75"/>
    </row>
    <row r="30" spans="1:34" x14ac:dyDescent="0.2">
      <c r="A30" s="78">
        <v>130</v>
      </c>
      <c r="B30" s="73">
        <v>203</v>
      </c>
      <c r="C30" s="73">
        <v>-41</v>
      </c>
      <c r="E30" s="47">
        <v>40</v>
      </c>
      <c r="F30" s="47">
        <f t="shared" si="0"/>
        <v>60</v>
      </c>
      <c r="G30" s="47">
        <f t="shared" si="0"/>
        <v>-10</v>
      </c>
      <c r="H30" s="26"/>
      <c r="I30" s="47">
        <f t="shared" si="1"/>
        <v>0.4</v>
      </c>
      <c r="J30" s="47">
        <f t="shared" si="4"/>
        <v>77.38</v>
      </c>
      <c r="K30" s="47">
        <f t="shared" si="2"/>
        <v>4.9507357645553416</v>
      </c>
      <c r="L30" s="47">
        <f t="shared" si="3"/>
        <v>-0.1</v>
      </c>
      <c r="M30" s="16"/>
      <c r="W30" s="58"/>
      <c r="AH30" s="75"/>
    </row>
    <row r="31" spans="1:34" x14ac:dyDescent="0.2">
      <c r="A31" s="78">
        <v>140</v>
      </c>
      <c r="B31" s="73">
        <v>217</v>
      </c>
      <c r="C31" s="73">
        <v>-47</v>
      </c>
      <c r="E31" s="47">
        <v>50</v>
      </c>
      <c r="F31" s="47">
        <f t="shared" si="0"/>
        <v>69</v>
      </c>
      <c r="G31" s="47">
        <f t="shared" si="0"/>
        <v>-11</v>
      </c>
      <c r="H31" s="26"/>
      <c r="I31" s="47">
        <f t="shared" si="1"/>
        <v>0.5</v>
      </c>
      <c r="J31" s="47">
        <f t="shared" si="4"/>
        <v>88.359999999999985</v>
      </c>
      <c r="K31" s="47">
        <f t="shared" si="2"/>
        <v>5.6532309660908497</v>
      </c>
      <c r="L31" s="47">
        <f t="shared" si="3"/>
        <v>-0.11</v>
      </c>
      <c r="M31" s="16"/>
      <c r="W31" s="58"/>
      <c r="AH31" s="75"/>
    </row>
    <row r="32" spans="1:34" x14ac:dyDescent="0.2">
      <c r="A32" s="78">
        <v>150</v>
      </c>
      <c r="B32" s="73">
        <v>261</v>
      </c>
      <c r="C32" s="73">
        <v>-56</v>
      </c>
      <c r="E32" s="47">
        <v>60</v>
      </c>
      <c r="F32" s="47">
        <f t="shared" si="0"/>
        <v>84</v>
      </c>
      <c r="G32" s="47">
        <f t="shared" si="0"/>
        <v>-13</v>
      </c>
      <c r="H32" s="26"/>
      <c r="I32" s="47">
        <f t="shared" si="1"/>
        <v>0.6</v>
      </c>
      <c r="J32" s="47">
        <f t="shared" si="4"/>
        <v>106.66</v>
      </c>
      <c r="K32" s="47">
        <f t="shared" si="2"/>
        <v>6.8240563019833651</v>
      </c>
      <c r="L32" s="47">
        <f t="shared" si="3"/>
        <v>-0.13</v>
      </c>
      <c r="M32" s="16"/>
      <c r="W32" s="58"/>
      <c r="AH32" s="75"/>
    </row>
    <row r="33" spans="1:34" x14ac:dyDescent="0.2">
      <c r="A33" s="78">
        <v>160</v>
      </c>
      <c r="B33" s="73">
        <v>272</v>
      </c>
      <c r="C33" s="73">
        <v>-60</v>
      </c>
      <c r="E33" s="47">
        <v>70</v>
      </c>
      <c r="F33" s="47">
        <f t="shared" si="0"/>
        <v>98</v>
      </c>
      <c r="G33" s="47">
        <f t="shared" si="0"/>
        <v>-15</v>
      </c>
      <c r="H33" s="26"/>
      <c r="I33" s="47">
        <f t="shared" si="1"/>
        <v>0.70000000000000007</v>
      </c>
      <c r="J33" s="47">
        <f t="shared" si="4"/>
        <v>123.74000000000001</v>
      </c>
      <c r="K33" s="47">
        <f t="shared" si="2"/>
        <v>7.9168266154830453</v>
      </c>
      <c r="L33" s="47">
        <f t="shared" si="3"/>
        <v>-0.15</v>
      </c>
      <c r="M33" s="16"/>
      <c r="W33" s="58"/>
      <c r="AH33" s="75"/>
    </row>
    <row r="34" spans="1:34" x14ac:dyDescent="0.2">
      <c r="A34" s="78">
        <v>170</v>
      </c>
      <c r="B34" s="73">
        <v>272</v>
      </c>
      <c r="C34" s="73">
        <v>-60</v>
      </c>
      <c r="E34" s="47">
        <v>80</v>
      </c>
      <c r="F34" s="47">
        <f t="shared" si="0"/>
        <v>116</v>
      </c>
      <c r="G34" s="47">
        <f t="shared" si="0"/>
        <v>-18</v>
      </c>
      <c r="H34" s="26"/>
      <c r="I34" s="47">
        <f t="shared" si="1"/>
        <v>0.8</v>
      </c>
      <c r="J34" s="47">
        <f t="shared" si="4"/>
        <v>145.70000000000002</v>
      </c>
      <c r="K34" s="47">
        <f t="shared" si="2"/>
        <v>9.3218170185540625</v>
      </c>
      <c r="L34" s="47">
        <f t="shared" si="3"/>
        <v>-0.18</v>
      </c>
      <c r="M34" s="16"/>
      <c r="W34" s="58"/>
      <c r="AH34" s="75"/>
    </row>
    <row r="35" spans="1:34" x14ac:dyDescent="0.2">
      <c r="A35" s="78">
        <v>180</v>
      </c>
      <c r="B35" s="73">
        <v>272</v>
      </c>
      <c r="C35" s="73">
        <v>-65</v>
      </c>
      <c r="E35" s="47">
        <v>90</v>
      </c>
      <c r="F35" s="47">
        <f t="shared" si="0"/>
        <v>136</v>
      </c>
      <c r="G35" s="47">
        <f t="shared" si="0"/>
        <v>-22</v>
      </c>
      <c r="H35" s="26"/>
      <c r="I35" s="47">
        <f t="shared" si="1"/>
        <v>0.9</v>
      </c>
      <c r="J35" s="47">
        <f t="shared" si="4"/>
        <v>170.1</v>
      </c>
      <c r="K35" s="47">
        <f t="shared" si="2"/>
        <v>10.882917466410747</v>
      </c>
      <c r="L35" s="47">
        <f t="shared" si="3"/>
        <v>-0.22</v>
      </c>
      <c r="M35" s="16"/>
      <c r="W35" s="58"/>
      <c r="AH35" s="75"/>
    </row>
    <row r="36" spans="1:34" x14ac:dyDescent="0.2">
      <c r="A36" s="78">
        <v>190</v>
      </c>
      <c r="B36" s="73">
        <v>287</v>
      </c>
      <c r="C36" s="73">
        <v>-75</v>
      </c>
      <c r="E36" s="47">
        <v>100</v>
      </c>
      <c r="F36" s="47">
        <f t="shared" si="0"/>
        <v>153</v>
      </c>
      <c r="G36" s="47">
        <f t="shared" si="0"/>
        <v>-26</v>
      </c>
      <c r="H36" s="26"/>
      <c r="I36" s="47">
        <f t="shared" si="1"/>
        <v>1</v>
      </c>
      <c r="J36" s="47">
        <f t="shared" si="4"/>
        <v>190.84</v>
      </c>
      <c r="K36" s="47">
        <f t="shared" si="2"/>
        <v>12.209852847088932</v>
      </c>
      <c r="L36" s="47">
        <f t="shared" si="3"/>
        <v>-0.26</v>
      </c>
      <c r="M36" s="16"/>
      <c r="W36" s="58"/>
      <c r="AH36" s="75"/>
    </row>
    <row r="37" spans="1:34" x14ac:dyDescent="0.2">
      <c r="A37" s="78">
        <v>200</v>
      </c>
      <c r="B37" s="73">
        <v>249</v>
      </c>
      <c r="C37" s="73">
        <v>-89</v>
      </c>
      <c r="E37" s="47">
        <v>110</v>
      </c>
      <c r="F37" s="47">
        <f t="shared" si="0"/>
        <v>171</v>
      </c>
      <c r="G37" s="47">
        <f t="shared" si="0"/>
        <v>-31</v>
      </c>
      <c r="H37" s="26"/>
      <c r="I37" s="47">
        <f t="shared" si="1"/>
        <v>1.1000000000000001</v>
      </c>
      <c r="J37" s="47">
        <f t="shared" si="4"/>
        <v>212.8</v>
      </c>
      <c r="K37" s="47">
        <f t="shared" si="2"/>
        <v>13.614843250159948</v>
      </c>
      <c r="L37" s="47">
        <f t="shared" si="3"/>
        <v>-0.31</v>
      </c>
      <c r="M37" s="16"/>
      <c r="W37" s="58"/>
      <c r="AH37" s="75"/>
    </row>
    <row r="38" spans="1:34" x14ac:dyDescent="0.2">
      <c r="A38" s="78">
        <v>220</v>
      </c>
      <c r="B38" s="73">
        <v>255</v>
      </c>
      <c r="C38" s="73">
        <v>10</v>
      </c>
      <c r="E38" s="47">
        <v>120</v>
      </c>
      <c r="F38" s="47">
        <f t="shared" si="0"/>
        <v>185</v>
      </c>
      <c r="G38" s="47">
        <f t="shared" si="0"/>
        <v>-36</v>
      </c>
      <c r="H38" s="26"/>
      <c r="I38" s="47">
        <f t="shared" si="1"/>
        <v>1.2</v>
      </c>
      <c r="J38" s="47">
        <f t="shared" si="4"/>
        <v>229.88</v>
      </c>
      <c r="K38" s="47">
        <f t="shared" si="2"/>
        <v>14.707613563659628</v>
      </c>
      <c r="L38" s="47">
        <f t="shared" si="3"/>
        <v>-0.36</v>
      </c>
      <c r="M38" s="16"/>
      <c r="W38" s="58"/>
      <c r="AH38" s="75"/>
    </row>
    <row r="39" spans="1:34" x14ac:dyDescent="0.2">
      <c r="A39" s="78">
        <v>240</v>
      </c>
      <c r="B39" s="73">
        <v>249</v>
      </c>
      <c r="C39" s="73">
        <v>24</v>
      </c>
      <c r="E39" s="47">
        <v>130</v>
      </c>
      <c r="F39" s="47">
        <f t="shared" si="0"/>
        <v>203</v>
      </c>
      <c r="G39" s="47">
        <f t="shared" si="0"/>
        <v>-41</v>
      </c>
      <c r="H39" s="26"/>
      <c r="I39" s="47">
        <f t="shared" si="1"/>
        <v>1.3</v>
      </c>
      <c r="J39" s="47">
        <f t="shared" si="4"/>
        <v>251.84</v>
      </c>
      <c r="K39" s="47">
        <f t="shared" si="2"/>
        <v>16.112603966730646</v>
      </c>
      <c r="L39" s="47">
        <f t="shared" si="3"/>
        <v>-0.41000000000000003</v>
      </c>
      <c r="M39" s="16"/>
      <c r="W39" s="58"/>
      <c r="AH39" s="75"/>
    </row>
    <row r="40" spans="1:34" x14ac:dyDescent="0.2">
      <c r="A40" s="78">
        <v>260</v>
      </c>
      <c r="B40" s="73">
        <v>241</v>
      </c>
      <c r="C40" s="73">
        <v>40</v>
      </c>
      <c r="E40" s="47">
        <v>140</v>
      </c>
      <c r="F40" s="47">
        <f t="shared" si="0"/>
        <v>217</v>
      </c>
      <c r="G40" s="47">
        <f t="shared" si="0"/>
        <v>-47</v>
      </c>
      <c r="H40" s="26"/>
      <c r="I40" s="47">
        <f t="shared" si="1"/>
        <v>1.4000000000000001</v>
      </c>
      <c r="J40" s="47">
        <f t="shared" si="4"/>
        <v>268.92</v>
      </c>
      <c r="K40" s="47">
        <f t="shared" si="2"/>
        <v>17.205374280230327</v>
      </c>
      <c r="L40" s="47">
        <f t="shared" si="3"/>
        <v>-0.47000000000000003</v>
      </c>
      <c r="M40" s="16"/>
      <c r="W40" s="58"/>
      <c r="AH40" s="75"/>
    </row>
    <row r="41" spans="1:34" x14ac:dyDescent="0.2">
      <c r="A41" s="78">
        <v>280</v>
      </c>
      <c r="B41" s="73">
        <v>243</v>
      </c>
      <c r="C41" s="73">
        <v>48</v>
      </c>
      <c r="E41" s="47">
        <v>150</v>
      </c>
      <c r="F41" s="47">
        <f t="shared" si="0"/>
        <v>261</v>
      </c>
      <c r="G41" s="47">
        <f t="shared" si="0"/>
        <v>-56</v>
      </c>
      <c r="H41" s="26"/>
      <c r="I41" s="47">
        <f t="shared" si="1"/>
        <v>1.5</v>
      </c>
      <c r="J41" s="47">
        <f t="shared" si="4"/>
        <v>322.60000000000002</v>
      </c>
      <c r="K41" s="47">
        <f t="shared" si="2"/>
        <v>20.639795265515037</v>
      </c>
      <c r="L41" s="47">
        <f t="shared" si="3"/>
        <v>-0.56000000000000005</v>
      </c>
      <c r="M41" s="16"/>
      <c r="W41" s="58"/>
      <c r="AH41" s="75"/>
    </row>
    <row r="42" spans="1:34" x14ac:dyDescent="0.2">
      <c r="A42" s="78">
        <v>300</v>
      </c>
      <c r="B42" s="73">
        <v>246</v>
      </c>
      <c r="C42" s="73">
        <v>58</v>
      </c>
      <c r="E42" s="47">
        <v>160</v>
      </c>
      <c r="F42" s="47">
        <f t="shared" si="0"/>
        <v>272</v>
      </c>
      <c r="G42" s="47">
        <f t="shared" si="0"/>
        <v>-60</v>
      </c>
      <c r="H42" s="26"/>
      <c r="I42" s="47">
        <f t="shared" si="1"/>
        <v>1.6</v>
      </c>
      <c r="J42" s="47">
        <f t="shared" si="4"/>
        <v>336.02</v>
      </c>
      <c r="K42" s="47">
        <f t="shared" si="2"/>
        <v>21.498400511836209</v>
      </c>
      <c r="L42" s="47">
        <f t="shared" si="3"/>
        <v>-0.6</v>
      </c>
      <c r="M42" s="16"/>
      <c r="W42" s="58"/>
      <c r="AH42" s="75"/>
    </row>
    <row r="43" spans="1:34" x14ac:dyDescent="0.2">
      <c r="A43" s="78">
        <v>320</v>
      </c>
      <c r="B43" s="73">
        <v>234</v>
      </c>
      <c r="C43" s="73">
        <v>67</v>
      </c>
      <c r="E43" s="47">
        <v>170</v>
      </c>
      <c r="F43" s="47">
        <f t="shared" si="0"/>
        <v>272</v>
      </c>
      <c r="G43" s="47">
        <f t="shared" si="0"/>
        <v>-60</v>
      </c>
      <c r="H43" s="26"/>
      <c r="I43" s="47">
        <f t="shared" si="1"/>
        <v>1.7</v>
      </c>
      <c r="J43" s="47">
        <f t="shared" si="4"/>
        <v>336.02</v>
      </c>
      <c r="K43" s="47">
        <f t="shared" si="2"/>
        <v>21.498400511836209</v>
      </c>
      <c r="L43" s="47">
        <f t="shared" si="3"/>
        <v>-0.6</v>
      </c>
      <c r="M43" s="16"/>
      <c r="W43" s="58"/>
      <c r="AH43" s="75"/>
    </row>
    <row r="44" spans="1:34" x14ac:dyDescent="0.2">
      <c r="A44" s="78">
        <v>340</v>
      </c>
      <c r="B44" s="73">
        <v>246</v>
      </c>
      <c r="C44" s="73">
        <v>77</v>
      </c>
      <c r="E44" s="47">
        <v>180</v>
      </c>
      <c r="F44" s="47">
        <f t="shared" si="0"/>
        <v>272</v>
      </c>
      <c r="G44" s="47">
        <f t="shared" si="0"/>
        <v>-65</v>
      </c>
      <c r="H44" s="26"/>
      <c r="I44" s="47">
        <f t="shared" si="1"/>
        <v>1.8</v>
      </c>
      <c r="J44" s="47">
        <f t="shared" si="4"/>
        <v>336.02</v>
      </c>
      <c r="K44" s="47">
        <f t="shared" si="2"/>
        <v>21.498400511836209</v>
      </c>
      <c r="L44" s="47">
        <f t="shared" si="3"/>
        <v>-0.65</v>
      </c>
      <c r="M44" s="16"/>
      <c r="W44" s="58"/>
      <c r="AH44" s="75"/>
    </row>
    <row r="45" spans="1:34" x14ac:dyDescent="0.2">
      <c r="A45" s="78">
        <v>360</v>
      </c>
      <c r="B45" s="73">
        <v>232</v>
      </c>
      <c r="C45" s="73">
        <v>81</v>
      </c>
      <c r="E45" s="47">
        <v>190</v>
      </c>
      <c r="F45" s="47">
        <f t="shared" si="0"/>
        <v>287</v>
      </c>
      <c r="G45" s="47">
        <f t="shared" si="0"/>
        <v>-75</v>
      </c>
      <c r="H45" s="26"/>
      <c r="I45" s="47">
        <f t="shared" si="1"/>
        <v>1.9000000000000001</v>
      </c>
      <c r="J45" s="47">
        <f t="shared" si="4"/>
        <v>354.32</v>
      </c>
      <c r="K45" s="47">
        <f t="shared" si="2"/>
        <v>22.669225847728725</v>
      </c>
      <c r="L45" s="47">
        <f t="shared" si="3"/>
        <v>-0.75</v>
      </c>
      <c r="M45" s="16"/>
      <c r="W45" s="58"/>
      <c r="AH45" s="75"/>
    </row>
    <row r="46" spans="1:34" x14ac:dyDescent="0.2">
      <c r="A46" s="78">
        <v>380</v>
      </c>
      <c r="B46" s="73">
        <v>214</v>
      </c>
      <c r="C46" s="73">
        <v>85</v>
      </c>
      <c r="E46" s="47">
        <v>200</v>
      </c>
      <c r="F46" s="47">
        <f t="shared" si="0"/>
        <v>249</v>
      </c>
      <c r="G46" s="47">
        <f t="shared" si="0"/>
        <v>-89</v>
      </c>
      <c r="H46" s="26"/>
      <c r="I46" s="47">
        <f t="shared" si="1"/>
        <v>2</v>
      </c>
      <c r="J46" s="47">
        <f t="shared" si="4"/>
        <v>307.95999999999998</v>
      </c>
      <c r="K46" s="47">
        <f t="shared" si="2"/>
        <v>19.703134996801023</v>
      </c>
      <c r="L46" s="47">
        <f t="shared" si="3"/>
        <v>-0.89</v>
      </c>
      <c r="M46" s="16"/>
      <c r="W46" s="58"/>
      <c r="AH46" s="75"/>
    </row>
    <row r="47" spans="1:34" x14ac:dyDescent="0.2">
      <c r="A47" s="78">
        <v>400</v>
      </c>
      <c r="B47" s="73">
        <v>234</v>
      </c>
      <c r="C47" s="73">
        <v>86</v>
      </c>
      <c r="E47" s="47">
        <v>220</v>
      </c>
      <c r="F47" s="47">
        <f t="shared" si="0"/>
        <v>255</v>
      </c>
      <c r="G47" s="47">
        <f t="shared" si="0"/>
        <v>10</v>
      </c>
      <c r="H47" s="26"/>
      <c r="I47" s="47">
        <f t="shared" si="1"/>
        <v>2.2000000000000002</v>
      </c>
      <c r="J47" s="47">
        <f t="shared" si="4"/>
        <v>315.27999999999997</v>
      </c>
      <c r="K47" s="47">
        <f t="shared" si="2"/>
        <v>20.171465131158026</v>
      </c>
      <c r="L47" s="47">
        <f t="shared" si="3"/>
        <v>0.1</v>
      </c>
      <c r="M47" s="16"/>
      <c r="W47" s="58"/>
      <c r="AH47" s="75"/>
    </row>
    <row r="48" spans="1:34" x14ac:dyDescent="0.2">
      <c r="A48" s="78">
        <v>420</v>
      </c>
      <c r="B48" s="73">
        <v>211</v>
      </c>
      <c r="C48" s="73">
        <v>96</v>
      </c>
      <c r="E48" s="47">
        <v>240</v>
      </c>
      <c r="F48" s="47">
        <f t="shared" si="0"/>
        <v>249</v>
      </c>
      <c r="G48" s="47">
        <f t="shared" si="0"/>
        <v>24</v>
      </c>
      <c r="H48" s="26"/>
      <c r="I48" s="47">
        <f t="shared" si="1"/>
        <v>2.4</v>
      </c>
      <c r="J48" s="47">
        <f t="shared" si="4"/>
        <v>307.95999999999998</v>
      </c>
      <c r="K48" s="47">
        <f t="shared" si="2"/>
        <v>19.703134996801023</v>
      </c>
      <c r="L48" s="47">
        <f t="shared" si="3"/>
        <v>0.24</v>
      </c>
      <c r="M48" s="16"/>
      <c r="W48" s="58"/>
      <c r="AH48" s="75"/>
    </row>
    <row r="49" spans="1:34" x14ac:dyDescent="0.2">
      <c r="A49" s="78">
        <v>440</v>
      </c>
      <c r="B49" s="73">
        <v>226</v>
      </c>
      <c r="C49" s="73">
        <v>100</v>
      </c>
      <c r="E49" s="47">
        <v>260</v>
      </c>
      <c r="F49" s="47">
        <f t="shared" si="0"/>
        <v>241</v>
      </c>
      <c r="G49" s="47">
        <f t="shared" si="0"/>
        <v>40</v>
      </c>
      <c r="H49" s="26"/>
      <c r="I49" s="47">
        <f t="shared" si="1"/>
        <v>2.6</v>
      </c>
      <c r="J49" s="47">
        <f t="shared" si="4"/>
        <v>298.2</v>
      </c>
      <c r="K49" s="47">
        <f t="shared" si="2"/>
        <v>19.078694817658349</v>
      </c>
      <c r="L49" s="47">
        <f t="shared" si="3"/>
        <v>0.4</v>
      </c>
      <c r="M49" s="16"/>
      <c r="W49" s="58"/>
      <c r="AH49" s="75"/>
    </row>
    <row r="50" spans="1:34" x14ac:dyDescent="0.2">
      <c r="A50" s="78">
        <v>460</v>
      </c>
      <c r="B50" s="73">
        <v>246</v>
      </c>
      <c r="C50" s="73">
        <v>106</v>
      </c>
      <c r="E50" s="47">
        <v>280</v>
      </c>
      <c r="F50" s="47">
        <f t="shared" si="0"/>
        <v>243</v>
      </c>
      <c r="G50" s="47">
        <f t="shared" si="0"/>
        <v>48</v>
      </c>
      <c r="H50" s="26"/>
      <c r="I50" s="47">
        <f t="shared" si="1"/>
        <v>2.8000000000000003</v>
      </c>
      <c r="J50" s="47">
        <f t="shared" si="4"/>
        <v>300.64</v>
      </c>
      <c r="K50" s="47">
        <f t="shared" si="2"/>
        <v>19.234804862444015</v>
      </c>
      <c r="L50" s="47">
        <f t="shared" si="3"/>
        <v>0.48</v>
      </c>
      <c r="M50" s="16"/>
      <c r="W50" s="58"/>
      <c r="AH50" s="75"/>
    </row>
    <row r="51" spans="1:34" x14ac:dyDescent="0.2">
      <c r="A51" s="78">
        <v>480</v>
      </c>
      <c r="B51" s="73">
        <v>252</v>
      </c>
      <c r="C51" s="73">
        <v>116</v>
      </c>
      <c r="E51" s="47">
        <v>300</v>
      </c>
      <c r="F51" s="47">
        <f t="shared" si="0"/>
        <v>246</v>
      </c>
      <c r="G51" s="47">
        <f t="shared" si="0"/>
        <v>58</v>
      </c>
      <c r="H51" s="26"/>
      <c r="I51" s="47">
        <f t="shared" si="1"/>
        <v>3</v>
      </c>
      <c r="J51" s="47">
        <f t="shared" si="4"/>
        <v>304.3</v>
      </c>
      <c r="K51" s="47">
        <f t="shared" si="2"/>
        <v>19.468969929622521</v>
      </c>
      <c r="L51" s="47">
        <f t="shared" si="3"/>
        <v>0.57999999999999996</v>
      </c>
      <c r="M51" s="16"/>
      <c r="W51" s="58"/>
      <c r="AH51" s="75"/>
    </row>
    <row r="52" spans="1:34" x14ac:dyDescent="0.2">
      <c r="A52" s="78">
        <v>500</v>
      </c>
      <c r="B52" s="73">
        <v>225</v>
      </c>
      <c r="C52" s="73">
        <v>119</v>
      </c>
      <c r="E52" s="47">
        <v>320</v>
      </c>
      <c r="F52" s="47">
        <f t="shared" si="0"/>
        <v>234</v>
      </c>
      <c r="G52" s="47">
        <f t="shared" si="0"/>
        <v>67</v>
      </c>
      <c r="H52" s="26"/>
      <c r="I52" s="47">
        <f t="shared" si="1"/>
        <v>3.2</v>
      </c>
      <c r="J52" s="47">
        <f t="shared" si="4"/>
        <v>289.66000000000003</v>
      </c>
      <c r="K52" s="47">
        <f t="shared" si="2"/>
        <v>18.53230966090851</v>
      </c>
      <c r="L52" s="47">
        <f t="shared" si="3"/>
        <v>0.67</v>
      </c>
      <c r="M52" s="16"/>
      <c r="W52" s="58"/>
      <c r="AH52" s="75"/>
    </row>
    <row r="53" spans="1:34" x14ac:dyDescent="0.2">
      <c r="A53" s="78">
        <v>520</v>
      </c>
      <c r="B53" s="73"/>
      <c r="C53" s="73"/>
      <c r="E53" s="47">
        <v>340</v>
      </c>
      <c r="F53" s="47">
        <f t="shared" si="0"/>
        <v>246</v>
      </c>
      <c r="G53" s="47">
        <f t="shared" si="0"/>
        <v>77</v>
      </c>
      <c r="H53" s="26"/>
      <c r="I53" s="47">
        <f t="shared" si="1"/>
        <v>3.4</v>
      </c>
      <c r="J53" s="47">
        <f t="shared" si="4"/>
        <v>304.3</v>
      </c>
      <c r="K53" s="47">
        <f t="shared" si="2"/>
        <v>19.468969929622521</v>
      </c>
      <c r="L53" s="47">
        <f t="shared" si="3"/>
        <v>0.77</v>
      </c>
      <c r="M53" s="16"/>
      <c r="W53" s="58"/>
      <c r="AH53" s="75"/>
    </row>
    <row r="54" spans="1:34" x14ac:dyDescent="0.2">
      <c r="A54" s="78">
        <v>540</v>
      </c>
      <c r="B54" s="73"/>
      <c r="C54" s="73"/>
      <c r="E54" s="47">
        <v>360</v>
      </c>
      <c r="F54" s="47">
        <f t="shared" si="0"/>
        <v>232</v>
      </c>
      <c r="G54" s="47">
        <f t="shared" si="0"/>
        <v>81</v>
      </c>
      <c r="H54" s="26"/>
      <c r="I54" s="47">
        <f t="shared" si="1"/>
        <v>3.6</v>
      </c>
      <c r="J54" s="47">
        <f t="shared" si="4"/>
        <v>287.22000000000003</v>
      </c>
      <c r="K54" s="47">
        <f t="shared" si="2"/>
        <v>18.376199616122843</v>
      </c>
      <c r="L54" s="47">
        <f t="shared" si="3"/>
        <v>0.81</v>
      </c>
      <c r="M54" s="16"/>
      <c r="W54" s="58"/>
      <c r="AH54" s="75"/>
    </row>
    <row r="55" spans="1:34" x14ac:dyDescent="0.2">
      <c r="A55" s="78">
        <v>560</v>
      </c>
      <c r="B55" s="73">
        <v>240</v>
      </c>
      <c r="C55" s="73">
        <v>124</v>
      </c>
      <c r="E55" s="47">
        <v>380</v>
      </c>
      <c r="F55" s="47">
        <f t="shared" si="0"/>
        <v>214</v>
      </c>
      <c r="G55" s="47">
        <f t="shared" si="0"/>
        <v>85</v>
      </c>
      <c r="H55" s="26"/>
      <c r="I55" s="47">
        <f t="shared" si="1"/>
        <v>3.8000000000000003</v>
      </c>
      <c r="J55" s="47">
        <f t="shared" si="4"/>
        <v>265.26</v>
      </c>
      <c r="K55" s="47">
        <f t="shared" si="2"/>
        <v>16.971209213051822</v>
      </c>
      <c r="L55" s="47">
        <f t="shared" si="3"/>
        <v>0.85</v>
      </c>
      <c r="M55" s="16"/>
      <c r="W55" s="58"/>
      <c r="AH55" s="75"/>
    </row>
    <row r="56" spans="1:34" x14ac:dyDescent="0.2">
      <c r="A56" s="78">
        <v>580</v>
      </c>
      <c r="B56" s="73">
        <v>249</v>
      </c>
      <c r="C56" s="73">
        <v>141</v>
      </c>
      <c r="E56" s="47">
        <v>400</v>
      </c>
      <c r="F56" s="47">
        <f t="shared" si="0"/>
        <v>234</v>
      </c>
      <c r="G56" s="47">
        <f t="shared" si="0"/>
        <v>86</v>
      </c>
      <c r="H56" s="26"/>
      <c r="I56" s="47">
        <f t="shared" si="1"/>
        <v>4</v>
      </c>
      <c r="J56" s="47">
        <f t="shared" si="4"/>
        <v>289.66000000000003</v>
      </c>
      <c r="K56" s="47">
        <f t="shared" si="2"/>
        <v>18.53230966090851</v>
      </c>
      <c r="L56" s="47">
        <f t="shared" si="3"/>
        <v>0.86</v>
      </c>
      <c r="M56" s="16"/>
      <c r="W56" s="58"/>
      <c r="AH56" s="75"/>
    </row>
    <row r="57" spans="1:34" x14ac:dyDescent="0.2">
      <c r="A57" s="78">
        <v>600</v>
      </c>
      <c r="B57" s="73">
        <v>264</v>
      </c>
      <c r="C57" s="73">
        <v>157</v>
      </c>
      <c r="E57" s="47">
        <v>420</v>
      </c>
      <c r="F57" s="47">
        <f t="shared" si="0"/>
        <v>211</v>
      </c>
      <c r="G57" s="47">
        <f t="shared" si="0"/>
        <v>96</v>
      </c>
      <c r="H57" s="26"/>
      <c r="I57" s="47">
        <f t="shared" si="1"/>
        <v>4.2</v>
      </c>
      <c r="J57" s="47">
        <f t="shared" si="4"/>
        <v>261.60000000000002</v>
      </c>
      <c r="K57" s="47">
        <f t="shared" si="2"/>
        <v>16.73704414587332</v>
      </c>
      <c r="L57" s="47">
        <f t="shared" si="3"/>
        <v>0.96</v>
      </c>
      <c r="M57" s="16"/>
      <c r="Q57" s="85" t="s">
        <v>23</v>
      </c>
      <c r="R57" s="43" t="s">
        <v>23</v>
      </c>
      <c r="W57" s="58"/>
      <c r="AH57" s="75"/>
    </row>
    <row r="58" spans="1:34" x14ac:dyDescent="0.2">
      <c r="A58" s="78">
        <v>620</v>
      </c>
      <c r="B58" s="73">
        <v>258</v>
      </c>
      <c r="C58" s="73">
        <v>168</v>
      </c>
      <c r="E58" s="47">
        <v>440</v>
      </c>
      <c r="F58" s="47">
        <f t="shared" ref="F58:G61" si="5">B49</f>
        <v>226</v>
      </c>
      <c r="G58" s="47">
        <f t="shared" si="5"/>
        <v>100</v>
      </c>
      <c r="H58" s="26"/>
      <c r="I58" s="47">
        <f t="shared" si="1"/>
        <v>4.4000000000000004</v>
      </c>
      <c r="J58" s="47">
        <f t="shared" si="4"/>
        <v>279.89999999999998</v>
      </c>
      <c r="K58" s="47">
        <f t="shared" si="2"/>
        <v>17.907869481765832</v>
      </c>
      <c r="L58" s="47">
        <f t="shared" si="3"/>
        <v>1</v>
      </c>
      <c r="M58" s="16"/>
      <c r="Q58" s="86" t="s">
        <v>46</v>
      </c>
      <c r="R58" s="45" t="s">
        <v>45</v>
      </c>
      <c r="W58" s="58"/>
      <c r="AH58" s="75"/>
    </row>
    <row r="59" spans="1:34" x14ac:dyDescent="0.2">
      <c r="A59" s="78">
        <v>640</v>
      </c>
      <c r="B59" s="73">
        <v>267</v>
      </c>
      <c r="C59" s="73">
        <v>179</v>
      </c>
      <c r="E59" s="47">
        <v>460</v>
      </c>
      <c r="F59" s="47">
        <f t="shared" si="5"/>
        <v>246</v>
      </c>
      <c r="G59" s="47">
        <f t="shared" si="5"/>
        <v>106</v>
      </c>
      <c r="H59" s="26"/>
      <c r="I59" s="47">
        <f t="shared" si="1"/>
        <v>4.6000000000000005</v>
      </c>
      <c r="J59" s="47">
        <f t="shared" si="4"/>
        <v>304.3</v>
      </c>
      <c r="K59" s="47">
        <f t="shared" si="2"/>
        <v>19.468969929622521</v>
      </c>
      <c r="L59" s="47">
        <f t="shared" si="3"/>
        <v>1.06</v>
      </c>
      <c r="M59" s="16"/>
      <c r="Q59" s="87" t="s">
        <v>44</v>
      </c>
      <c r="R59" s="46" t="s">
        <v>44</v>
      </c>
      <c r="W59" s="58"/>
      <c r="AH59" s="75"/>
    </row>
    <row r="60" spans="1:34" x14ac:dyDescent="0.2">
      <c r="A60" s="78">
        <v>660</v>
      </c>
      <c r="B60" s="73">
        <v>264</v>
      </c>
      <c r="C60" s="73">
        <v>189</v>
      </c>
      <c r="E60" s="47">
        <v>480</v>
      </c>
      <c r="F60" s="47">
        <f t="shared" si="5"/>
        <v>252</v>
      </c>
      <c r="G60" s="47">
        <f t="shared" si="5"/>
        <v>116</v>
      </c>
      <c r="H60" s="26"/>
      <c r="I60" s="47">
        <f t="shared" si="1"/>
        <v>4.8</v>
      </c>
      <c r="J60" s="47">
        <f t="shared" si="4"/>
        <v>311.62</v>
      </c>
      <c r="K60" s="47">
        <f t="shared" si="2"/>
        <v>19.937300063979524</v>
      </c>
      <c r="L60" s="47">
        <f t="shared" si="3"/>
        <v>1.1599999999999999</v>
      </c>
      <c r="M60" s="16"/>
      <c r="Q60" s="88">
        <f>+G16</f>
        <v>30.570575454494982</v>
      </c>
      <c r="R60" s="88">
        <f>MAX(K26:K81)</f>
        <v>22.669225847728725</v>
      </c>
      <c r="W60" s="58"/>
      <c r="AH60" s="75"/>
    </row>
    <row r="61" spans="1:34" x14ac:dyDescent="0.2">
      <c r="A61" s="78">
        <v>680</v>
      </c>
      <c r="B61" s="73">
        <v>252</v>
      </c>
      <c r="C61" s="73">
        <v>191</v>
      </c>
      <c r="E61" s="47">
        <v>500</v>
      </c>
      <c r="F61" s="47">
        <f t="shared" si="5"/>
        <v>225</v>
      </c>
      <c r="G61" s="47">
        <f t="shared" si="5"/>
        <v>119</v>
      </c>
      <c r="H61" s="26"/>
      <c r="I61" s="47">
        <f t="shared" si="1"/>
        <v>5</v>
      </c>
      <c r="J61" s="47">
        <f t="shared" si="4"/>
        <v>278.68</v>
      </c>
      <c r="K61" s="47">
        <f t="shared" si="2"/>
        <v>17.829814459373001</v>
      </c>
      <c r="L61" s="47">
        <f t="shared" si="3"/>
        <v>1.19</v>
      </c>
      <c r="M61" s="16"/>
      <c r="Q61" s="13">
        <f>+G98</f>
        <v>40.760767272659969</v>
      </c>
      <c r="R61" s="13">
        <f>MAX(K108:K165)</f>
        <v>28.055022392834292</v>
      </c>
      <c r="W61" s="58"/>
      <c r="AH61" s="75"/>
    </row>
    <row r="62" spans="1:34" x14ac:dyDescent="0.2">
      <c r="A62" s="78">
        <v>700</v>
      </c>
      <c r="B62" s="73">
        <v>255</v>
      </c>
      <c r="C62" s="73">
        <v>204</v>
      </c>
      <c r="E62" s="47">
        <v>560</v>
      </c>
      <c r="F62" s="47">
        <f>B55</f>
        <v>240</v>
      </c>
      <c r="G62" s="47">
        <f>C55</f>
        <v>124</v>
      </c>
      <c r="H62" s="26"/>
      <c r="I62" s="47">
        <f t="shared" si="1"/>
        <v>5.6000000000000005</v>
      </c>
      <c r="J62" s="47">
        <f t="shared" si="4"/>
        <v>296.98</v>
      </c>
      <c r="K62" s="47">
        <f t="shared" si="2"/>
        <v>19.000639795265513</v>
      </c>
      <c r="L62" s="47">
        <f t="shared" si="3"/>
        <v>1.24</v>
      </c>
      <c r="M62" s="16"/>
      <c r="Q62" s="13">
        <f>+G182</f>
        <v>51.025340053001351</v>
      </c>
      <c r="R62" s="13">
        <f>MAX(K192:K249)</f>
        <v>39.609085092770307</v>
      </c>
      <c r="W62" s="58"/>
      <c r="AH62" s="75"/>
    </row>
    <row r="63" spans="1:34" x14ac:dyDescent="0.2">
      <c r="A63" s="78">
        <v>720</v>
      </c>
      <c r="B63" s="73">
        <v>270</v>
      </c>
      <c r="C63" s="73">
        <v>201</v>
      </c>
      <c r="E63" s="47">
        <v>580</v>
      </c>
      <c r="F63" s="47">
        <f>B56</f>
        <v>249</v>
      </c>
      <c r="G63" s="47">
        <f>C56</f>
        <v>141</v>
      </c>
      <c r="H63" s="26"/>
      <c r="I63" s="47">
        <f t="shared" si="1"/>
        <v>5.8</v>
      </c>
      <c r="J63" s="47">
        <f t="shared" si="4"/>
        <v>307.95999999999998</v>
      </c>
      <c r="K63" s="47">
        <f t="shared" si="2"/>
        <v>19.703134996801023</v>
      </c>
      <c r="L63" s="47">
        <f t="shared" si="3"/>
        <v>1.41</v>
      </c>
      <c r="M63" s="16"/>
      <c r="Q63" s="16"/>
      <c r="R63" s="16"/>
      <c r="W63" s="58"/>
      <c r="AH63" s="75"/>
    </row>
    <row r="64" spans="1:34" x14ac:dyDescent="0.2">
      <c r="A64" s="78">
        <v>740</v>
      </c>
      <c r="B64" s="73">
        <v>267</v>
      </c>
      <c r="C64" s="73">
        <v>201</v>
      </c>
      <c r="E64" s="47">
        <v>600</v>
      </c>
      <c r="F64" s="47">
        <f>B57</f>
        <v>264</v>
      </c>
      <c r="G64" s="47">
        <f>C57</f>
        <v>157</v>
      </c>
      <c r="H64" s="26"/>
      <c r="I64" s="47">
        <f t="shared" si="1"/>
        <v>6</v>
      </c>
      <c r="J64" s="47">
        <f t="shared" si="4"/>
        <v>326.26</v>
      </c>
      <c r="K64" s="47">
        <f t="shared" si="2"/>
        <v>20.873960332693535</v>
      </c>
      <c r="L64" s="47">
        <f t="shared" si="3"/>
        <v>1.57</v>
      </c>
      <c r="M64" s="16"/>
      <c r="Q64" s="14" t="s">
        <v>43</v>
      </c>
      <c r="R64" s="89">
        <f>SLOPE(R60:R62,Q60:Q62)</f>
        <v>0.82852389481203181</v>
      </c>
      <c r="W64" s="58"/>
      <c r="X64" s="62"/>
      <c r="Y64" s="62"/>
      <c r="Z64" s="62"/>
      <c r="AA64" s="62"/>
      <c r="AB64" s="77"/>
      <c r="AC64" s="77"/>
      <c r="AD64" s="62"/>
      <c r="AE64" s="62"/>
      <c r="AF64" s="62"/>
      <c r="AG64" s="62"/>
      <c r="AH64" s="75"/>
    </row>
    <row r="65" spans="1:34" x14ac:dyDescent="0.2">
      <c r="A65" s="78">
        <v>760</v>
      </c>
      <c r="B65" s="73">
        <v>270</v>
      </c>
      <c r="C65" s="73">
        <v>200</v>
      </c>
      <c r="E65" s="47">
        <v>620</v>
      </c>
      <c r="F65" s="47">
        <f>B58</f>
        <v>258</v>
      </c>
      <c r="G65" s="47">
        <f>C58</f>
        <v>168</v>
      </c>
      <c r="H65" s="26"/>
      <c r="I65" s="47">
        <f t="shared" si="1"/>
        <v>6.2</v>
      </c>
      <c r="J65" s="47">
        <f t="shared" si="4"/>
        <v>318.94</v>
      </c>
      <c r="K65" s="47">
        <f t="shared" si="2"/>
        <v>20.405630198336532</v>
      </c>
      <c r="L65" s="47">
        <f t="shared" si="3"/>
        <v>1.68</v>
      </c>
      <c r="M65" s="16"/>
      <c r="Q65" s="14" t="s">
        <v>42</v>
      </c>
      <c r="R65" s="13">
        <f>((ATAN(R64)*90)/PI())*2</f>
        <v>39.642560075458334</v>
      </c>
      <c r="W65" s="58"/>
      <c r="AH65" s="75"/>
    </row>
    <row r="66" spans="1:34" x14ac:dyDescent="0.2">
      <c r="A66" s="78">
        <v>780</v>
      </c>
      <c r="B66" s="73">
        <v>258</v>
      </c>
      <c r="C66" s="73">
        <v>197</v>
      </c>
      <c r="E66" s="47">
        <v>640</v>
      </c>
      <c r="F66" s="47">
        <f>B59</f>
        <v>267</v>
      </c>
      <c r="G66" s="47">
        <f>C59</f>
        <v>179</v>
      </c>
      <c r="H66" s="26"/>
      <c r="I66" s="47">
        <f t="shared" si="1"/>
        <v>6.4</v>
      </c>
      <c r="J66" s="47">
        <f t="shared" si="4"/>
        <v>329.92</v>
      </c>
      <c r="K66" s="47">
        <f t="shared" si="2"/>
        <v>21.108125399872041</v>
      </c>
      <c r="L66" s="47">
        <f t="shared" si="3"/>
        <v>1.79</v>
      </c>
      <c r="M66" s="16"/>
      <c r="W66" s="58"/>
      <c r="AH66" s="75"/>
    </row>
    <row r="67" spans="1:34" x14ac:dyDescent="0.2">
      <c r="A67" s="78">
        <v>800</v>
      </c>
      <c r="B67" s="73">
        <v>255</v>
      </c>
      <c r="C67" s="73">
        <v>195</v>
      </c>
      <c r="E67" s="47">
        <v>660</v>
      </c>
      <c r="F67" s="47">
        <f>B60</f>
        <v>264</v>
      </c>
      <c r="G67" s="47">
        <f>C60</f>
        <v>189</v>
      </c>
      <c r="H67" s="26"/>
      <c r="I67" s="47">
        <f t="shared" si="1"/>
        <v>6.6000000000000005</v>
      </c>
      <c r="J67" s="47">
        <f t="shared" si="4"/>
        <v>326.26</v>
      </c>
      <c r="K67" s="47">
        <f t="shared" si="2"/>
        <v>20.873960332693535</v>
      </c>
      <c r="L67" s="47">
        <f t="shared" si="3"/>
        <v>1.8900000000000001</v>
      </c>
      <c r="M67" s="16"/>
      <c r="W67" s="58"/>
      <c r="AH67" s="75"/>
    </row>
    <row r="68" spans="1:34" x14ac:dyDescent="0.2">
      <c r="A68" s="78">
        <v>820</v>
      </c>
      <c r="B68" s="73">
        <v>226</v>
      </c>
      <c r="C68" s="73">
        <v>192</v>
      </c>
      <c r="E68" s="47">
        <v>680</v>
      </c>
      <c r="F68" s="47">
        <f>B61</f>
        <v>252</v>
      </c>
      <c r="G68" s="47">
        <f>C61</f>
        <v>191</v>
      </c>
      <c r="H68" s="26"/>
      <c r="I68" s="47">
        <f t="shared" si="1"/>
        <v>6.8</v>
      </c>
      <c r="J68" s="47">
        <f t="shared" si="4"/>
        <v>311.62</v>
      </c>
      <c r="K68" s="47">
        <f t="shared" si="2"/>
        <v>19.937300063979524</v>
      </c>
      <c r="L68" s="47">
        <f t="shared" si="3"/>
        <v>1.9100000000000001</v>
      </c>
      <c r="M68" s="16"/>
      <c r="W68" s="58"/>
      <c r="AH68" s="75"/>
    </row>
    <row r="69" spans="1:34" x14ac:dyDescent="0.2">
      <c r="A69" s="78">
        <v>840</v>
      </c>
      <c r="B69" s="73">
        <v>226</v>
      </c>
      <c r="C69" s="73">
        <v>191</v>
      </c>
      <c r="E69" s="47">
        <v>700</v>
      </c>
      <c r="F69" s="47">
        <f>B62</f>
        <v>255</v>
      </c>
      <c r="G69" s="47">
        <f>C62</f>
        <v>204</v>
      </c>
      <c r="H69" s="26"/>
      <c r="I69" s="47">
        <f t="shared" si="1"/>
        <v>7</v>
      </c>
      <c r="J69" s="47">
        <f t="shared" si="4"/>
        <v>315.27999999999997</v>
      </c>
      <c r="K69" s="47">
        <f t="shared" si="2"/>
        <v>20.171465131158026</v>
      </c>
      <c r="L69" s="47">
        <f t="shared" si="3"/>
        <v>2.04</v>
      </c>
      <c r="M69" s="16"/>
      <c r="W69" s="58"/>
      <c r="AH69" s="75"/>
    </row>
    <row r="70" spans="1:34" x14ac:dyDescent="0.2">
      <c r="A70" s="78">
        <v>860</v>
      </c>
      <c r="B70" s="73">
        <v>229</v>
      </c>
      <c r="C70" s="73">
        <v>190</v>
      </c>
      <c r="E70" s="47">
        <v>720</v>
      </c>
      <c r="F70" s="47">
        <f>B63</f>
        <v>270</v>
      </c>
      <c r="G70" s="47">
        <f>C63</f>
        <v>201</v>
      </c>
      <c r="H70" s="26"/>
      <c r="I70" s="47">
        <f t="shared" si="1"/>
        <v>7.2</v>
      </c>
      <c r="J70" s="47">
        <f t="shared" si="4"/>
        <v>333.58</v>
      </c>
      <c r="K70" s="47">
        <f t="shared" si="2"/>
        <v>21.342290467050542</v>
      </c>
      <c r="L70" s="47">
        <f t="shared" si="3"/>
        <v>2.0100000000000002</v>
      </c>
      <c r="M70" s="16"/>
    </row>
    <row r="71" spans="1:34" x14ac:dyDescent="0.2">
      <c r="A71" s="78">
        <v>880</v>
      </c>
      <c r="B71" s="73">
        <v>220</v>
      </c>
      <c r="C71" s="73">
        <v>186</v>
      </c>
      <c r="E71" s="47">
        <v>740</v>
      </c>
      <c r="F71" s="47">
        <f>B64</f>
        <v>267</v>
      </c>
      <c r="G71" s="47">
        <f>C64</f>
        <v>201</v>
      </c>
      <c r="H71" s="26"/>
      <c r="I71" s="47">
        <f t="shared" si="1"/>
        <v>7.4</v>
      </c>
      <c r="J71" s="47">
        <f t="shared" si="4"/>
        <v>329.92</v>
      </c>
      <c r="K71" s="47">
        <f t="shared" si="2"/>
        <v>21.108125399872041</v>
      </c>
      <c r="L71" s="47">
        <f t="shared" si="3"/>
        <v>2.0100000000000002</v>
      </c>
      <c r="M71" s="16"/>
    </row>
    <row r="72" spans="1:34" x14ac:dyDescent="0.2">
      <c r="A72" s="78">
        <v>900</v>
      </c>
      <c r="B72" s="73">
        <v>223</v>
      </c>
      <c r="C72" s="73">
        <v>179</v>
      </c>
      <c r="E72" s="47">
        <v>760</v>
      </c>
      <c r="F72" s="47">
        <f>B65</f>
        <v>270</v>
      </c>
      <c r="G72" s="47">
        <f>C65</f>
        <v>200</v>
      </c>
      <c r="H72" s="26"/>
      <c r="I72" s="47">
        <f t="shared" si="1"/>
        <v>7.6000000000000005</v>
      </c>
      <c r="J72" s="47">
        <f t="shared" si="4"/>
        <v>333.58</v>
      </c>
      <c r="K72" s="47">
        <f t="shared" si="2"/>
        <v>21.342290467050542</v>
      </c>
      <c r="L72" s="47">
        <f t="shared" si="3"/>
        <v>2</v>
      </c>
      <c r="M72" s="16"/>
    </row>
    <row r="73" spans="1:34" x14ac:dyDescent="0.2">
      <c r="A73" s="78">
        <v>950</v>
      </c>
      <c r="B73" s="73">
        <v>223</v>
      </c>
      <c r="C73" s="73">
        <v>177</v>
      </c>
      <c r="E73" s="47">
        <v>780</v>
      </c>
      <c r="F73" s="47">
        <f>B66</f>
        <v>258</v>
      </c>
      <c r="G73" s="47">
        <f>C66</f>
        <v>197</v>
      </c>
      <c r="H73" s="26"/>
      <c r="I73" s="47">
        <f t="shared" si="1"/>
        <v>7.8</v>
      </c>
      <c r="J73" s="47">
        <f t="shared" si="4"/>
        <v>318.94</v>
      </c>
      <c r="K73" s="47">
        <f t="shared" si="2"/>
        <v>20.405630198336532</v>
      </c>
      <c r="L73" s="47">
        <f t="shared" si="3"/>
        <v>1.97</v>
      </c>
      <c r="M73" s="16"/>
    </row>
    <row r="74" spans="1:34" x14ac:dyDescent="0.2">
      <c r="A74" s="78">
        <v>1000</v>
      </c>
      <c r="B74" s="73">
        <v>226</v>
      </c>
      <c r="C74" s="73">
        <v>176</v>
      </c>
      <c r="E74" s="47">
        <v>800</v>
      </c>
      <c r="F74" s="47">
        <f>B67</f>
        <v>255</v>
      </c>
      <c r="G74" s="47">
        <f>C67</f>
        <v>195</v>
      </c>
      <c r="H74" s="26"/>
      <c r="I74" s="47">
        <f t="shared" si="1"/>
        <v>8</v>
      </c>
      <c r="J74" s="47">
        <f t="shared" si="4"/>
        <v>315.27999999999997</v>
      </c>
      <c r="K74" s="47">
        <f t="shared" si="2"/>
        <v>20.171465131158026</v>
      </c>
      <c r="L74" s="47">
        <f t="shared" si="3"/>
        <v>1.95</v>
      </c>
      <c r="M74" s="16"/>
    </row>
    <row r="75" spans="1:34" x14ac:dyDescent="0.2">
      <c r="E75" s="47">
        <v>820</v>
      </c>
      <c r="F75" s="47">
        <f>B68</f>
        <v>226</v>
      </c>
      <c r="G75" s="47">
        <f>C68</f>
        <v>192</v>
      </c>
      <c r="H75" s="26"/>
      <c r="I75" s="47">
        <f t="shared" si="1"/>
        <v>8.1999999999999993</v>
      </c>
      <c r="J75" s="47">
        <f t="shared" si="4"/>
        <v>279.89999999999998</v>
      </c>
      <c r="K75" s="47">
        <f t="shared" si="2"/>
        <v>17.907869481765832</v>
      </c>
      <c r="L75" s="47">
        <f t="shared" si="3"/>
        <v>1.92</v>
      </c>
      <c r="M75" s="16"/>
    </row>
    <row r="76" spans="1:34" x14ac:dyDescent="0.2">
      <c r="A76" s="53" t="s">
        <v>59</v>
      </c>
      <c r="C76" s="73">
        <v>5.48</v>
      </c>
      <c r="E76" s="47">
        <v>840</v>
      </c>
      <c r="F76" s="47">
        <f>B69</f>
        <v>226</v>
      </c>
      <c r="G76" s="47">
        <f>C69</f>
        <v>191</v>
      </c>
      <c r="H76" s="26"/>
      <c r="I76" s="47">
        <f t="shared" si="1"/>
        <v>8.4</v>
      </c>
      <c r="J76" s="47">
        <f t="shared" si="4"/>
        <v>279.89999999999998</v>
      </c>
      <c r="K76" s="47">
        <f t="shared" si="2"/>
        <v>17.907869481765832</v>
      </c>
      <c r="L76" s="47">
        <f t="shared" si="3"/>
        <v>1.9100000000000001</v>
      </c>
      <c r="M76" s="16"/>
    </row>
    <row r="77" spans="1:34" x14ac:dyDescent="0.2">
      <c r="A77" s="54" t="s">
        <v>22</v>
      </c>
      <c r="B77" s="55" t="s">
        <v>24</v>
      </c>
      <c r="C77" s="54" t="s">
        <v>22</v>
      </c>
      <c r="E77" s="47">
        <v>860</v>
      </c>
      <c r="F77" s="47">
        <f>B70</f>
        <v>229</v>
      </c>
      <c r="G77" s="47">
        <f>C70</f>
        <v>190</v>
      </c>
      <c r="H77" s="26"/>
      <c r="I77" s="47">
        <f t="shared" si="1"/>
        <v>8.6</v>
      </c>
      <c r="J77" s="47">
        <f t="shared" si="4"/>
        <v>283.56</v>
      </c>
      <c r="K77" s="47">
        <f t="shared" si="2"/>
        <v>18.142034548944338</v>
      </c>
      <c r="L77" s="47">
        <f t="shared" si="3"/>
        <v>1.9000000000000001</v>
      </c>
      <c r="M77" s="16"/>
    </row>
    <row r="78" spans="1:34" x14ac:dyDescent="0.2">
      <c r="A78" s="56" t="s">
        <v>21</v>
      </c>
      <c r="B78" s="56" t="s">
        <v>20</v>
      </c>
      <c r="C78" s="56" t="s">
        <v>19</v>
      </c>
      <c r="E78" s="47">
        <v>880</v>
      </c>
      <c r="F78" s="47">
        <f>B71</f>
        <v>220</v>
      </c>
      <c r="G78" s="47">
        <f>C71</f>
        <v>186</v>
      </c>
      <c r="H78" s="26"/>
      <c r="I78" s="47">
        <f t="shared" si="1"/>
        <v>8.8000000000000007</v>
      </c>
      <c r="J78" s="47">
        <f t="shared" si="4"/>
        <v>272.58</v>
      </c>
      <c r="K78" s="47">
        <f t="shared" si="2"/>
        <v>17.439539347408829</v>
      </c>
      <c r="L78" s="47">
        <f t="shared" si="3"/>
        <v>1.86</v>
      </c>
      <c r="M78" s="16"/>
    </row>
    <row r="79" spans="1:34" x14ac:dyDescent="0.2">
      <c r="A79" s="57" t="s">
        <v>18</v>
      </c>
      <c r="B79" s="57" t="s">
        <v>61</v>
      </c>
      <c r="C79" s="57" t="s">
        <v>18</v>
      </c>
      <c r="E79" s="47">
        <v>900</v>
      </c>
      <c r="F79" s="47">
        <f>B72</f>
        <v>223</v>
      </c>
      <c r="G79" s="47">
        <f>C72</f>
        <v>179</v>
      </c>
      <c r="H79" s="26"/>
      <c r="I79" s="47">
        <f t="shared" si="1"/>
        <v>9</v>
      </c>
      <c r="J79" s="47">
        <f t="shared" si="4"/>
        <v>276.24</v>
      </c>
      <c r="K79" s="47">
        <f t="shared" si="2"/>
        <v>17.673704414587331</v>
      </c>
      <c r="L79" s="47">
        <f t="shared" si="3"/>
        <v>1.79</v>
      </c>
      <c r="M79" s="16"/>
    </row>
    <row r="80" spans="1:34" x14ac:dyDescent="0.2">
      <c r="A80" s="78">
        <v>0</v>
      </c>
      <c r="B80" s="73">
        <v>0</v>
      </c>
      <c r="C80" s="73">
        <v>0</v>
      </c>
      <c r="E80" s="47">
        <v>950</v>
      </c>
      <c r="F80" s="47">
        <f>B73</f>
        <v>223</v>
      </c>
      <c r="G80" s="47">
        <f>C73</f>
        <v>177</v>
      </c>
      <c r="H80" s="26"/>
      <c r="I80" s="47">
        <f t="shared" si="1"/>
        <v>9.5</v>
      </c>
      <c r="J80" s="47">
        <f t="shared" si="4"/>
        <v>276.24</v>
      </c>
      <c r="K80" s="47">
        <f t="shared" si="2"/>
        <v>17.673704414587331</v>
      </c>
      <c r="L80" s="47">
        <f t="shared" si="3"/>
        <v>1.77</v>
      </c>
      <c r="M80" s="16"/>
    </row>
    <row r="81" spans="1:13" x14ac:dyDescent="0.2">
      <c r="A81" s="78">
        <v>10</v>
      </c>
      <c r="B81" s="73">
        <v>46</v>
      </c>
      <c r="C81" s="73">
        <v>0</v>
      </c>
      <c r="E81" s="47">
        <v>1000</v>
      </c>
      <c r="F81" s="47">
        <f>B74</f>
        <v>226</v>
      </c>
      <c r="G81" s="47">
        <f>C74</f>
        <v>176</v>
      </c>
      <c r="H81" s="26"/>
      <c r="I81" s="47">
        <f t="shared" si="1"/>
        <v>10</v>
      </c>
      <c r="J81" s="47">
        <f t="shared" si="4"/>
        <v>279.89999999999998</v>
      </c>
      <c r="K81" s="47">
        <f t="shared" si="2"/>
        <v>17.907869481765832</v>
      </c>
      <c r="L81" s="47">
        <f t="shared" si="3"/>
        <v>1.76</v>
      </c>
      <c r="M81" s="16"/>
    </row>
    <row r="82" spans="1:13" x14ac:dyDescent="0.2">
      <c r="A82" s="78">
        <v>20</v>
      </c>
      <c r="B82" s="73">
        <v>60</v>
      </c>
      <c r="C82" s="73">
        <v>0</v>
      </c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">
      <c r="A83" s="78">
        <v>30</v>
      </c>
      <c r="B83" s="73">
        <v>75</v>
      </c>
      <c r="C83" s="73">
        <v>0</v>
      </c>
      <c r="E83" s="92" t="str">
        <f>+E1</f>
        <v>ENSAYO DE CORTE DIRECTO PARA DISCONTINUIDADES ARTIFICIALES EN ROCAS</v>
      </c>
      <c r="F83" s="92"/>
      <c r="G83" s="92"/>
      <c r="H83" s="92"/>
      <c r="I83" s="92"/>
      <c r="J83" s="92"/>
      <c r="K83" s="92"/>
      <c r="L83" s="92"/>
      <c r="M83" s="16"/>
    </row>
    <row r="84" spans="1:13" x14ac:dyDescent="0.2">
      <c r="A84" s="78">
        <v>40</v>
      </c>
      <c r="B84" s="73">
        <v>92</v>
      </c>
      <c r="C84" s="73">
        <v>2</v>
      </c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">
      <c r="A85" s="78">
        <v>50</v>
      </c>
      <c r="B85" s="73">
        <v>130</v>
      </c>
      <c r="C85" s="73">
        <v>2</v>
      </c>
      <c r="E85" s="12" t="s">
        <v>0</v>
      </c>
      <c r="F85" s="17" t="str">
        <f>+F3</f>
        <v>C1BH-L12-L10-3+780-D</v>
      </c>
      <c r="G85" s="18"/>
      <c r="H85" s="18"/>
      <c r="I85" s="18"/>
      <c r="J85" s="18"/>
      <c r="K85" s="18"/>
      <c r="L85" s="19"/>
      <c r="M85" s="92"/>
    </row>
    <row r="86" spans="1:13" x14ac:dyDescent="0.2">
      <c r="A86" s="78">
        <v>60</v>
      </c>
      <c r="B86" s="73">
        <v>147</v>
      </c>
      <c r="C86" s="73">
        <v>1</v>
      </c>
      <c r="E86" s="11" t="s">
        <v>39</v>
      </c>
      <c r="F86" s="17" t="str">
        <f>+F4</f>
        <v>1.914.650-G</v>
      </c>
      <c r="G86" s="21"/>
      <c r="H86" s="21"/>
      <c r="I86" s="21"/>
      <c r="J86" s="21"/>
      <c r="K86" s="21"/>
      <c r="L86" s="22"/>
      <c r="M86" s="16"/>
    </row>
    <row r="87" spans="1:13" x14ac:dyDescent="0.2">
      <c r="A87" s="78">
        <v>70</v>
      </c>
      <c r="B87" s="73">
        <v>162</v>
      </c>
      <c r="C87" s="73">
        <v>1</v>
      </c>
      <c r="E87" s="11" t="s">
        <v>1</v>
      </c>
      <c r="F87" s="17" t="str">
        <f>+F5</f>
        <v>-</v>
      </c>
      <c r="G87" s="21"/>
      <c r="H87" s="21"/>
      <c r="I87" s="21"/>
      <c r="J87" s="21"/>
      <c r="K87" s="21"/>
      <c r="L87" s="22"/>
      <c r="M87" s="16"/>
    </row>
    <row r="88" spans="1:13" x14ac:dyDescent="0.2">
      <c r="A88" s="78">
        <v>80</v>
      </c>
      <c r="B88" s="73">
        <v>182</v>
      </c>
      <c r="C88" s="73">
        <v>1</v>
      </c>
      <c r="E88" s="23" t="s">
        <v>38</v>
      </c>
      <c r="F88" s="100">
        <f>+F6</f>
        <v>45449</v>
      </c>
      <c r="G88" s="24"/>
      <c r="H88" s="24"/>
      <c r="I88" s="24"/>
      <c r="J88" s="24"/>
      <c r="K88" s="24"/>
      <c r="L88" s="25"/>
      <c r="M88" s="16"/>
    </row>
    <row r="89" spans="1:13" x14ac:dyDescent="0.2">
      <c r="A89" s="78">
        <v>90</v>
      </c>
      <c r="B89" s="73">
        <v>197</v>
      </c>
      <c r="C89" s="73">
        <v>1</v>
      </c>
      <c r="E89" s="23" t="s">
        <v>37</v>
      </c>
      <c r="F89" s="101">
        <f>+F7</f>
        <v>45449</v>
      </c>
      <c r="G89" s="24"/>
      <c r="H89" s="24"/>
      <c r="I89" s="24"/>
      <c r="J89" s="24"/>
      <c r="K89" s="24"/>
      <c r="L89" s="25"/>
      <c r="M89" s="16"/>
    </row>
    <row r="90" spans="1:13" x14ac:dyDescent="0.2">
      <c r="A90" s="78">
        <v>100</v>
      </c>
      <c r="B90" s="73">
        <v>223</v>
      </c>
      <c r="C90" s="73">
        <v>-1</v>
      </c>
      <c r="E90" s="26"/>
      <c r="F90" s="27"/>
      <c r="G90" s="26"/>
      <c r="H90" s="16"/>
      <c r="I90" s="16"/>
      <c r="J90" s="16"/>
      <c r="K90" s="16"/>
      <c r="L90" s="16"/>
      <c r="M90" s="16"/>
    </row>
    <row r="91" spans="1:13" x14ac:dyDescent="0.2">
      <c r="A91" s="78">
        <v>110</v>
      </c>
      <c r="B91" s="73">
        <v>231</v>
      </c>
      <c r="C91" s="73">
        <v>-4</v>
      </c>
      <c r="E91" s="23" t="s">
        <v>36</v>
      </c>
      <c r="F91" s="15" t="str">
        <f>+F9</f>
        <v>C1BH-L12-L10-3+780-D (25,8-25,16)</v>
      </c>
      <c r="G91" s="21"/>
      <c r="H91" s="21"/>
      <c r="I91" s="21"/>
      <c r="J91" s="21"/>
      <c r="K91" s="21"/>
      <c r="L91" s="22"/>
      <c r="M91" s="16"/>
    </row>
    <row r="92" spans="1:13" x14ac:dyDescent="0.2">
      <c r="A92" s="78">
        <v>120</v>
      </c>
      <c r="B92" s="73">
        <v>252</v>
      </c>
      <c r="C92" s="73">
        <v>-6</v>
      </c>
      <c r="E92" s="10" t="s">
        <v>3</v>
      </c>
      <c r="F92" s="15" t="str">
        <f>+F10</f>
        <v>Lapillita lítica</v>
      </c>
      <c r="G92" s="21"/>
      <c r="H92" s="28"/>
      <c r="I92" s="28"/>
      <c r="J92" s="28"/>
      <c r="K92" s="28"/>
      <c r="L92" s="29"/>
      <c r="M92" s="16"/>
    </row>
    <row r="93" spans="1:13" x14ac:dyDescent="0.2">
      <c r="A93" s="78">
        <v>130</v>
      </c>
      <c r="B93" s="73">
        <v>257</v>
      </c>
      <c r="C93" s="73">
        <v>-7</v>
      </c>
      <c r="E93" s="30" t="s">
        <v>4</v>
      </c>
      <c r="F93" s="15" t="str">
        <f>+F11</f>
        <v>Zeolitas</v>
      </c>
      <c r="G93" s="21"/>
      <c r="H93" s="28"/>
      <c r="I93" s="28"/>
      <c r="J93" s="28"/>
      <c r="K93" s="28"/>
      <c r="L93" s="29"/>
      <c r="M93" s="16"/>
    </row>
    <row r="94" spans="1:13" x14ac:dyDescent="0.2">
      <c r="A94" s="78">
        <v>140</v>
      </c>
      <c r="B94" s="73">
        <v>275</v>
      </c>
      <c r="C94" s="73">
        <v>-7</v>
      </c>
      <c r="E94" s="30" t="s">
        <v>5</v>
      </c>
      <c r="F94" s="15" t="str">
        <f>+F12</f>
        <v>Zeolitización y oxidación</v>
      </c>
      <c r="G94" s="21"/>
      <c r="H94" s="28"/>
      <c r="I94" s="28"/>
      <c r="J94" s="28"/>
      <c r="K94" s="28"/>
      <c r="L94" s="29"/>
      <c r="M94" s="16"/>
    </row>
    <row r="95" spans="1:13" x14ac:dyDescent="0.2">
      <c r="A95" s="78">
        <v>150</v>
      </c>
      <c r="B95" s="73">
        <v>266</v>
      </c>
      <c r="C95" s="73">
        <v>-8</v>
      </c>
      <c r="E95" s="26"/>
      <c r="F95" s="26"/>
      <c r="G95" s="26"/>
      <c r="H95" s="16"/>
      <c r="I95" s="16"/>
      <c r="J95" s="16"/>
      <c r="K95" s="16"/>
      <c r="L95" s="16"/>
      <c r="M95" s="16"/>
    </row>
    <row r="96" spans="1:13" x14ac:dyDescent="0.2">
      <c r="A96" s="78">
        <v>160</v>
      </c>
      <c r="B96" s="73">
        <v>281</v>
      </c>
      <c r="C96" s="73">
        <v>-10</v>
      </c>
      <c r="E96" s="31" t="s">
        <v>41</v>
      </c>
      <c r="F96" s="26"/>
      <c r="G96" s="26"/>
      <c r="H96" s="16"/>
      <c r="I96" s="16"/>
      <c r="J96" s="16"/>
      <c r="K96" s="16"/>
      <c r="L96" s="16"/>
      <c r="M96" s="16"/>
    </row>
    <row r="97" spans="1:13" x14ac:dyDescent="0.2">
      <c r="A97" s="78">
        <v>170</v>
      </c>
      <c r="B97" s="73">
        <v>281</v>
      </c>
      <c r="C97" s="73">
        <v>-11</v>
      </c>
      <c r="E97" s="32" t="s">
        <v>34</v>
      </c>
      <c r="F97" s="33" t="s">
        <v>27</v>
      </c>
      <c r="G97" s="38">
        <f>B11</f>
        <v>15.63</v>
      </c>
      <c r="H97" s="16"/>
      <c r="I97" s="16"/>
      <c r="J97" s="16"/>
      <c r="K97" s="16"/>
      <c r="L97" s="16"/>
      <c r="M97" s="16"/>
    </row>
    <row r="98" spans="1:13" x14ac:dyDescent="0.2">
      <c r="A98" s="78">
        <v>180</v>
      </c>
      <c r="B98" s="73">
        <v>295</v>
      </c>
      <c r="C98" s="73">
        <v>-14</v>
      </c>
      <c r="E98" s="49" t="s">
        <v>33</v>
      </c>
      <c r="F98" s="37" t="s">
        <v>14</v>
      </c>
      <c r="G98" s="38">
        <f>G99/G97</f>
        <v>40.760767272659969</v>
      </c>
      <c r="H98" s="39" t="s">
        <v>14</v>
      </c>
      <c r="I98" s="16"/>
      <c r="J98" s="16"/>
      <c r="K98" s="16"/>
      <c r="L98" s="16"/>
      <c r="M98" s="16"/>
    </row>
    <row r="99" spans="1:13" x14ac:dyDescent="0.2">
      <c r="A99" s="78">
        <v>190</v>
      </c>
      <c r="B99" s="73">
        <v>301</v>
      </c>
      <c r="C99" s="73">
        <v>-16</v>
      </c>
      <c r="E99" s="32" t="s">
        <v>32</v>
      </c>
      <c r="F99" s="33" t="s">
        <v>31</v>
      </c>
      <c r="G99" s="38">
        <f>+G102*$G$101</f>
        <v>637.0907924716754</v>
      </c>
      <c r="H99" s="40"/>
      <c r="I99" s="16"/>
      <c r="J99" s="16"/>
      <c r="K99" s="16"/>
      <c r="L99" s="16"/>
      <c r="M99" s="16"/>
    </row>
    <row r="100" spans="1:13" x14ac:dyDescent="0.2">
      <c r="A100" s="78">
        <v>200</v>
      </c>
      <c r="B100" s="73">
        <v>289</v>
      </c>
      <c r="C100" s="73">
        <v>-19</v>
      </c>
      <c r="E100" s="32" t="s">
        <v>30</v>
      </c>
      <c r="F100" s="37" t="s">
        <v>29</v>
      </c>
      <c r="G100" s="38">
        <f>3.81</f>
        <v>3.81</v>
      </c>
      <c r="H100" s="41"/>
      <c r="I100" s="50"/>
      <c r="J100" s="50"/>
      <c r="K100" s="50"/>
      <c r="L100" s="50"/>
      <c r="M100" s="16"/>
    </row>
    <row r="101" spans="1:13" x14ac:dyDescent="0.2">
      <c r="A101" s="78">
        <v>220</v>
      </c>
      <c r="B101" s="73">
        <v>281</v>
      </c>
      <c r="C101" s="73">
        <v>-19</v>
      </c>
      <c r="E101" s="32" t="s">
        <v>28</v>
      </c>
      <c r="F101" s="33" t="s">
        <v>27</v>
      </c>
      <c r="G101" s="38">
        <f>((G100/2)^2)*PI()</f>
        <v>11.400918279693698</v>
      </c>
      <c r="H101" s="40"/>
      <c r="I101" s="50"/>
      <c r="J101" s="50"/>
      <c r="K101" s="50"/>
      <c r="L101" s="50"/>
      <c r="M101" s="16"/>
    </row>
    <row r="102" spans="1:13" x14ac:dyDescent="0.2">
      <c r="A102" s="78">
        <v>240</v>
      </c>
      <c r="B102" s="73">
        <v>275</v>
      </c>
      <c r="C102" s="73">
        <v>-23</v>
      </c>
      <c r="E102" s="32" t="s">
        <v>60</v>
      </c>
      <c r="F102" s="37" t="s">
        <v>14</v>
      </c>
      <c r="G102" s="38">
        <f>+C76*10.1972</f>
        <v>55.880656000000009</v>
      </c>
      <c r="H102" s="40"/>
      <c r="I102" s="16"/>
      <c r="J102" s="16"/>
      <c r="K102" s="16"/>
      <c r="L102" s="16"/>
      <c r="M102" s="16"/>
    </row>
    <row r="103" spans="1:13" x14ac:dyDescent="0.2">
      <c r="A103" s="78">
        <v>260</v>
      </c>
      <c r="B103" s="73">
        <v>286</v>
      </c>
      <c r="C103" s="73">
        <v>-30</v>
      </c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">
      <c r="A104" s="78">
        <v>280</v>
      </c>
      <c r="B104" s="73">
        <v>275</v>
      </c>
      <c r="C104" s="73">
        <v>-31</v>
      </c>
      <c r="E104" s="42" t="s">
        <v>40</v>
      </c>
      <c r="F104" s="16"/>
      <c r="G104" s="16"/>
      <c r="H104" s="16"/>
      <c r="I104" s="16"/>
      <c r="J104" s="16"/>
      <c r="K104" s="16"/>
      <c r="L104" s="16"/>
      <c r="M104" s="16"/>
    </row>
    <row r="105" spans="1:13" x14ac:dyDescent="0.2">
      <c r="A105" s="78">
        <v>300</v>
      </c>
      <c r="B105" s="73">
        <v>263</v>
      </c>
      <c r="C105" s="73">
        <v>-30</v>
      </c>
      <c r="E105" s="43" t="s">
        <v>22</v>
      </c>
      <c r="F105" s="44" t="s">
        <v>24</v>
      </c>
      <c r="G105" s="43" t="s">
        <v>22</v>
      </c>
      <c r="H105" s="16"/>
      <c r="I105" s="43" t="s">
        <v>22</v>
      </c>
      <c r="J105" s="43" t="s">
        <v>13</v>
      </c>
      <c r="K105" s="43" t="s">
        <v>23</v>
      </c>
      <c r="L105" s="43" t="s">
        <v>22</v>
      </c>
      <c r="M105" s="16"/>
    </row>
    <row r="106" spans="1:13" x14ac:dyDescent="0.2">
      <c r="A106" s="78">
        <v>320</v>
      </c>
      <c r="B106" s="73">
        <v>266</v>
      </c>
      <c r="C106" s="73">
        <v>-30</v>
      </c>
      <c r="E106" s="45" t="s">
        <v>21</v>
      </c>
      <c r="F106" s="45" t="s">
        <v>20</v>
      </c>
      <c r="G106" s="45" t="s">
        <v>19</v>
      </c>
      <c r="H106" s="16"/>
      <c r="I106" s="45" t="s">
        <v>21</v>
      </c>
      <c r="J106" s="45" t="s">
        <v>20</v>
      </c>
      <c r="K106" s="45" t="s">
        <v>20</v>
      </c>
      <c r="L106" s="45" t="s">
        <v>19</v>
      </c>
      <c r="M106" s="16"/>
    </row>
    <row r="107" spans="1:13" x14ac:dyDescent="0.2">
      <c r="A107" s="78">
        <v>340</v>
      </c>
      <c r="B107" s="73">
        <v>257</v>
      </c>
      <c r="C107" s="73">
        <v>-29</v>
      </c>
      <c r="E107" s="46" t="s">
        <v>18</v>
      </c>
      <c r="F107" s="46" t="s">
        <v>61</v>
      </c>
      <c r="G107" s="46" t="s">
        <v>18</v>
      </c>
      <c r="H107" s="16"/>
      <c r="I107" s="46" t="s">
        <v>12</v>
      </c>
      <c r="J107" s="46" t="s">
        <v>31</v>
      </c>
      <c r="K107" s="46" t="s">
        <v>14</v>
      </c>
      <c r="L107" s="46" t="s">
        <v>12</v>
      </c>
      <c r="M107" s="16"/>
    </row>
    <row r="108" spans="1:13" x14ac:dyDescent="0.2">
      <c r="A108" s="78">
        <v>360</v>
      </c>
      <c r="B108" s="73">
        <v>228</v>
      </c>
      <c r="C108" s="73">
        <v>-28</v>
      </c>
      <c r="E108" s="47">
        <v>0</v>
      </c>
      <c r="F108" s="47">
        <f>B80</f>
        <v>0</v>
      </c>
      <c r="G108" s="47">
        <f>C80</f>
        <v>0</v>
      </c>
      <c r="H108" s="26"/>
      <c r="I108" s="47">
        <f t="shared" ref="I108:I165" si="6">+E108*0.01</f>
        <v>0</v>
      </c>
      <c r="J108" s="47">
        <f>+IF(AND(F108&gt;=0,F108&lt;=500),1.22*F108+4.18,IF(AND(F108&gt;500,F108&lt;=4500),1.16*F108+24.01,"Error"))</f>
        <v>4.18</v>
      </c>
      <c r="K108" s="47">
        <f t="shared" ref="K108:K165" si="7">+J108/$G$97</f>
        <v>0.26743442098528469</v>
      </c>
      <c r="L108" s="47">
        <f t="shared" ref="L108:L165" si="8">+G108*0.01</f>
        <v>0</v>
      </c>
      <c r="M108" s="16"/>
    </row>
    <row r="109" spans="1:13" x14ac:dyDescent="0.2">
      <c r="A109" s="78">
        <v>380</v>
      </c>
      <c r="B109" s="73">
        <v>234</v>
      </c>
      <c r="C109" s="73">
        <v>-25</v>
      </c>
      <c r="E109" s="47">
        <v>10</v>
      </c>
      <c r="F109" s="47">
        <f>B81</f>
        <v>46</v>
      </c>
      <c r="G109" s="47">
        <f>C81</f>
        <v>0</v>
      </c>
      <c r="H109" s="26"/>
      <c r="I109" s="47">
        <f t="shared" si="6"/>
        <v>0.1</v>
      </c>
      <c r="J109" s="47">
        <f t="shared" ref="J109:J165" si="9">+IF(AND(F109&gt;=0,F109&lt;=500),1.22*F109+4.18,IF(AND(F109&gt;500,F109&lt;=4500),1.16*F109+24.01,"Error"))</f>
        <v>60.3</v>
      </c>
      <c r="K109" s="47">
        <f t="shared" si="7"/>
        <v>3.8579654510556618</v>
      </c>
      <c r="L109" s="47">
        <f t="shared" si="8"/>
        <v>0</v>
      </c>
      <c r="M109" s="16"/>
    </row>
    <row r="110" spans="1:13" x14ac:dyDescent="0.2">
      <c r="A110" s="78">
        <v>400</v>
      </c>
      <c r="B110" s="73">
        <v>243</v>
      </c>
      <c r="C110" s="73">
        <v>-24</v>
      </c>
      <c r="E110" s="47">
        <v>20</v>
      </c>
      <c r="F110" s="47">
        <f>B82</f>
        <v>60</v>
      </c>
      <c r="G110" s="47">
        <f>C82</f>
        <v>0</v>
      </c>
      <c r="H110" s="26"/>
      <c r="I110" s="47">
        <f t="shared" si="6"/>
        <v>0.2</v>
      </c>
      <c r="J110" s="47">
        <f t="shared" si="9"/>
        <v>77.38</v>
      </c>
      <c r="K110" s="47">
        <f t="shared" si="7"/>
        <v>4.9507357645553416</v>
      </c>
      <c r="L110" s="47">
        <f t="shared" si="8"/>
        <v>0</v>
      </c>
      <c r="M110" s="16"/>
    </row>
    <row r="111" spans="1:13" x14ac:dyDescent="0.2">
      <c r="A111" s="78">
        <v>420</v>
      </c>
      <c r="B111" s="73">
        <v>228</v>
      </c>
      <c r="C111" s="73">
        <v>-21</v>
      </c>
      <c r="E111" s="47">
        <v>30</v>
      </c>
      <c r="F111" s="47">
        <f>B83</f>
        <v>75</v>
      </c>
      <c r="G111" s="47">
        <f>C83</f>
        <v>0</v>
      </c>
      <c r="H111" s="26"/>
      <c r="I111" s="47">
        <f t="shared" si="6"/>
        <v>0.3</v>
      </c>
      <c r="J111" s="47">
        <f t="shared" si="9"/>
        <v>95.68</v>
      </c>
      <c r="K111" s="47">
        <f t="shared" si="7"/>
        <v>6.121561100447857</v>
      </c>
      <c r="L111" s="47">
        <f t="shared" si="8"/>
        <v>0</v>
      </c>
      <c r="M111" s="16"/>
    </row>
    <row r="112" spans="1:13" x14ac:dyDescent="0.2">
      <c r="A112" s="78">
        <v>440</v>
      </c>
      <c r="B112" s="73">
        <v>232</v>
      </c>
      <c r="C112" s="73">
        <v>-20</v>
      </c>
      <c r="E112" s="47">
        <v>40</v>
      </c>
      <c r="F112" s="47">
        <f>B84</f>
        <v>92</v>
      </c>
      <c r="G112" s="47">
        <f>C84</f>
        <v>2</v>
      </c>
      <c r="H112" s="26"/>
      <c r="I112" s="47">
        <f t="shared" si="6"/>
        <v>0.4</v>
      </c>
      <c r="J112" s="47">
        <f t="shared" si="9"/>
        <v>116.41999999999999</v>
      </c>
      <c r="K112" s="47">
        <f t="shared" si="7"/>
        <v>7.4484964811260381</v>
      </c>
      <c r="L112" s="47">
        <f t="shared" si="8"/>
        <v>0.02</v>
      </c>
      <c r="M112" s="16"/>
    </row>
    <row r="113" spans="1:13" x14ac:dyDescent="0.2">
      <c r="A113" s="78">
        <v>460</v>
      </c>
      <c r="B113" s="73">
        <v>232</v>
      </c>
      <c r="C113" s="73">
        <v>-18</v>
      </c>
      <c r="E113" s="47">
        <v>50</v>
      </c>
      <c r="F113" s="47">
        <f>B85</f>
        <v>130</v>
      </c>
      <c r="G113" s="47">
        <f>C85</f>
        <v>2</v>
      </c>
      <c r="H113" s="26"/>
      <c r="I113" s="47">
        <f t="shared" si="6"/>
        <v>0.5</v>
      </c>
      <c r="J113" s="47">
        <f t="shared" si="9"/>
        <v>162.78</v>
      </c>
      <c r="K113" s="47">
        <f t="shared" si="7"/>
        <v>10.414587332053742</v>
      </c>
      <c r="L113" s="47">
        <f t="shared" si="8"/>
        <v>0.02</v>
      </c>
      <c r="M113" s="16"/>
    </row>
    <row r="114" spans="1:13" x14ac:dyDescent="0.2">
      <c r="A114" s="78">
        <v>480</v>
      </c>
      <c r="B114" s="73">
        <v>258</v>
      </c>
      <c r="C114" s="73">
        <v>-15</v>
      </c>
      <c r="E114" s="47">
        <v>60</v>
      </c>
      <c r="F114" s="47">
        <f>B86</f>
        <v>147</v>
      </c>
      <c r="G114" s="47">
        <f>C86</f>
        <v>1</v>
      </c>
      <c r="H114" s="26"/>
      <c r="I114" s="47">
        <f t="shared" si="6"/>
        <v>0.6</v>
      </c>
      <c r="J114" s="47">
        <f t="shared" si="9"/>
        <v>183.52</v>
      </c>
      <c r="K114" s="47">
        <f t="shared" si="7"/>
        <v>11.741522712731927</v>
      </c>
      <c r="L114" s="47">
        <f t="shared" si="8"/>
        <v>0.01</v>
      </c>
      <c r="M114" s="16"/>
    </row>
    <row r="115" spans="1:13" x14ac:dyDescent="0.2">
      <c r="A115" s="78">
        <v>500</v>
      </c>
      <c r="B115" s="73">
        <v>261</v>
      </c>
      <c r="C115" s="73">
        <v>-13</v>
      </c>
      <c r="E115" s="47">
        <v>70</v>
      </c>
      <c r="F115" s="47">
        <f>B87</f>
        <v>162</v>
      </c>
      <c r="G115" s="47">
        <f>C87</f>
        <v>1</v>
      </c>
      <c r="H115" s="26"/>
      <c r="I115" s="47">
        <f t="shared" si="6"/>
        <v>0.70000000000000007</v>
      </c>
      <c r="J115" s="47">
        <f t="shared" si="9"/>
        <v>201.82</v>
      </c>
      <c r="K115" s="47">
        <f t="shared" si="7"/>
        <v>12.912348048624439</v>
      </c>
      <c r="L115" s="47">
        <f t="shared" si="8"/>
        <v>0.01</v>
      </c>
      <c r="M115" s="16"/>
    </row>
    <row r="116" spans="1:13" x14ac:dyDescent="0.2">
      <c r="A116" s="78">
        <v>520</v>
      </c>
      <c r="B116" s="73">
        <v>275</v>
      </c>
      <c r="C116" s="73">
        <v>-10</v>
      </c>
      <c r="E116" s="47">
        <v>80</v>
      </c>
      <c r="F116" s="47">
        <f>B88</f>
        <v>182</v>
      </c>
      <c r="G116" s="47">
        <f>C88</f>
        <v>1</v>
      </c>
      <c r="H116" s="26"/>
      <c r="I116" s="47">
        <f t="shared" si="6"/>
        <v>0.8</v>
      </c>
      <c r="J116" s="47">
        <f t="shared" si="9"/>
        <v>226.22</v>
      </c>
      <c r="K116" s="47">
        <f t="shared" si="7"/>
        <v>14.473448496481126</v>
      </c>
      <c r="L116" s="47">
        <f t="shared" si="8"/>
        <v>0.01</v>
      </c>
      <c r="M116" s="16"/>
    </row>
    <row r="117" spans="1:13" x14ac:dyDescent="0.2">
      <c r="A117" s="78">
        <v>540</v>
      </c>
      <c r="B117" s="73">
        <v>269</v>
      </c>
      <c r="C117" s="73">
        <v>-8</v>
      </c>
      <c r="E117" s="47">
        <v>90</v>
      </c>
      <c r="F117" s="47">
        <f>B89</f>
        <v>197</v>
      </c>
      <c r="G117" s="47">
        <f>C89</f>
        <v>1</v>
      </c>
      <c r="H117" s="26"/>
      <c r="I117" s="47">
        <f t="shared" si="6"/>
        <v>0.9</v>
      </c>
      <c r="J117" s="47">
        <f t="shared" si="9"/>
        <v>244.52</v>
      </c>
      <c r="K117" s="47">
        <f t="shared" si="7"/>
        <v>15.64427383237364</v>
      </c>
      <c r="L117" s="47">
        <f t="shared" si="8"/>
        <v>0.01</v>
      </c>
      <c r="M117" s="16"/>
    </row>
    <row r="118" spans="1:13" x14ac:dyDescent="0.2">
      <c r="A118" s="78">
        <v>560</v>
      </c>
      <c r="B118" s="73">
        <v>269</v>
      </c>
      <c r="C118" s="73">
        <v>-8</v>
      </c>
      <c r="E118" s="47">
        <v>100</v>
      </c>
      <c r="F118" s="47">
        <f>B90</f>
        <v>223</v>
      </c>
      <c r="G118" s="47">
        <f>C90</f>
        <v>-1</v>
      </c>
      <c r="H118" s="26"/>
      <c r="I118" s="47">
        <f t="shared" si="6"/>
        <v>1</v>
      </c>
      <c r="J118" s="47">
        <f t="shared" si="9"/>
        <v>276.24</v>
      </c>
      <c r="K118" s="47">
        <f t="shared" si="7"/>
        <v>17.673704414587331</v>
      </c>
      <c r="L118" s="47">
        <f t="shared" si="8"/>
        <v>-0.01</v>
      </c>
      <c r="M118" s="16"/>
    </row>
    <row r="119" spans="1:13" x14ac:dyDescent="0.2">
      <c r="A119" s="78">
        <v>580</v>
      </c>
      <c r="B119" s="73">
        <v>272</v>
      </c>
      <c r="C119" s="73">
        <v>-8</v>
      </c>
      <c r="E119" s="47">
        <v>110</v>
      </c>
      <c r="F119" s="47">
        <f>B91</f>
        <v>231</v>
      </c>
      <c r="G119" s="47">
        <f>C91</f>
        <v>-4</v>
      </c>
      <c r="H119" s="26"/>
      <c r="I119" s="47">
        <f t="shared" si="6"/>
        <v>1.1000000000000001</v>
      </c>
      <c r="J119" s="47">
        <f t="shared" si="9"/>
        <v>286</v>
      </c>
      <c r="K119" s="47">
        <f t="shared" si="7"/>
        <v>18.298144593730004</v>
      </c>
      <c r="L119" s="47">
        <f t="shared" si="8"/>
        <v>-0.04</v>
      </c>
      <c r="M119" s="16"/>
    </row>
    <row r="120" spans="1:13" x14ac:dyDescent="0.2">
      <c r="A120" s="78">
        <v>600</v>
      </c>
      <c r="B120" s="73">
        <v>284</v>
      </c>
      <c r="C120" s="73">
        <v>-8</v>
      </c>
      <c r="E120" s="47">
        <v>120</v>
      </c>
      <c r="F120" s="47">
        <f>B92</f>
        <v>252</v>
      </c>
      <c r="G120" s="47">
        <f>C92</f>
        <v>-6</v>
      </c>
      <c r="H120" s="26"/>
      <c r="I120" s="47">
        <f t="shared" si="6"/>
        <v>1.2</v>
      </c>
      <c r="J120" s="47">
        <f t="shared" si="9"/>
        <v>311.62</v>
      </c>
      <c r="K120" s="47">
        <f t="shared" si="7"/>
        <v>19.937300063979524</v>
      </c>
      <c r="L120" s="47">
        <f t="shared" si="8"/>
        <v>-0.06</v>
      </c>
      <c r="M120" s="16"/>
    </row>
    <row r="121" spans="1:13" x14ac:dyDescent="0.2">
      <c r="A121" s="78">
        <v>620</v>
      </c>
      <c r="B121" s="73">
        <v>278</v>
      </c>
      <c r="C121" s="73">
        <v>-8</v>
      </c>
      <c r="E121" s="47">
        <v>130</v>
      </c>
      <c r="F121" s="47">
        <f>B93</f>
        <v>257</v>
      </c>
      <c r="G121" s="47">
        <f>C93</f>
        <v>-7</v>
      </c>
      <c r="H121" s="26"/>
      <c r="I121" s="47">
        <f t="shared" si="6"/>
        <v>1.3</v>
      </c>
      <c r="J121" s="47">
        <f t="shared" si="9"/>
        <v>317.72000000000003</v>
      </c>
      <c r="K121" s="47">
        <f t="shared" si="7"/>
        <v>20.3275751759437</v>
      </c>
      <c r="L121" s="47">
        <f t="shared" si="8"/>
        <v>-7.0000000000000007E-2</v>
      </c>
      <c r="M121" s="16"/>
    </row>
    <row r="122" spans="1:13" x14ac:dyDescent="0.2">
      <c r="A122" s="78">
        <v>640</v>
      </c>
      <c r="B122" s="73">
        <v>287</v>
      </c>
      <c r="C122" s="73">
        <v>-11</v>
      </c>
      <c r="E122" s="47">
        <v>140</v>
      </c>
      <c r="F122" s="47">
        <f>B94</f>
        <v>275</v>
      </c>
      <c r="G122" s="47">
        <f>C94</f>
        <v>-7</v>
      </c>
      <c r="H122" s="26"/>
      <c r="I122" s="47">
        <f t="shared" si="6"/>
        <v>1.4000000000000001</v>
      </c>
      <c r="J122" s="47">
        <f t="shared" si="9"/>
        <v>339.68</v>
      </c>
      <c r="K122" s="47">
        <f t="shared" si="7"/>
        <v>21.732565579014715</v>
      </c>
      <c r="L122" s="47">
        <f t="shared" si="8"/>
        <v>-7.0000000000000007E-2</v>
      </c>
      <c r="M122" s="16"/>
    </row>
    <row r="123" spans="1:13" x14ac:dyDescent="0.2">
      <c r="A123" s="78">
        <v>660</v>
      </c>
      <c r="B123" s="73">
        <v>307</v>
      </c>
      <c r="C123" s="73">
        <v>-12</v>
      </c>
      <c r="E123" s="47">
        <v>150</v>
      </c>
      <c r="F123" s="47">
        <f>B95</f>
        <v>266</v>
      </c>
      <c r="G123" s="47">
        <f>C95</f>
        <v>-8</v>
      </c>
      <c r="H123" s="26"/>
      <c r="I123" s="47">
        <f t="shared" si="6"/>
        <v>1.5</v>
      </c>
      <c r="J123" s="47">
        <f t="shared" si="9"/>
        <v>328.7</v>
      </c>
      <c r="K123" s="47">
        <f t="shared" si="7"/>
        <v>21.030070377479205</v>
      </c>
      <c r="L123" s="47">
        <f t="shared" si="8"/>
        <v>-0.08</v>
      </c>
      <c r="M123" s="16"/>
    </row>
    <row r="124" spans="1:13" x14ac:dyDescent="0.2">
      <c r="A124" s="78">
        <v>680</v>
      </c>
      <c r="B124" s="73">
        <v>307</v>
      </c>
      <c r="C124" s="73">
        <v>-12</v>
      </c>
      <c r="E124" s="47">
        <v>160</v>
      </c>
      <c r="F124" s="47">
        <f>B96</f>
        <v>281</v>
      </c>
      <c r="G124" s="47">
        <f>C96</f>
        <v>-10</v>
      </c>
      <c r="H124" s="26"/>
      <c r="I124" s="47">
        <f t="shared" si="6"/>
        <v>1.6</v>
      </c>
      <c r="J124" s="47">
        <f t="shared" si="9"/>
        <v>347</v>
      </c>
      <c r="K124" s="47">
        <f t="shared" si="7"/>
        <v>22.200895713371718</v>
      </c>
      <c r="L124" s="47">
        <f t="shared" si="8"/>
        <v>-0.1</v>
      </c>
      <c r="M124" s="16"/>
    </row>
    <row r="125" spans="1:13" x14ac:dyDescent="0.2">
      <c r="A125" s="78">
        <v>700</v>
      </c>
      <c r="B125" s="73">
        <v>327</v>
      </c>
      <c r="C125" s="73">
        <v>-14</v>
      </c>
      <c r="E125" s="47">
        <v>170</v>
      </c>
      <c r="F125" s="47">
        <f>B97</f>
        <v>281</v>
      </c>
      <c r="G125" s="47">
        <f>C97</f>
        <v>-11</v>
      </c>
      <c r="H125" s="26"/>
      <c r="I125" s="47">
        <f t="shared" si="6"/>
        <v>1.7</v>
      </c>
      <c r="J125" s="47">
        <f t="shared" si="9"/>
        <v>347</v>
      </c>
      <c r="K125" s="47">
        <f t="shared" si="7"/>
        <v>22.200895713371718</v>
      </c>
      <c r="L125" s="47">
        <f t="shared" si="8"/>
        <v>-0.11</v>
      </c>
      <c r="M125" s="16"/>
    </row>
    <row r="126" spans="1:13" x14ac:dyDescent="0.2">
      <c r="A126" s="78">
        <v>720</v>
      </c>
      <c r="B126" s="73">
        <v>336</v>
      </c>
      <c r="C126" s="73">
        <v>-15</v>
      </c>
      <c r="E126" s="47">
        <v>180</v>
      </c>
      <c r="F126" s="47">
        <f>B98</f>
        <v>295</v>
      </c>
      <c r="G126" s="47">
        <f>C98</f>
        <v>-14</v>
      </c>
      <c r="H126" s="26"/>
      <c r="I126" s="47">
        <f t="shared" si="6"/>
        <v>1.8</v>
      </c>
      <c r="J126" s="47">
        <f t="shared" si="9"/>
        <v>364.08</v>
      </c>
      <c r="K126" s="47">
        <f t="shared" si="7"/>
        <v>23.293666026871399</v>
      </c>
      <c r="L126" s="47">
        <f t="shared" si="8"/>
        <v>-0.14000000000000001</v>
      </c>
      <c r="M126" s="16"/>
    </row>
    <row r="127" spans="1:13" x14ac:dyDescent="0.2">
      <c r="A127" s="78">
        <v>740</v>
      </c>
      <c r="B127" s="73">
        <v>350</v>
      </c>
      <c r="C127" s="73">
        <v>-17</v>
      </c>
      <c r="E127" s="47">
        <v>190</v>
      </c>
      <c r="F127" s="47">
        <f>B99</f>
        <v>301</v>
      </c>
      <c r="G127" s="47">
        <f>C99</f>
        <v>-16</v>
      </c>
      <c r="H127" s="26"/>
      <c r="I127" s="47">
        <f t="shared" si="6"/>
        <v>1.9000000000000001</v>
      </c>
      <c r="J127" s="47">
        <f t="shared" si="9"/>
        <v>371.4</v>
      </c>
      <c r="K127" s="47">
        <f t="shared" si="7"/>
        <v>23.761996161228403</v>
      </c>
      <c r="L127" s="47">
        <f t="shared" si="8"/>
        <v>-0.16</v>
      </c>
      <c r="M127" s="16"/>
    </row>
    <row r="128" spans="1:13" x14ac:dyDescent="0.2">
      <c r="A128" s="78">
        <v>760</v>
      </c>
      <c r="B128" s="73">
        <v>348</v>
      </c>
      <c r="C128" s="73">
        <v>-19</v>
      </c>
      <c r="E128" s="47">
        <v>200</v>
      </c>
      <c r="F128" s="47">
        <f>B100</f>
        <v>289</v>
      </c>
      <c r="G128" s="47">
        <f>C100</f>
        <v>-19</v>
      </c>
      <c r="H128" s="26"/>
      <c r="I128" s="47">
        <f t="shared" si="6"/>
        <v>2</v>
      </c>
      <c r="J128" s="47">
        <f t="shared" si="9"/>
        <v>356.76</v>
      </c>
      <c r="K128" s="47">
        <f t="shared" si="7"/>
        <v>22.825335892514392</v>
      </c>
      <c r="L128" s="47">
        <f t="shared" si="8"/>
        <v>-0.19</v>
      </c>
      <c r="M128" s="16"/>
    </row>
    <row r="129" spans="1:13" x14ac:dyDescent="0.2">
      <c r="A129" s="78">
        <v>780</v>
      </c>
      <c r="B129" s="73">
        <v>342</v>
      </c>
      <c r="C129" s="73">
        <v>-20</v>
      </c>
      <c r="E129" s="47">
        <v>220</v>
      </c>
      <c r="F129" s="47">
        <f>B101</f>
        <v>281</v>
      </c>
      <c r="G129" s="47">
        <f>C101</f>
        <v>-19</v>
      </c>
      <c r="H129" s="26"/>
      <c r="I129" s="47">
        <f t="shared" si="6"/>
        <v>2.2000000000000002</v>
      </c>
      <c r="J129" s="47">
        <f t="shared" si="9"/>
        <v>347</v>
      </c>
      <c r="K129" s="47">
        <f t="shared" si="7"/>
        <v>22.200895713371718</v>
      </c>
      <c r="L129" s="47">
        <f t="shared" si="8"/>
        <v>-0.19</v>
      </c>
      <c r="M129" s="16"/>
    </row>
    <row r="130" spans="1:13" x14ac:dyDescent="0.2">
      <c r="A130" s="78">
        <v>800</v>
      </c>
      <c r="B130" s="73">
        <v>327</v>
      </c>
      <c r="C130" s="73">
        <v>-21</v>
      </c>
      <c r="E130" s="47">
        <v>240</v>
      </c>
      <c r="F130" s="47">
        <f>B102</f>
        <v>275</v>
      </c>
      <c r="G130" s="47">
        <f>C102</f>
        <v>-23</v>
      </c>
      <c r="H130" s="26"/>
      <c r="I130" s="47">
        <f t="shared" si="6"/>
        <v>2.4</v>
      </c>
      <c r="J130" s="47">
        <f t="shared" si="9"/>
        <v>339.68</v>
      </c>
      <c r="K130" s="47">
        <f t="shared" si="7"/>
        <v>21.732565579014715</v>
      </c>
      <c r="L130" s="47">
        <f t="shared" si="8"/>
        <v>-0.23</v>
      </c>
      <c r="M130" s="16"/>
    </row>
    <row r="131" spans="1:13" x14ac:dyDescent="0.2">
      <c r="A131" s="78">
        <v>820</v>
      </c>
      <c r="B131" s="73">
        <v>336</v>
      </c>
      <c r="C131" s="73">
        <v>-22</v>
      </c>
      <c r="E131" s="47">
        <v>260</v>
      </c>
      <c r="F131" s="47">
        <f>B103</f>
        <v>286</v>
      </c>
      <c r="G131" s="47">
        <f>C103</f>
        <v>-30</v>
      </c>
      <c r="H131" s="26"/>
      <c r="I131" s="47">
        <f t="shared" si="6"/>
        <v>2.6</v>
      </c>
      <c r="J131" s="47">
        <f t="shared" si="9"/>
        <v>353.1</v>
      </c>
      <c r="K131" s="47">
        <f t="shared" si="7"/>
        <v>22.591170825335894</v>
      </c>
      <c r="L131" s="47">
        <f t="shared" si="8"/>
        <v>-0.3</v>
      </c>
      <c r="M131" s="16"/>
    </row>
    <row r="132" spans="1:13" x14ac:dyDescent="0.2">
      <c r="A132" s="78">
        <v>840</v>
      </c>
      <c r="B132" s="73">
        <v>353</v>
      </c>
      <c r="C132" s="73">
        <v>-25</v>
      </c>
      <c r="E132" s="47">
        <v>280</v>
      </c>
      <c r="F132" s="47">
        <f>B104</f>
        <v>275</v>
      </c>
      <c r="G132" s="47">
        <f>C104</f>
        <v>-31</v>
      </c>
      <c r="H132" s="26"/>
      <c r="I132" s="47">
        <f t="shared" si="6"/>
        <v>2.8000000000000003</v>
      </c>
      <c r="J132" s="47">
        <f t="shared" si="9"/>
        <v>339.68</v>
      </c>
      <c r="K132" s="47">
        <f t="shared" si="7"/>
        <v>21.732565579014715</v>
      </c>
      <c r="L132" s="47">
        <f t="shared" si="8"/>
        <v>-0.31</v>
      </c>
      <c r="M132" s="16"/>
    </row>
    <row r="133" spans="1:13" x14ac:dyDescent="0.2">
      <c r="A133" s="78">
        <v>860</v>
      </c>
      <c r="B133" s="73">
        <v>342</v>
      </c>
      <c r="C133" s="73">
        <v>-31</v>
      </c>
      <c r="E133" s="47">
        <v>300</v>
      </c>
      <c r="F133" s="47">
        <f>B105</f>
        <v>263</v>
      </c>
      <c r="G133" s="47">
        <f>C105</f>
        <v>-30</v>
      </c>
      <c r="H133" s="26"/>
      <c r="I133" s="47">
        <f t="shared" si="6"/>
        <v>3</v>
      </c>
      <c r="J133" s="47">
        <f t="shared" si="9"/>
        <v>325.04000000000002</v>
      </c>
      <c r="K133" s="47">
        <f t="shared" si="7"/>
        <v>20.795905310300704</v>
      </c>
      <c r="L133" s="47">
        <f t="shared" si="8"/>
        <v>-0.3</v>
      </c>
      <c r="M133" s="16"/>
    </row>
    <row r="134" spans="1:13" x14ac:dyDescent="0.2">
      <c r="A134" s="78">
        <v>880</v>
      </c>
      <c r="B134" s="73">
        <v>345</v>
      </c>
      <c r="C134" s="73">
        <v>-31</v>
      </c>
      <c r="E134" s="47">
        <v>320</v>
      </c>
      <c r="F134" s="47">
        <f>B106</f>
        <v>266</v>
      </c>
      <c r="G134" s="47">
        <f>C106</f>
        <v>-30</v>
      </c>
      <c r="H134" s="26"/>
      <c r="I134" s="47">
        <f t="shared" si="6"/>
        <v>3.2</v>
      </c>
      <c r="J134" s="47">
        <f t="shared" si="9"/>
        <v>328.7</v>
      </c>
      <c r="K134" s="47">
        <f t="shared" si="7"/>
        <v>21.030070377479205</v>
      </c>
      <c r="L134" s="47">
        <f t="shared" si="8"/>
        <v>-0.3</v>
      </c>
      <c r="M134" s="16"/>
    </row>
    <row r="135" spans="1:13" x14ac:dyDescent="0.2">
      <c r="A135" s="78">
        <v>900</v>
      </c>
      <c r="B135" s="73">
        <v>350</v>
      </c>
      <c r="C135" s="73">
        <v>-31</v>
      </c>
      <c r="E135" s="47">
        <v>340</v>
      </c>
      <c r="F135" s="47">
        <f>B107</f>
        <v>257</v>
      </c>
      <c r="G135" s="47">
        <f>C107</f>
        <v>-29</v>
      </c>
      <c r="H135" s="26"/>
      <c r="I135" s="47">
        <f t="shared" si="6"/>
        <v>3.4</v>
      </c>
      <c r="J135" s="47">
        <f t="shared" si="9"/>
        <v>317.72000000000003</v>
      </c>
      <c r="K135" s="47">
        <f t="shared" si="7"/>
        <v>20.3275751759437</v>
      </c>
      <c r="L135" s="47">
        <f t="shared" si="8"/>
        <v>-0.28999999999999998</v>
      </c>
      <c r="M135" s="16"/>
    </row>
    <row r="136" spans="1:13" x14ac:dyDescent="0.2">
      <c r="A136" s="78">
        <v>950</v>
      </c>
      <c r="B136" s="73">
        <v>356</v>
      </c>
      <c r="C136" s="73">
        <v>-32</v>
      </c>
      <c r="E136" s="47">
        <v>360</v>
      </c>
      <c r="F136" s="47">
        <f>B108</f>
        <v>228</v>
      </c>
      <c r="G136" s="47">
        <f>C108</f>
        <v>-28</v>
      </c>
      <c r="H136" s="26"/>
      <c r="I136" s="47">
        <f t="shared" si="6"/>
        <v>3.6</v>
      </c>
      <c r="J136" s="47">
        <f t="shared" si="9"/>
        <v>282.33999999999997</v>
      </c>
      <c r="K136" s="47">
        <f t="shared" si="7"/>
        <v>18.063979526551503</v>
      </c>
      <c r="L136" s="47">
        <f t="shared" si="8"/>
        <v>-0.28000000000000003</v>
      </c>
      <c r="M136" s="16"/>
    </row>
    <row r="137" spans="1:13" x14ac:dyDescent="0.2">
      <c r="A137" s="78">
        <v>1000</v>
      </c>
      <c r="B137" s="73">
        <v>345</v>
      </c>
      <c r="C137" s="73">
        <v>-32</v>
      </c>
      <c r="E137" s="47">
        <v>380</v>
      </c>
      <c r="F137" s="47">
        <f>B109</f>
        <v>234</v>
      </c>
      <c r="G137" s="47">
        <f>C109</f>
        <v>-25</v>
      </c>
      <c r="H137" s="26"/>
      <c r="I137" s="47">
        <f t="shared" si="6"/>
        <v>3.8000000000000003</v>
      </c>
      <c r="J137" s="47">
        <f t="shared" si="9"/>
        <v>289.66000000000003</v>
      </c>
      <c r="K137" s="47">
        <f t="shared" si="7"/>
        <v>18.53230966090851</v>
      </c>
      <c r="L137" s="47">
        <f t="shared" si="8"/>
        <v>-0.25</v>
      </c>
      <c r="M137" s="16"/>
    </row>
    <row r="138" spans="1:13" x14ac:dyDescent="0.2">
      <c r="E138" s="47">
        <v>400</v>
      </c>
      <c r="F138" s="47">
        <f>B110</f>
        <v>243</v>
      </c>
      <c r="G138" s="47">
        <f>C110</f>
        <v>-24</v>
      </c>
      <c r="H138" s="26"/>
      <c r="I138" s="47">
        <f t="shared" si="6"/>
        <v>4</v>
      </c>
      <c r="J138" s="47">
        <f t="shared" si="9"/>
        <v>300.64</v>
      </c>
      <c r="K138" s="47">
        <f t="shared" si="7"/>
        <v>19.234804862444015</v>
      </c>
      <c r="L138" s="47">
        <f t="shared" si="8"/>
        <v>-0.24</v>
      </c>
      <c r="M138" s="16"/>
    </row>
    <row r="139" spans="1:13" x14ac:dyDescent="0.2">
      <c r="A139" s="53" t="s">
        <v>59</v>
      </c>
      <c r="C139" s="73">
        <v>6.86</v>
      </c>
      <c r="E139" s="47">
        <v>420</v>
      </c>
      <c r="F139" s="47">
        <f>B111</f>
        <v>228</v>
      </c>
      <c r="G139" s="47">
        <f>C111</f>
        <v>-21</v>
      </c>
      <c r="H139" s="26"/>
      <c r="I139" s="47">
        <f t="shared" si="6"/>
        <v>4.2</v>
      </c>
      <c r="J139" s="47">
        <f t="shared" si="9"/>
        <v>282.33999999999997</v>
      </c>
      <c r="K139" s="47">
        <f t="shared" si="7"/>
        <v>18.063979526551503</v>
      </c>
      <c r="L139" s="47">
        <f t="shared" si="8"/>
        <v>-0.21</v>
      </c>
      <c r="M139" s="16"/>
    </row>
    <row r="140" spans="1:13" x14ac:dyDescent="0.2">
      <c r="A140" s="54" t="s">
        <v>22</v>
      </c>
      <c r="B140" s="55" t="s">
        <v>24</v>
      </c>
      <c r="C140" s="54" t="s">
        <v>22</v>
      </c>
      <c r="E140" s="47">
        <v>440</v>
      </c>
      <c r="F140" s="47">
        <f>B112</f>
        <v>232</v>
      </c>
      <c r="G140" s="47">
        <f>C112</f>
        <v>-20</v>
      </c>
      <c r="H140" s="26"/>
      <c r="I140" s="47">
        <f t="shared" si="6"/>
        <v>4.4000000000000004</v>
      </c>
      <c r="J140" s="47">
        <f t="shared" si="9"/>
        <v>287.22000000000003</v>
      </c>
      <c r="K140" s="47">
        <f t="shared" si="7"/>
        <v>18.376199616122843</v>
      </c>
      <c r="L140" s="47">
        <f t="shared" si="8"/>
        <v>-0.2</v>
      </c>
      <c r="M140" s="16"/>
    </row>
    <row r="141" spans="1:13" x14ac:dyDescent="0.2">
      <c r="A141" s="56" t="s">
        <v>21</v>
      </c>
      <c r="B141" s="56" t="s">
        <v>20</v>
      </c>
      <c r="C141" s="56" t="s">
        <v>19</v>
      </c>
      <c r="E141" s="47">
        <v>460</v>
      </c>
      <c r="F141" s="47">
        <f>B113</f>
        <v>232</v>
      </c>
      <c r="G141" s="47">
        <f>C113</f>
        <v>-18</v>
      </c>
      <c r="H141" s="26"/>
      <c r="I141" s="47">
        <f t="shared" si="6"/>
        <v>4.6000000000000005</v>
      </c>
      <c r="J141" s="47">
        <f t="shared" si="9"/>
        <v>287.22000000000003</v>
      </c>
      <c r="K141" s="47">
        <f t="shared" si="7"/>
        <v>18.376199616122843</v>
      </c>
      <c r="L141" s="47">
        <f t="shared" si="8"/>
        <v>-0.18</v>
      </c>
      <c r="M141" s="16"/>
    </row>
    <row r="142" spans="1:13" x14ac:dyDescent="0.2">
      <c r="A142" s="57" t="s">
        <v>18</v>
      </c>
      <c r="B142" s="57" t="s">
        <v>61</v>
      </c>
      <c r="C142" s="57" t="s">
        <v>18</v>
      </c>
      <c r="E142" s="47">
        <v>480</v>
      </c>
      <c r="F142" s="47">
        <f>B114</f>
        <v>258</v>
      </c>
      <c r="G142" s="47">
        <f>C114</f>
        <v>-15</v>
      </c>
      <c r="H142" s="26"/>
      <c r="I142" s="47">
        <f t="shared" si="6"/>
        <v>4.8</v>
      </c>
      <c r="J142" s="47">
        <f t="shared" si="9"/>
        <v>318.94</v>
      </c>
      <c r="K142" s="47">
        <f t="shared" si="7"/>
        <v>20.405630198336532</v>
      </c>
      <c r="L142" s="47">
        <f t="shared" si="8"/>
        <v>-0.15</v>
      </c>
      <c r="M142" s="16"/>
    </row>
    <row r="143" spans="1:13" x14ac:dyDescent="0.2">
      <c r="A143" s="78">
        <v>0</v>
      </c>
      <c r="B143" s="73">
        <v>0</v>
      </c>
      <c r="C143" s="73">
        <v>0</v>
      </c>
      <c r="E143" s="47">
        <v>500</v>
      </c>
      <c r="F143" s="47">
        <f>B115</f>
        <v>261</v>
      </c>
      <c r="G143" s="47">
        <f>C115</f>
        <v>-13</v>
      </c>
      <c r="H143" s="26"/>
      <c r="I143" s="47">
        <f t="shared" si="6"/>
        <v>5</v>
      </c>
      <c r="J143" s="47">
        <f t="shared" si="9"/>
        <v>322.60000000000002</v>
      </c>
      <c r="K143" s="47">
        <f t="shared" si="7"/>
        <v>20.639795265515037</v>
      </c>
      <c r="L143" s="47">
        <f t="shared" si="8"/>
        <v>-0.13</v>
      </c>
      <c r="M143" s="16"/>
    </row>
    <row r="144" spans="1:13" x14ac:dyDescent="0.2">
      <c r="A144" s="78">
        <v>10</v>
      </c>
      <c r="B144" s="73">
        <v>124</v>
      </c>
      <c r="C144" s="73">
        <v>0</v>
      </c>
      <c r="E144" s="47">
        <v>520</v>
      </c>
      <c r="F144" s="47">
        <f>B116</f>
        <v>275</v>
      </c>
      <c r="G144" s="47">
        <f>C116</f>
        <v>-10</v>
      </c>
      <c r="H144" s="26"/>
      <c r="I144" s="47">
        <f t="shared" si="6"/>
        <v>5.2</v>
      </c>
      <c r="J144" s="47">
        <f t="shared" si="9"/>
        <v>339.68</v>
      </c>
      <c r="K144" s="47">
        <f t="shared" si="7"/>
        <v>21.732565579014715</v>
      </c>
      <c r="L144" s="47">
        <f t="shared" si="8"/>
        <v>-0.1</v>
      </c>
      <c r="M144" s="16"/>
    </row>
    <row r="145" spans="1:13" x14ac:dyDescent="0.2">
      <c r="A145" s="78">
        <v>20</v>
      </c>
      <c r="B145" s="73">
        <v>147</v>
      </c>
      <c r="C145" s="73">
        <v>0</v>
      </c>
      <c r="E145" s="47">
        <v>540</v>
      </c>
      <c r="F145" s="47">
        <f>B117</f>
        <v>269</v>
      </c>
      <c r="G145" s="47">
        <f>C117</f>
        <v>-8</v>
      </c>
      <c r="H145" s="26"/>
      <c r="I145" s="47">
        <f t="shared" si="6"/>
        <v>5.4</v>
      </c>
      <c r="J145" s="47">
        <f t="shared" si="9"/>
        <v>332.36</v>
      </c>
      <c r="K145" s="47">
        <f t="shared" si="7"/>
        <v>21.264235444657711</v>
      </c>
      <c r="L145" s="47">
        <f t="shared" si="8"/>
        <v>-0.08</v>
      </c>
      <c r="M145" s="16"/>
    </row>
    <row r="146" spans="1:13" x14ac:dyDescent="0.2">
      <c r="A146" s="78">
        <v>30</v>
      </c>
      <c r="B146" s="73">
        <v>171</v>
      </c>
      <c r="C146" s="73">
        <v>-2</v>
      </c>
      <c r="E146" s="47">
        <v>560</v>
      </c>
      <c r="F146" s="47">
        <f>B118</f>
        <v>269</v>
      </c>
      <c r="G146" s="47">
        <f>C118</f>
        <v>-8</v>
      </c>
      <c r="H146" s="26"/>
      <c r="I146" s="47">
        <f t="shared" si="6"/>
        <v>5.6000000000000005</v>
      </c>
      <c r="J146" s="47">
        <f t="shared" si="9"/>
        <v>332.36</v>
      </c>
      <c r="K146" s="47">
        <f t="shared" si="7"/>
        <v>21.264235444657711</v>
      </c>
      <c r="L146" s="47">
        <f t="shared" si="8"/>
        <v>-0.08</v>
      </c>
      <c r="M146" s="16"/>
    </row>
    <row r="147" spans="1:13" x14ac:dyDescent="0.2">
      <c r="A147" s="78">
        <v>40</v>
      </c>
      <c r="B147" s="73">
        <v>211</v>
      </c>
      <c r="C147" s="73">
        <v>-2</v>
      </c>
      <c r="E147" s="47">
        <v>580</v>
      </c>
      <c r="F147" s="47">
        <f>B119</f>
        <v>272</v>
      </c>
      <c r="G147" s="47">
        <f>C119</f>
        <v>-8</v>
      </c>
      <c r="H147" s="26"/>
      <c r="I147" s="47">
        <f t="shared" si="6"/>
        <v>5.8</v>
      </c>
      <c r="J147" s="47">
        <f t="shared" si="9"/>
        <v>336.02</v>
      </c>
      <c r="K147" s="47">
        <f t="shared" si="7"/>
        <v>21.498400511836209</v>
      </c>
      <c r="L147" s="47">
        <f t="shared" si="8"/>
        <v>-0.08</v>
      </c>
      <c r="M147" s="16"/>
    </row>
    <row r="148" spans="1:13" x14ac:dyDescent="0.2">
      <c r="A148" s="78">
        <v>50</v>
      </c>
      <c r="B148" s="73">
        <v>245</v>
      </c>
      <c r="C148" s="73">
        <v>-2</v>
      </c>
      <c r="E148" s="47">
        <v>600</v>
      </c>
      <c r="F148" s="47">
        <f>B120</f>
        <v>284</v>
      </c>
      <c r="G148" s="47">
        <f>C120</f>
        <v>-8</v>
      </c>
      <c r="H148" s="26"/>
      <c r="I148" s="47">
        <f t="shared" si="6"/>
        <v>6</v>
      </c>
      <c r="J148" s="47">
        <f t="shared" si="9"/>
        <v>350.66</v>
      </c>
      <c r="K148" s="47">
        <f t="shared" si="7"/>
        <v>22.435060780550224</v>
      </c>
      <c r="L148" s="47">
        <f t="shared" si="8"/>
        <v>-0.08</v>
      </c>
      <c r="M148" s="16"/>
    </row>
    <row r="149" spans="1:13" x14ac:dyDescent="0.2">
      <c r="A149" s="78">
        <v>60</v>
      </c>
      <c r="B149" s="73">
        <v>261</v>
      </c>
      <c r="C149" s="73">
        <v>-2</v>
      </c>
      <c r="E149" s="47">
        <v>620</v>
      </c>
      <c r="F149" s="47">
        <f>B121</f>
        <v>278</v>
      </c>
      <c r="G149" s="47">
        <f>C121</f>
        <v>-8</v>
      </c>
      <c r="H149" s="26"/>
      <c r="I149" s="47">
        <f t="shared" si="6"/>
        <v>6.2</v>
      </c>
      <c r="J149" s="47">
        <f t="shared" si="9"/>
        <v>343.34</v>
      </c>
      <c r="K149" s="47">
        <f t="shared" si="7"/>
        <v>21.966730646193216</v>
      </c>
      <c r="L149" s="47">
        <f t="shared" si="8"/>
        <v>-0.08</v>
      </c>
      <c r="M149" s="16"/>
    </row>
    <row r="150" spans="1:13" x14ac:dyDescent="0.2">
      <c r="A150" s="78">
        <v>70</v>
      </c>
      <c r="B150" s="73">
        <v>266</v>
      </c>
      <c r="C150" s="73">
        <v>-1</v>
      </c>
      <c r="E150" s="47">
        <v>640</v>
      </c>
      <c r="F150" s="47">
        <f>B122</f>
        <v>287</v>
      </c>
      <c r="G150" s="47">
        <f>C122</f>
        <v>-11</v>
      </c>
      <c r="H150" s="26"/>
      <c r="I150" s="47">
        <f t="shared" si="6"/>
        <v>6.4</v>
      </c>
      <c r="J150" s="47">
        <f t="shared" si="9"/>
        <v>354.32</v>
      </c>
      <c r="K150" s="47">
        <f t="shared" si="7"/>
        <v>22.669225847728725</v>
      </c>
      <c r="L150" s="47">
        <f t="shared" si="8"/>
        <v>-0.11</v>
      </c>
      <c r="M150" s="16"/>
    </row>
    <row r="151" spans="1:13" x14ac:dyDescent="0.2">
      <c r="A151" s="78">
        <v>80</v>
      </c>
      <c r="B151" s="73">
        <v>307</v>
      </c>
      <c r="C151" s="73">
        <v>-2</v>
      </c>
      <c r="E151" s="47">
        <v>660</v>
      </c>
      <c r="F151" s="47">
        <f>B123</f>
        <v>307</v>
      </c>
      <c r="G151" s="47">
        <f>C123</f>
        <v>-12</v>
      </c>
      <c r="H151" s="26"/>
      <c r="I151" s="47">
        <f t="shared" si="6"/>
        <v>6.6000000000000005</v>
      </c>
      <c r="J151" s="47">
        <f t="shared" si="9"/>
        <v>378.71999999999997</v>
      </c>
      <c r="K151" s="47">
        <f t="shared" si="7"/>
        <v>24.23032629558541</v>
      </c>
      <c r="L151" s="47">
        <f t="shared" si="8"/>
        <v>-0.12</v>
      </c>
      <c r="M151" s="16"/>
    </row>
    <row r="152" spans="1:13" x14ac:dyDescent="0.2">
      <c r="A152" s="78">
        <v>90</v>
      </c>
      <c r="B152" s="73">
        <v>316</v>
      </c>
      <c r="C152" s="73">
        <v>-6</v>
      </c>
      <c r="E152" s="47">
        <v>680</v>
      </c>
      <c r="F152" s="47">
        <f>B124</f>
        <v>307</v>
      </c>
      <c r="G152" s="47">
        <f>C124</f>
        <v>-12</v>
      </c>
      <c r="H152" s="26"/>
      <c r="I152" s="47">
        <f t="shared" si="6"/>
        <v>6.8</v>
      </c>
      <c r="J152" s="47">
        <f t="shared" si="9"/>
        <v>378.71999999999997</v>
      </c>
      <c r="K152" s="47">
        <f t="shared" si="7"/>
        <v>24.23032629558541</v>
      </c>
      <c r="L152" s="47">
        <f t="shared" si="8"/>
        <v>-0.12</v>
      </c>
      <c r="M152" s="16"/>
    </row>
    <row r="153" spans="1:13" x14ac:dyDescent="0.2">
      <c r="A153" s="78">
        <v>100</v>
      </c>
      <c r="B153" s="73">
        <v>333</v>
      </c>
      <c r="C153" s="73">
        <v>-6</v>
      </c>
      <c r="E153" s="47">
        <v>700</v>
      </c>
      <c r="F153" s="47">
        <f>B125</f>
        <v>327</v>
      </c>
      <c r="G153" s="47">
        <f>C125</f>
        <v>-14</v>
      </c>
      <c r="H153" s="48"/>
      <c r="I153" s="47">
        <f t="shared" si="6"/>
        <v>7</v>
      </c>
      <c r="J153" s="47">
        <f t="shared" si="9"/>
        <v>403.12</v>
      </c>
      <c r="K153" s="47">
        <f t="shared" si="7"/>
        <v>25.791426743442099</v>
      </c>
      <c r="L153" s="47">
        <f t="shared" si="8"/>
        <v>-0.14000000000000001</v>
      </c>
      <c r="M153" s="16"/>
    </row>
    <row r="154" spans="1:13" x14ac:dyDescent="0.2">
      <c r="A154" s="78">
        <v>110</v>
      </c>
      <c r="B154" s="73">
        <v>350</v>
      </c>
      <c r="C154" s="73">
        <v>-7</v>
      </c>
      <c r="E154" s="47">
        <v>720</v>
      </c>
      <c r="F154" s="47">
        <f>B126</f>
        <v>336</v>
      </c>
      <c r="G154" s="47">
        <f>C126</f>
        <v>-15</v>
      </c>
      <c r="H154" s="26"/>
      <c r="I154" s="47">
        <f t="shared" si="6"/>
        <v>7.2</v>
      </c>
      <c r="J154" s="47">
        <f t="shared" si="9"/>
        <v>414.1</v>
      </c>
      <c r="K154" s="47">
        <f t="shared" si="7"/>
        <v>26.493921944977608</v>
      </c>
      <c r="L154" s="47">
        <f t="shared" si="8"/>
        <v>-0.15</v>
      </c>
      <c r="M154" s="16"/>
    </row>
    <row r="155" spans="1:13" x14ac:dyDescent="0.2">
      <c r="A155" s="78">
        <v>120</v>
      </c>
      <c r="B155" s="73">
        <v>368</v>
      </c>
      <c r="C155" s="73">
        <v>-8</v>
      </c>
      <c r="E155" s="47">
        <v>740</v>
      </c>
      <c r="F155" s="47">
        <f>B127</f>
        <v>350</v>
      </c>
      <c r="G155" s="47">
        <f>C127</f>
        <v>-17</v>
      </c>
      <c r="H155" s="26"/>
      <c r="I155" s="47">
        <f t="shared" si="6"/>
        <v>7.4</v>
      </c>
      <c r="J155" s="47">
        <f t="shared" si="9"/>
        <v>431.18</v>
      </c>
      <c r="K155" s="47">
        <f t="shared" si="7"/>
        <v>27.586692258477285</v>
      </c>
      <c r="L155" s="47">
        <f t="shared" si="8"/>
        <v>-0.17</v>
      </c>
      <c r="M155" s="16"/>
    </row>
    <row r="156" spans="1:13" x14ac:dyDescent="0.2">
      <c r="A156" s="78">
        <v>130</v>
      </c>
      <c r="B156" s="73">
        <v>371</v>
      </c>
      <c r="C156" s="73">
        <v>-9</v>
      </c>
      <c r="E156" s="47">
        <v>760</v>
      </c>
      <c r="F156" s="47">
        <f>B128</f>
        <v>348</v>
      </c>
      <c r="G156" s="47">
        <f>C128</f>
        <v>-19</v>
      </c>
      <c r="H156" s="26"/>
      <c r="I156" s="47">
        <f t="shared" si="6"/>
        <v>7.6000000000000005</v>
      </c>
      <c r="J156" s="47">
        <f t="shared" si="9"/>
        <v>428.74</v>
      </c>
      <c r="K156" s="47">
        <f t="shared" si="7"/>
        <v>27.430582213691618</v>
      </c>
      <c r="L156" s="47">
        <f t="shared" si="8"/>
        <v>-0.19</v>
      </c>
      <c r="M156" s="16"/>
    </row>
    <row r="157" spans="1:13" x14ac:dyDescent="0.2">
      <c r="A157" s="78">
        <v>140</v>
      </c>
      <c r="B157" s="73">
        <v>374</v>
      </c>
      <c r="C157" s="73">
        <v>-9</v>
      </c>
      <c r="E157" s="47">
        <v>780</v>
      </c>
      <c r="F157" s="47">
        <f>B129</f>
        <v>342</v>
      </c>
      <c r="G157" s="47">
        <f>C129</f>
        <v>-20</v>
      </c>
      <c r="H157" s="26"/>
      <c r="I157" s="47">
        <f t="shared" si="6"/>
        <v>7.8</v>
      </c>
      <c r="J157" s="47">
        <f t="shared" si="9"/>
        <v>421.42</v>
      </c>
      <c r="K157" s="47">
        <f t="shared" si="7"/>
        <v>26.962252079334611</v>
      </c>
      <c r="L157" s="47">
        <f t="shared" si="8"/>
        <v>-0.2</v>
      </c>
      <c r="M157" s="16"/>
    </row>
    <row r="158" spans="1:13" x14ac:dyDescent="0.2">
      <c r="A158" s="78">
        <v>150</v>
      </c>
      <c r="B158" s="73">
        <v>369</v>
      </c>
      <c r="C158" s="73">
        <v>-9</v>
      </c>
      <c r="E158" s="47">
        <v>800</v>
      </c>
      <c r="F158" s="47">
        <f>B130</f>
        <v>327</v>
      </c>
      <c r="G158" s="47">
        <f>C130</f>
        <v>-21</v>
      </c>
      <c r="H158" s="48"/>
      <c r="I158" s="47">
        <f t="shared" si="6"/>
        <v>8</v>
      </c>
      <c r="J158" s="47">
        <f t="shared" si="9"/>
        <v>403.12</v>
      </c>
      <c r="K158" s="47">
        <f t="shared" si="7"/>
        <v>25.791426743442099</v>
      </c>
      <c r="L158" s="47">
        <f t="shared" si="8"/>
        <v>-0.21</v>
      </c>
      <c r="M158" s="16"/>
    </row>
    <row r="159" spans="1:13" x14ac:dyDescent="0.2">
      <c r="A159" s="78">
        <v>160</v>
      </c>
      <c r="B159" s="73">
        <v>411</v>
      </c>
      <c r="C159" s="73">
        <v>-10</v>
      </c>
      <c r="E159" s="47">
        <v>820</v>
      </c>
      <c r="F159" s="47">
        <f>B131</f>
        <v>336</v>
      </c>
      <c r="G159" s="47">
        <f>C131</f>
        <v>-22</v>
      </c>
      <c r="H159" s="26"/>
      <c r="I159" s="47">
        <f t="shared" si="6"/>
        <v>8.1999999999999993</v>
      </c>
      <c r="J159" s="47">
        <f t="shared" si="9"/>
        <v>414.1</v>
      </c>
      <c r="K159" s="47">
        <f t="shared" si="7"/>
        <v>26.493921944977608</v>
      </c>
      <c r="L159" s="47">
        <f t="shared" si="8"/>
        <v>-0.22</v>
      </c>
      <c r="M159" s="16"/>
    </row>
    <row r="160" spans="1:13" x14ac:dyDescent="0.2">
      <c r="A160" s="78">
        <v>170</v>
      </c>
      <c r="B160" s="73">
        <v>397</v>
      </c>
      <c r="C160" s="73">
        <v>-10</v>
      </c>
      <c r="E160" s="47">
        <v>840</v>
      </c>
      <c r="F160" s="47">
        <f>B132</f>
        <v>353</v>
      </c>
      <c r="G160" s="47">
        <f>C132</f>
        <v>-25</v>
      </c>
      <c r="H160" s="26"/>
      <c r="I160" s="47">
        <f t="shared" si="6"/>
        <v>8.4</v>
      </c>
      <c r="J160" s="47">
        <f t="shared" si="9"/>
        <v>434.84</v>
      </c>
      <c r="K160" s="47">
        <f t="shared" si="7"/>
        <v>27.820857325655787</v>
      </c>
      <c r="L160" s="47">
        <f t="shared" si="8"/>
        <v>-0.25</v>
      </c>
      <c r="M160" s="16"/>
    </row>
    <row r="161" spans="1:13" x14ac:dyDescent="0.2">
      <c r="A161" s="78">
        <v>180</v>
      </c>
      <c r="B161" s="73">
        <v>423</v>
      </c>
      <c r="C161" s="73">
        <v>-11</v>
      </c>
      <c r="E161" s="47">
        <v>860</v>
      </c>
      <c r="F161" s="47">
        <f>B133</f>
        <v>342</v>
      </c>
      <c r="G161" s="47">
        <f>C133</f>
        <v>-31</v>
      </c>
      <c r="H161" s="26"/>
      <c r="I161" s="47">
        <f t="shared" si="6"/>
        <v>8.6</v>
      </c>
      <c r="J161" s="47">
        <f t="shared" si="9"/>
        <v>421.42</v>
      </c>
      <c r="K161" s="47">
        <f t="shared" si="7"/>
        <v>26.962252079334611</v>
      </c>
      <c r="L161" s="47">
        <f t="shared" si="8"/>
        <v>-0.31</v>
      </c>
      <c r="M161" s="16"/>
    </row>
    <row r="162" spans="1:13" x14ac:dyDescent="0.2">
      <c r="A162" s="78">
        <v>190</v>
      </c>
      <c r="B162" s="73">
        <v>443</v>
      </c>
      <c r="C162" s="73">
        <v>-11</v>
      </c>
      <c r="E162" s="47">
        <v>880</v>
      </c>
      <c r="F162" s="47">
        <f>B134</f>
        <v>345</v>
      </c>
      <c r="G162" s="47">
        <f>C134</f>
        <v>-31</v>
      </c>
      <c r="H162" s="26"/>
      <c r="I162" s="47">
        <f t="shared" si="6"/>
        <v>8.8000000000000007</v>
      </c>
      <c r="J162" s="47">
        <f t="shared" si="9"/>
        <v>425.08</v>
      </c>
      <c r="K162" s="47">
        <f t="shared" si="7"/>
        <v>27.196417146513113</v>
      </c>
      <c r="L162" s="47">
        <f t="shared" si="8"/>
        <v>-0.31</v>
      </c>
      <c r="M162" s="16"/>
    </row>
    <row r="163" spans="1:13" x14ac:dyDescent="0.2">
      <c r="A163" s="78">
        <v>200</v>
      </c>
      <c r="B163" s="73">
        <v>461</v>
      </c>
      <c r="C163" s="73">
        <v>-14</v>
      </c>
      <c r="E163" s="47">
        <v>900</v>
      </c>
      <c r="F163" s="47">
        <f>B135</f>
        <v>350</v>
      </c>
      <c r="G163" s="47">
        <f>C135</f>
        <v>-31</v>
      </c>
      <c r="H163" s="26"/>
      <c r="I163" s="47">
        <f t="shared" si="6"/>
        <v>9</v>
      </c>
      <c r="J163" s="47">
        <f t="shared" si="9"/>
        <v>431.18</v>
      </c>
      <c r="K163" s="47">
        <f t="shared" si="7"/>
        <v>27.586692258477285</v>
      </c>
      <c r="L163" s="47">
        <f t="shared" si="8"/>
        <v>-0.31</v>
      </c>
      <c r="M163" s="16"/>
    </row>
    <row r="164" spans="1:13" x14ac:dyDescent="0.2">
      <c r="A164" s="78">
        <v>220</v>
      </c>
      <c r="B164" s="73">
        <v>435</v>
      </c>
      <c r="C164" s="73">
        <v>-12</v>
      </c>
      <c r="E164" s="47">
        <v>950</v>
      </c>
      <c r="F164" s="47">
        <f>B136</f>
        <v>356</v>
      </c>
      <c r="G164" s="47">
        <f>C136</f>
        <v>-32</v>
      </c>
      <c r="H164" s="26"/>
      <c r="I164" s="47">
        <f t="shared" si="6"/>
        <v>9.5</v>
      </c>
      <c r="J164" s="47">
        <f t="shared" si="9"/>
        <v>438.5</v>
      </c>
      <c r="K164" s="47">
        <f t="shared" si="7"/>
        <v>28.055022392834292</v>
      </c>
      <c r="L164" s="47">
        <f t="shared" si="8"/>
        <v>-0.32</v>
      </c>
      <c r="M164" s="16"/>
    </row>
    <row r="165" spans="1:13" x14ac:dyDescent="0.2">
      <c r="A165" s="78">
        <v>240</v>
      </c>
      <c r="B165" s="73">
        <v>446</v>
      </c>
      <c r="C165" s="73">
        <v>-12</v>
      </c>
      <c r="E165" s="47">
        <v>1000</v>
      </c>
      <c r="F165" s="47">
        <f>B137</f>
        <v>345</v>
      </c>
      <c r="G165" s="47">
        <f>C137</f>
        <v>-32</v>
      </c>
      <c r="H165" s="26"/>
      <c r="I165" s="47">
        <f t="shared" si="6"/>
        <v>10</v>
      </c>
      <c r="J165" s="47">
        <f t="shared" si="9"/>
        <v>425.08</v>
      </c>
      <c r="K165" s="47">
        <f t="shared" si="7"/>
        <v>27.196417146513113</v>
      </c>
      <c r="L165" s="47">
        <f t="shared" si="8"/>
        <v>-0.32</v>
      </c>
      <c r="M165" s="16"/>
    </row>
    <row r="166" spans="1:13" x14ac:dyDescent="0.2">
      <c r="A166" s="78">
        <v>260</v>
      </c>
      <c r="B166" s="73">
        <v>461</v>
      </c>
      <c r="C166" s="73">
        <v>-12</v>
      </c>
      <c r="E166" s="16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">
      <c r="A167" s="78">
        <v>280</v>
      </c>
      <c r="B167" s="73">
        <v>445</v>
      </c>
      <c r="C167" s="73">
        <v>-12</v>
      </c>
      <c r="E167" s="92" t="str">
        <f>+E83</f>
        <v>ENSAYO DE CORTE DIRECTO PARA DISCONTINUIDADES ARTIFICIALES EN ROCAS</v>
      </c>
      <c r="F167" s="92"/>
      <c r="G167" s="92"/>
      <c r="H167" s="92"/>
      <c r="I167" s="92"/>
      <c r="J167" s="92"/>
      <c r="K167" s="92"/>
      <c r="L167" s="92"/>
      <c r="M167" s="16"/>
    </row>
    <row r="168" spans="1:13" x14ac:dyDescent="0.2">
      <c r="A168" s="78">
        <v>300</v>
      </c>
      <c r="B168" s="73">
        <v>452</v>
      </c>
      <c r="C168" s="73">
        <v>-13</v>
      </c>
      <c r="E168" s="16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">
      <c r="A169" s="78">
        <v>320</v>
      </c>
      <c r="B169" s="73">
        <v>446</v>
      </c>
      <c r="C169" s="73">
        <v>-12</v>
      </c>
      <c r="E169" s="12" t="s">
        <v>0</v>
      </c>
      <c r="F169" s="17" t="str">
        <f>+F85</f>
        <v>C1BH-L12-L10-3+780-D</v>
      </c>
      <c r="G169" s="18"/>
      <c r="H169" s="18"/>
      <c r="I169" s="18"/>
      <c r="J169" s="18"/>
      <c r="K169" s="18"/>
      <c r="L169" s="19"/>
      <c r="M169" s="92"/>
    </row>
    <row r="170" spans="1:13" x14ac:dyDescent="0.2">
      <c r="A170" s="78">
        <v>340</v>
      </c>
      <c r="B170" s="73">
        <v>462</v>
      </c>
      <c r="C170" s="73">
        <v>-11</v>
      </c>
      <c r="E170" s="11" t="s">
        <v>39</v>
      </c>
      <c r="F170" s="17" t="str">
        <f>+F86</f>
        <v>1.914.650-G</v>
      </c>
      <c r="G170" s="21"/>
      <c r="H170" s="21"/>
      <c r="I170" s="21"/>
      <c r="J170" s="21"/>
      <c r="K170" s="21"/>
      <c r="L170" s="22"/>
      <c r="M170" s="16"/>
    </row>
    <row r="171" spans="1:13" x14ac:dyDescent="0.2">
      <c r="A171" s="78">
        <v>360</v>
      </c>
      <c r="B171" s="73">
        <v>443</v>
      </c>
      <c r="C171" s="73">
        <v>-10</v>
      </c>
      <c r="E171" s="11" t="s">
        <v>1</v>
      </c>
      <c r="F171" s="17" t="str">
        <f>+F87</f>
        <v>-</v>
      </c>
      <c r="G171" s="21"/>
      <c r="H171" s="21"/>
      <c r="I171" s="21"/>
      <c r="J171" s="21"/>
      <c r="K171" s="21"/>
      <c r="L171" s="22"/>
      <c r="M171" s="16"/>
    </row>
    <row r="172" spans="1:13" x14ac:dyDescent="0.2">
      <c r="A172" s="78">
        <v>380</v>
      </c>
      <c r="B172" s="73">
        <v>440</v>
      </c>
      <c r="C172" s="73">
        <v>-9</v>
      </c>
      <c r="E172" s="23" t="s">
        <v>38</v>
      </c>
      <c r="F172" s="100">
        <f>+F88</f>
        <v>45449</v>
      </c>
      <c r="G172" s="24"/>
      <c r="H172" s="24"/>
      <c r="I172" s="24"/>
      <c r="J172" s="24"/>
      <c r="K172" s="24"/>
      <c r="L172" s="25"/>
      <c r="M172" s="16"/>
    </row>
    <row r="173" spans="1:13" x14ac:dyDescent="0.2">
      <c r="A173" s="78">
        <v>400</v>
      </c>
      <c r="B173" s="73">
        <v>440</v>
      </c>
      <c r="C173" s="73">
        <v>-10</v>
      </c>
      <c r="E173" s="23" t="s">
        <v>37</v>
      </c>
      <c r="F173" s="101">
        <f>+F89</f>
        <v>45449</v>
      </c>
      <c r="G173" s="24"/>
      <c r="H173" s="24"/>
      <c r="I173" s="24"/>
      <c r="J173" s="24"/>
      <c r="K173" s="24"/>
      <c r="L173" s="25"/>
      <c r="M173" s="16"/>
    </row>
    <row r="174" spans="1:13" x14ac:dyDescent="0.2">
      <c r="A174" s="78">
        <v>420</v>
      </c>
      <c r="B174" s="73">
        <v>449</v>
      </c>
      <c r="C174" s="73">
        <v>-10</v>
      </c>
      <c r="E174" s="26"/>
      <c r="F174" s="27"/>
      <c r="G174" s="26"/>
      <c r="H174" s="16"/>
      <c r="I174" s="16"/>
      <c r="J174" s="16"/>
      <c r="K174" s="16"/>
      <c r="L174" s="16"/>
      <c r="M174" s="16"/>
    </row>
    <row r="175" spans="1:13" x14ac:dyDescent="0.2">
      <c r="A175" s="78">
        <v>440</v>
      </c>
      <c r="B175" s="73">
        <v>432</v>
      </c>
      <c r="C175" s="73">
        <v>-9</v>
      </c>
      <c r="E175" s="23" t="s">
        <v>36</v>
      </c>
      <c r="F175" s="15" t="str">
        <f>+F91</f>
        <v>C1BH-L12-L10-3+780-D (25,8-25,16)</v>
      </c>
      <c r="G175" s="21"/>
      <c r="H175" s="21"/>
      <c r="I175" s="21"/>
      <c r="J175" s="21"/>
      <c r="K175" s="21"/>
      <c r="L175" s="22"/>
      <c r="M175" s="50"/>
    </row>
    <row r="176" spans="1:13" x14ac:dyDescent="0.2">
      <c r="A176" s="78">
        <v>460</v>
      </c>
      <c r="B176" s="73">
        <v>449</v>
      </c>
      <c r="C176" s="73">
        <v>-9</v>
      </c>
      <c r="E176" s="10" t="s">
        <v>3</v>
      </c>
      <c r="F176" s="15" t="str">
        <f>+F92</f>
        <v>Lapillita lítica</v>
      </c>
      <c r="G176" s="21"/>
      <c r="H176" s="28"/>
      <c r="I176" s="28"/>
      <c r="J176" s="28"/>
      <c r="K176" s="28"/>
      <c r="L176" s="29"/>
      <c r="M176" s="50"/>
    </row>
    <row r="177" spans="1:13" x14ac:dyDescent="0.2">
      <c r="A177" s="78">
        <v>480</v>
      </c>
      <c r="B177" s="73">
        <v>440</v>
      </c>
      <c r="C177" s="73">
        <v>-8</v>
      </c>
      <c r="E177" s="30" t="s">
        <v>4</v>
      </c>
      <c r="F177" s="15" t="str">
        <f>+F93</f>
        <v>Zeolitas</v>
      </c>
      <c r="G177" s="21"/>
      <c r="H177" s="28"/>
      <c r="I177" s="28"/>
      <c r="J177" s="28"/>
      <c r="K177" s="28"/>
      <c r="L177" s="29"/>
      <c r="M177" s="50"/>
    </row>
    <row r="178" spans="1:13" x14ac:dyDescent="0.2">
      <c r="A178" s="78">
        <v>500</v>
      </c>
      <c r="B178" s="73">
        <v>464</v>
      </c>
      <c r="C178" s="73">
        <v>-8</v>
      </c>
      <c r="E178" s="30" t="s">
        <v>5</v>
      </c>
      <c r="F178" s="15" t="str">
        <f>+F94</f>
        <v>Zeolitización y oxidación</v>
      </c>
      <c r="G178" s="21"/>
      <c r="H178" s="28"/>
      <c r="I178" s="28"/>
      <c r="J178" s="28"/>
      <c r="K178" s="28"/>
      <c r="L178" s="29"/>
      <c r="M178" s="50"/>
    </row>
    <row r="179" spans="1:13" x14ac:dyDescent="0.2">
      <c r="A179" s="78">
        <v>520</v>
      </c>
      <c r="B179" s="73">
        <v>481</v>
      </c>
      <c r="C179" s="73">
        <v>-8</v>
      </c>
      <c r="E179" s="26"/>
      <c r="F179" s="26"/>
      <c r="G179" s="26"/>
      <c r="H179" s="16"/>
      <c r="I179" s="16"/>
      <c r="J179" s="16"/>
      <c r="K179" s="16"/>
      <c r="L179" s="16"/>
      <c r="M179" s="50"/>
    </row>
    <row r="180" spans="1:13" x14ac:dyDescent="0.2">
      <c r="A180" s="78">
        <v>540</v>
      </c>
      <c r="B180" s="73">
        <v>484</v>
      </c>
      <c r="C180" s="73">
        <v>-8</v>
      </c>
      <c r="E180" s="31" t="s">
        <v>35</v>
      </c>
      <c r="F180" s="26"/>
      <c r="G180" s="26"/>
      <c r="H180" s="16"/>
      <c r="I180" s="16"/>
      <c r="J180" s="16"/>
      <c r="K180" s="16"/>
      <c r="L180" s="16"/>
      <c r="M180" s="50"/>
    </row>
    <row r="181" spans="1:13" x14ac:dyDescent="0.2">
      <c r="A181" s="78">
        <v>560</v>
      </c>
      <c r="B181" s="73">
        <v>464</v>
      </c>
      <c r="C181" s="73">
        <v>-8</v>
      </c>
      <c r="E181" s="32" t="s">
        <v>34</v>
      </c>
      <c r="F181" s="33" t="s">
        <v>27</v>
      </c>
      <c r="G181" s="38">
        <f>B11</f>
        <v>15.63</v>
      </c>
      <c r="H181" s="16"/>
      <c r="I181" s="16"/>
      <c r="J181" s="16"/>
      <c r="K181" s="16"/>
      <c r="L181" s="16"/>
      <c r="M181" s="50"/>
    </row>
    <row r="182" spans="1:13" x14ac:dyDescent="0.2">
      <c r="A182" s="78">
        <v>580</v>
      </c>
      <c r="B182" s="73">
        <v>507</v>
      </c>
      <c r="C182" s="73">
        <v>-6</v>
      </c>
      <c r="E182" s="49" t="s">
        <v>33</v>
      </c>
      <c r="F182" s="37" t="s">
        <v>14</v>
      </c>
      <c r="G182" s="38">
        <f>G183/G181</f>
        <v>51.025340053001351</v>
      </c>
      <c r="H182" s="39" t="s">
        <v>14</v>
      </c>
      <c r="I182" s="16"/>
      <c r="J182" s="16"/>
      <c r="K182" s="16"/>
      <c r="L182" s="16"/>
      <c r="M182" s="50"/>
    </row>
    <row r="183" spans="1:13" x14ac:dyDescent="0.2">
      <c r="A183" s="78">
        <v>600</v>
      </c>
      <c r="B183" s="73">
        <v>490</v>
      </c>
      <c r="C183" s="73">
        <v>-5</v>
      </c>
      <c r="E183" s="32" t="s">
        <v>32</v>
      </c>
      <c r="F183" s="33" t="s">
        <v>31</v>
      </c>
      <c r="G183" s="38">
        <f>+G186*$G$185</f>
        <v>797.52606502841115</v>
      </c>
      <c r="H183" s="40"/>
      <c r="I183" s="16"/>
      <c r="J183" s="16"/>
      <c r="K183" s="16"/>
      <c r="L183" s="16"/>
      <c r="M183" s="16"/>
    </row>
    <row r="184" spans="1:13" x14ac:dyDescent="0.2">
      <c r="A184" s="78">
        <v>620</v>
      </c>
      <c r="B184" s="73">
        <v>490</v>
      </c>
      <c r="C184" s="73">
        <v>0</v>
      </c>
      <c r="E184" s="32" t="s">
        <v>30</v>
      </c>
      <c r="F184" s="37" t="s">
        <v>29</v>
      </c>
      <c r="G184" s="38">
        <f>3.81</f>
        <v>3.81</v>
      </c>
      <c r="H184" s="41"/>
      <c r="I184" s="16"/>
      <c r="J184" s="16"/>
      <c r="K184" s="16"/>
      <c r="L184" s="16"/>
      <c r="M184" s="16"/>
    </row>
    <row r="185" spans="1:13" x14ac:dyDescent="0.2">
      <c r="A185" s="78">
        <v>640</v>
      </c>
      <c r="B185" s="73">
        <v>472</v>
      </c>
      <c r="C185" s="73">
        <v>0</v>
      </c>
      <c r="E185" s="32" t="s">
        <v>28</v>
      </c>
      <c r="F185" s="33" t="s">
        <v>27</v>
      </c>
      <c r="G185" s="38">
        <f>((G184/2)^2)*PI()</f>
        <v>11.400918279693698</v>
      </c>
      <c r="H185" s="40"/>
      <c r="I185" s="16"/>
      <c r="J185" s="16"/>
      <c r="K185" s="16"/>
      <c r="L185" s="16"/>
      <c r="M185" s="16"/>
    </row>
    <row r="186" spans="1:13" x14ac:dyDescent="0.2">
      <c r="A186" s="78">
        <v>660</v>
      </c>
      <c r="B186" s="73">
        <v>478</v>
      </c>
      <c r="C186" s="73">
        <v>0</v>
      </c>
      <c r="E186" s="32" t="s">
        <v>26</v>
      </c>
      <c r="F186" s="37" t="s">
        <v>14</v>
      </c>
      <c r="G186" s="38">
        <f>+C139*10.1972</f>
        <v>69.952792000000002</v>
      </c>
      <c r="H186" s="40"/>
      <c r="I186" s="16"/>
      <c r="J186" s="16"/>
      <c r="K186" s="16"/>
      <c r="L186" s="16"/>
      <c r="M186" s="16"/>
    </row>
    <row r="187" spans="1:13" x14ac:dyDescent="0.2">
      <c r="A187" s="78">
        <v>680</v>
      </c>
      <c r="B187" s="73">
        <v>513</v>
      </c>
      <c r="C187" s="73">
        <v>0</v>
      </c>
      <c r="E187" s="41"/>
      <c r="F187" s="16"/>
      <c r="G187" s="51"/>
      <c r="H187" s="16"/>
      <c r="I187" s="16"/>
      <c r="J187" s="16"/>
      <c r="K187" s="16"/>
      <c r="L187" s="16"/>
      <c r="M187" s="16"/>
    </row>
    <row r="188" spans="1:13" x14ac:dyDescent="0.2">
      <c r="A188" s="78">
        <v>700</v>
      </c>
      <c r="B188" s="73">
        <v>484</v>
      </c>
      <c r="C188" s="73">
        <v>0</v>
      </c>
      <c r="E188" s="42" t="s">
        <v>25</v>
      </c>
      <c r="F188" s="16"/>
      <c r="G188" s="16"/>
      <c r="H188" s="16"/>
      <c r="I188" s="16"/>
      <c r="J188" s="16"/>
      <c r="K188" s="16"/>
      <c r="L188" s="16"/>
      <c r="M188" s="16"/>
    </row>
    <row r="189" spans="1:13" x14ac:dyDescent="0.2">
      <c r="A189" s="78">
        <v>720</v>
      </c>
      <c r="B189" s="73">
        <v>484</v>
      </c>
      <c r="C189" s="73">
        <v>4</v>
      </c>
      <c r="E189" s="43" t="s">
        <v>22</v>
      </c>
      <c r="F189" s="44" t="s">
        <v>24</v>
      </c>
      <c r="G189" s="43" t="s">
        <v>22</v>
      </c>
      <c r="H189" s="16"/>
      <c r="I189" s="43" t="s">
        <v>22</v>
      </c>
      <c r="J189" s="43" t="s">
        <v>13</v>
      </c>
      <c r="K189" s="43" t="s">
        <v>23</v>
      </c>
      <c r="L189" s="43" t="s">
        <v>22</v>
      </c>
      <c r="M189" s="16"/>
    </row>
    <row r="190" spans="1:13" x14ac:dyDescent="0.2">
      <c r="A190" s="78">
        <v>740</v>
      </c>
      <c r="B190" s="73">
        <v>510</v>
      </c>
      <c r="C190" s="73">
        <v>3</v>
      </c>
      <c r="E190" s="45" t="s">
        <v>21</v>
      </c>
      <c r="F190" s="45" t="s">
        <v>20</v>
      </c>
      <c r="G190" s="45" t="s">
        <v>19</v>
      </c>
      <c r="H190" s="16"/>
      <c r="I190" s="45" t="s">
        <v>21</v>
      </c>
      <c r="J190" s="45" t="s">
        <v>20</v>
      </c>
      <c r="K190" s="45" t="s">
        <v>20</v>
      </c>
      <c r="L190" s="45" t="s">
        <v>19</v>
      </c>
      <c r="M190" s="16"/>
    </row>
    <row r="191" spans="1:13" x14ac:dyDescent="0.2">
      <c r="A191" s="78">
        <v>760</v>
      </c>
      <c r="B191" s="73">
        <v>461</v>
      </c>
      <c r="C191" s="73">
        <v>3</v>
      </c>
      <c r="E191" s="46" t="s">
        <v>18</v>
      </c>
      <c r="F191" s="46" t="s">
        <v>61</v>
      </c>
      <c r="G191" s="46" t="s">
        <v>18</v>
      </c>
      <c r="H191" s="16"/>
      <c r="I191" s="46" t="s">
        <v>12</v>
      </c>
      <c r="J191" s="46" t="s">
        <v>31</v>
      </c>
      <c r="K191" s="46" t="s">
        <v>14</v>
      </c>
      <c r="L191" s="46" t="s">
        <v>12</v>
      </c>
      <c r="M191" s="16"/>
    </row>
    <row r="192" spans="1:13" x14ac:dyDescent="0.2">
      <c r="A192" s="78">
        <v>780</v>
      </c>
      <c r="B192" s="73">
        <v>461</v>
      </c>
      <c r="C192" s="73">
        <v>2</v>
      </c>
      <c r="E192" s="47">
        <v>0</v>
      </c>
      <c r="F192" s="47">
        <f>B143</f>
        <v>0</v>
      </c>
      <c r="G192" s="47">
        <f>C143</f>
        <v>0</v>
      </c>
      <c r="H192" s="26"/>
      <c r="I192" s="47">
        <f t="shared" ref="I192:I249" si="10">+E192*0.01</f>
        <v>0</v>
      </c>
      <c r="J192" s="47">
        <f>+IF(AND(F192&gt;=0,F192&lt;=500),1.22*F192+4.18,IF(AND(F192&gt;500,F192&lt;=4500),1.16*F192+24.01,"Error"))</f>
        <v>4.18</v>
      </c>
      <c r="K192" s="47">
        <f t="shared" ref="K192:K249" si="11">+J192/$G$181</f>
        <v>0.26743442098528469</v>
      </c>
      <c r="L192" s="47">
        <f t="shared" ref="L192:L249" si="12">+G192*0.01</f>
        <v>0</v>
      </c>
      <c r="M192" s="16"/>
    </row>
    <row r="193" spans="1:13" x14ac:dyDescent="0.2">
      <c r="A193" s="78">
        <v>800</v>
      </c>
      <c r="B193" s="73">
        <v>440</v>
      </c>
      <c r="C193" s="73">
        <v>2</v>
      </c>
      <c r="E193" s="47">
        <v>10</v>
      </c>
      <c r="F193" s="47">
        <f>B144</f>
        <v>124</v>
      </c>
      <c r="G193" s="47">
        <f>C144</f>
        <v>0</v>
      </c>
      <c r="H193" s="26"/>
      <c r="I193" s="47">
        <f t="shared" si="10"/>
        <v>0.1</v>
      </c>
      <c r="J193" s="47">
        <f t="shared" ref="J193:J249" si="13">+IF(AND(F193&gt;=0,F193&lt;=500),1.22*F193+4.18,IF(AND(F193&gt;500,F193&lt;=4500),1.16*F193+24.01,"Error"))</f>
        <v>155.46</v>
      </c>
      <c r="K193" s="47">
        <f t="shared" si="11"/>
        <v>9.9462571976967364</v>
      </c>
      <c r="L193" s="47">
        <f t="shared" si="12"/>
        <v>0</v>
      </c>
      <c r="M193" s="16"/>
    </row>
    <row r="194" spans="1:13" x14ac:dyDescent="0.2">
      <c r="A194" s="78">
        <v>820</v>
      </c>
      <c r="B194" s="73">
        <v>487</v>
      </c>
      <c r="C194" s="73">
        <v>3</v>
      </c>
      <c r="E194" s="47">
        <v>20</v>
      </c>
      <c r="F194" s="47">
        <f>B145</f>
        <v>147</v>
      </c>
      <c r="G194" s="47">
        <f>C145</f>
        <v>0</v>
      </c>
      <c r="H194" s="26"/>
      <c r="I194" s="47">
        <f t="shared" si="10"/>
        <v>0.2</v>
      </c>
      <c r="J194" s="47">
        <f t="shared" si="13"/>
        <v>183.52</v>
      </c>
      <c r="K194" s="47">
        <f t="shared" si="11"/>
        <v>11.741522712731927</v>
      </c>
      <c r="L194" s="47">
        <f t="shared" si="12"/>
        <v>0</v>
      </c>
      <c r="M194" s="16"/>
    </row>
    <row r="195" spans="1:13" x14ac:dyDescent="0.2">
      <c r="A195" s="78">
        <v>840</v>
      </c>
      <c r="B195" s="73">
        <v>498</v>
      </c>
      <c r="C195" s="73">
        <v>7</v>
      </c>
      <c r="E195" s="47">
        <v>30</v>
      </c>
      <c r="F195" s="47">
        <f>B146</f>
        <v>171</v>
      </c>
      <c r="G195" s="47">
        <f>C146</f>
        <v>-2</v>
      </c>
      <c r="H195" s="26"/>
      <c r="I195" s="47">
        <f t="shared" si="10"/>
        <v>0.3</v>
      </c>
      <c r="J195" s="47">
        <f t="shared" si="13"/>
        <v>212.8</v>
      </c>
      <c r="K195" s="47">
        <f t="shared" si="11"/>
        <v>13.614843250159948</v>
      </c>
      <c r="L195" s="47">
        <f t="shared" si="12"/>
        <v>-0.02</v>
      </c>
      <c r="M195" s="16"/>
    </row>
    <row r="196" spans="1:13" x14ac:dyDescent="0.2">
      <c r="A196" s="78">
        <v>860</v>
      </c>
      <c r="B196" s="73">
        <v>487</v>
      </c>
      <c r="C196" s="73">
        <v>10</v>
      </c>
      <c r="E196" s="47">
        <v>40</v>
      </c>
      <c r="F196" s="47">
        <f>B147</f>
        <v>211</v>
      </c>
      <c r="G196" s="47">
        <f>C147</f>
        <v>-2</v>
      </c>
      <c r="H196" s="26"/>
      <c r="I196" s="47">
        <f t="shared" si="10"/>
        <v>0.4</v>
      </c>
      <c r="J196" s="47">
        <f t="shared" si="13"/>
        <v>261.60000000000002</v>
      </c>
      <c r="K196" s="47">
        <f t="shared" si="11"/>
        <v>16.73704414587332</v>
      </c>
      <c r="L196" s="47">
        <f t="shared" si="12"/>
        <v>-0.02</v>
      </c>
      <c r="M196" s="16"/>
    </row>
    <row r="197" spans="1:13" x14ac:dyDescent="0.2">
      <c r="A197" s="78">
        <v>880</v>
      </c>
      <c r="B197" s="73">
        <v>484</v>
      </c>
      <c r="C197" s="73">
        <v>13</v>
      </c>
      <c r="E197" s="47">
        <v>50</v>
      </c>
      <c r="F197" s="47">
        <f>B148</f>
        <v>245</v>
      </c>
      <c r="G197" s="47">
        <f>C148</f>
        <v>-2</v>
      </c>
      <c r="H197" s="26"/>
      <c r="I197" s="47">
        <f t="shared" si="10"/>
        <v>0.5</v>
      </c>
      <c r="J197" s="47">
        <f t="shared" si="13"/>
        <v>303.08</v>
      </c>
      <c r="K197" s="47">
        <f t="shared" si="11"/>
        <v>19.390914907229686</v>
      </c>
      <c r="L197" s="47">
        <f t="shared" si="12"/>
        <v>-0.02</v>
      </c>
      <c r="M197" s="16"/>
    </row>
    <row r="198" spans="1:13" x14ac:dyDescent="0.2">
      <c r="A198" s="78">
        <v>900</v>
      </c>
      <c r="B198" s="73">
        <v>440</v>
      </c>
      <c r="C198" s="73">
        <v>13</v>
      </c>
      <c r="E198" s="47">
        <v>60</v>
      </c>
      <c r="F198" s="47">
        <f>B149</f>
        <v>261</v>
      </c>
      <c r="G198" s="47">
        <f>C149</f>
        <v>-2</v>
      </c>
      <c r="H198" s="26"/>
      <c r="I198" s="47">
        <f t="shared" si="10"/>
        <v>0.6</v>
      </c>
      <c r="J198" s="47">
        <f t="shared" si="13"/>
        <v>322.60000000000002</v>
      </c>
      <c r="K198" s="47">
        <f t="shared" si="11"/>
        <v>20.639795265515037</v>
      </c>
      <c r="L198" s="47">
        <f t="shared" si="12"/>
        <v>-0.02</v>
      </c>
      <c r="M198" s="16"/>
    </row>
    <row r="199" spans="1:13" x14ac:dyDescent="0.2">
      <c r="A199" s="78">
        <v>950</v>
      </c>
      <c r="B199" s="73">
        <v>411</v>
      </c>
      <c r="C199" s="73">
        <v>13</v>
      </c>
      <c r="E199" s="47">
        <v>70</v>
      </c>
      <c r="F199" s="47">
        <f>B150</f>
        <v>266</v>
      </c>
      <c r="G199" s="47">
        <f>C150</f>
        <v>-1</v>
      </c>
      <c r="H199" s="26"/>
      <c r="I199" s="47">
        <f t="shared" si="10"/>
        <v>0.70000000000000007</v>
      </c>
      <c r="J199" s="47">
        <f t="shared" si="13"/>
        <v>328.7</v>
      </c>
      <c r="K199" s="47">
        <f t="shared" si="11"/>
        <v>21.030070377479205</v>
      </c>
      <c r="L199" s="47">
        <f t="shared" si="12"/>
        <v>-0.01</v>
      </c>
      <c r="M199" s="16"/>
    </row>
    <row r="200" spans="1:13" x14ac:dyDescent="0.2">
      <c r="A200" s="78">
        <v>1000</v>
      </c>
      <c r="B200" s="73">
        <v>411</v>
      </c>
      <c r="C200" s="73">
        <v>12</v>
      </c>
      <c r="E200" s="47">
        <v>80</v>
      </c>
      <c r="F200" s="47">
        <f>B151</f>
        <v>307</v>
      </c>
      <c r="G200" s="47">
        <f>C151</f>
        <v>-2</v>
      </c>
      <c r="H200" s="26"/>
      <c r="I200" s="47">
        <f t="shared" si="10"/>
        <v>0.8</v>
      </c>
      <c r="J200" s="47">
        <f t="shared" si="13"/>
        <v>378.71999999999997</v>
      </c>
      <c r="K200" s="47">
        <f t="shared" si="11"/>
        <v>24.23032629558541</v>
      </c>
      <c r="L200" s="47">
        <f t="shared" si="12"/>
        <v>-0.02</v>
      </c>
      <c r="M200" s="16"/>
    </row>
    <row r="201" spans="1:13" x14ac:dyDescent="0.2">
      <c r="E201" s="47">
        <v>90</v>
      </c>
      <c r="F201" s="47">
        <f>B152</f>
        <v>316</v>
      </c>
      <c r="G201" s="47">
        <f>C152</f>
        <v>-6</v>
      </c>
      <c r="H201" s="26"/>
      <c r="I201" s="47">
        <f t="shared" si="10"/>
        <v>0.9</v>
      </c>
      <c r="J201" s="47">
        <f t="shared" si="13"/>
        <v>389.7</v>
      </c>
      <c r="K201" s="47">
        <f t="shared" si="11"/>
        <v>24.932821497120919</v>
      </c>
      <c r="L201" s="47">
        <f t="shared" si="12"/>
        <v>-0.06</v>
      </c>
      <c r="M201" s="16"/>
    </row>
    <row r="202" spans="1:13" x14ac:dyDescent="0.2">
      <c r="E202" s="47">
        <v>100</v>
      </c>
      <c r="F202" s="47">
        <f>B153</f>
        <v>333</v>
      </c>
      <c r="G202" s="47">
        <f>C153</f>
        <v>-6</v>
      </c>
      <c r="H202" s="26"/>
      <c r="I202" s="47">
        <f t="shared" si="10"/>
        <v>1</v>
      </c>
      <c r="J202" s="47">
        <f t="shared" si="13"/>
        <v>410.44</v>
      </c>
      <c r="K202" s="47">
        <f t="shared" si="11"/>
        <v>26.259756877799102</v>
      </c>
      <c r="L202" s="47">
        <f t="shared" si="12"/>
        <v>-0.06</v>
      </c>
      <c r="M202" s="16"/>
    </row>
    <row r="203" spans="1:13" x14ac:dyDescent="0.2">
      <c r="E203" s="47">
        <v>110</v>
      </c>
      <c r="F203" s="47">
        <f>B154</f>
        <v>350</v>
      </c>
      <c r="G203" s="47">
        <f>C154</f>
        <v>-7</v>
      </c>
      <c r="H203" s="26"/>
      <c r="I203" s="47">
        <f t="shared" si="10"/>
        <v>1.1000000000000001</v>
      </c>
      <c r="J203" s="47">
        <f t="shared" si="13"/>
        <v>431.18</v>
      </c>
      <c r="K203" s="47">
        <f t="shared" si="11"/>
        <v>27.586692258477285</v>
      </c>
      <c r="L203" s="47">
        <f t="shared" si="12"/>
        <v>-7.0000000000000007E-2</v>
      </c>
      <c r="M203" s="16"/>
    </row>
    <row r="204" spans="1:13" x14ac:dyDescent="0.2">
      <c r="E204" s="47">
        <v>120</v>
      </c>
      <c r="F204" s="47">
        <f>B155</f>
        <v>368</v>
      </c>
      <c r="G204" s="47">
        <f>C155</f>
        <v>-8</v>
      </c>
      <c r="H204" s="26"/>
      <c r="I204" s="47">
        <f t="shared" si="10"/>
        <v>1.2</v>
      </c>
      <c r="J204" s="47">
        <f t="shared" si="13"/>
        <v>453.14</v>
      </c>
      <c r="K204" s="47">
        <f t="shared" si="11"/>
        <v>28.991682661548303</v>
      </c>
      <c r="L204" s="47">
        <f t="shared" si="12"/>
        <v>-0.08</v>
      </c>
      <c r="M204" s="16"/>
    </row>
    <row r="205" spans="1:13" x14ac:dyDescent="0.2">
      <c r="E205" s="47">
        <v>130</v>
      </c>
      <c r="F205" s="47">
        <f>B156</f>
        <v>371</v>
      </c>
      <c r="G205" s="47">
        <f>C156</f>
        <v>-9</v>
      </c>
      <c r="H205" s="26"/>
      <c r="I205" s="47">
        <f t="shared" si="10"/>
        <v>1.3</v>
      </c>
      <c r="J205" s="47">
        <f t="shared" si="13"/>
        <v>456.8</v>
      </c>
      <c r="K205" s="47">
        <f t="shared" si="11"/>
        <v>29.225847728726805</v>
      </c>
      <c r="L205" s="47">
        <f t="shared" si="12"/>
        <v>-0.09</v>
      </c>
      <c r="M205" s="16"/>
    </row>
    <row r="206" spans="1:13" x14ac:dyDescent="0.2">
      <c r="E206" s="47">
        <v>140</v>
      </c>
      <c r="F206" s="47">
        <f>B157</f>
        <v>374</v>
      </c>
      <c r="G206" s="47">
        <f>C157</f>
        <v>-9</v>
      </c>
      <c r="H206" s="26"/>
      <c r="I206" s="47">
        <f t="shared" si="10"/>
        <v>1.4000000000000001</v>
      </c>
      <c r="J206" s="47">
        <f t="shared" si="13"/>
        <v>460.46</v>
      </c>
      <c r="K206" s="47">
        <f t="shared" si="11"/>
        <v>29.460012795905307</v>
      </c>
      <c r="L206" s="47">
        <f t="shared" si="12"/>
        <v>-0.09</v>
      </c>
      <c r="M206" s="16"/>
    </row>
    <row r="207" spans="1:13" x14ac:dyDescent="0.2">
      <c r="E207" s="47">
        <v>150</v>
      </c>
      <c r="F207" s="47">
        <f>B158</f>
        <v>369</v>
      </c>
      <c r="G207" s="47">
        <f>C158</f>
        <v>-9</v>
      </c>
      <c r="H207" s="26"/>
      <c r="I207" s="47">
        <f t="shared" si="10"/>
        <v>1.5</v>
      </c>
      <c r="J207" s="47">
        <f t="shared" si="13"/>
        <v>454.36</v>
      </c>
      <c r="K207" s="47">
        <f t="shared" si="11"/>
        <v>29.069737683941138</v>
      </c>
      <c r="L207" s="47">
        <f t="shared" si="12"/>
        <v>-0.09</v>
      </c>
      <c r="M207" s="16"/>
    </row>
    <row r="208" spans="1:13" x14ac:dyDescent="0.2">
      <c r="E208" s="47">
        <v>160</v>
      </c>
      <c r="F208" s="47">
        <f>B159</f>
        <v>411</v>
      </c>
      <c r="G208" s="47">
        <f>C159</f>
        <v>-10</v>
      </c>
      <c r="H208" s="26"/>
      <c r="I208" s="47">
        <f t="shared" si="10"/>
        <v>1.6</v>
      </c>
      <c r="J208" s="47">
        <f t="shared" si="13"/>
        <v>505.6</v>
      </c>
      <c r="K208" s="47">
        <f t="shared" si="11"/>
        <v>32.348048624440182</v>
      </c>
      <c r="L208" s="47">
        <f t="shared" si="12"/>
        <v>-0.1</v>
      </c>
      <c r="M208" s="16"/>
    </row>
    <row r="209" spans="5:13" x14ac:dyDescent="0.2">
      <c r="E209" s="47">
        <v>170</v>
      </c>
      <c r="F209" s="47">
        <f>B160</f>
        <v>397</v>
      </c>
      <c r="G209" s="47">
        <f>C160</f>
        <v>-10</v>
      </c>
      <c r="H209" s="26"/>
      <c r="I209" s="47">
        <f t="shared" si="10"/>
        <v>1.7</v>
      </c>
      <c r="J209" s="47">
        <f t="shared" si="13"/>
        <v>488.52</v>
      </c>
      <c r="K209" s="47">
        <f t="shared" si="11"/>
        <v>31.255278310940497</v>
      </c>
      <c r="L209" s="47">
        <f t="shared" si="12"/>
        <v>-0.1</v>
      </c>
      <c r="M209" s="16"/>
    </row>
    <row r="210" spans="5:13" x14ac:dyDescent="0.2">
      <c r="E210" s="47">
        <v>180</v>
      </c>
      <c r="F210" s="47">
        <f>B161</f>
        <v>423</v>
      </c>
      <c r="G210" s="47">
        <f>C161</f>
        <v>-11</v>
      </c>
      <c r="H210" s="26"/>
      <c r="I210" s="47">
        <f t="shared" si="10"/>
        <v>1.8</v>
      </c>
      <c r="J210" s="47">
        <f t="shared" si="13"/>
        <v>520.2399999999999</v>
      </c>
      <c r="K210" s="47">
        <f t="shared" si="11"/>
        <v>33.284708893154182</v>
      </c>
      <c r="L210" s="47">
        <f t="shared" si="12"/>
        <v>-0.11</v>
      </c>
      <c r="M210" s="16"/>
    </row>
    <row r="211" spans="5:13" x14ac:dyDescent="0.2">
      <c r="E211" s="47">
        <v>190</v>
      </c>
      <c r="F211" s="47">
        <f>B162</f>
        <v>443</v>
      </c>
      <c r="G211" s="47">
        <f>C162</f>
        <v>-11</v>
      </c>
      <c r="H211" s="26"/>
      <c r="I211" s="47">
        <f t="shared" si="10"/>
        <v>1.9000000000000001</v>
      </c>
      <c r="J211" s="47">
        <f t="shared" si="13"/>
        <v>544.64</v>
      </c>
      <c r="K211" s="47">
        <f t="shared" si="11"/>
        <v>34.845809341010877</v>
      </c>
      <c r="L211" s="47">
        <f t="shared" si="12"/>
        <v>-0.11</v>
      </c>
      <c r="M211" s="16"/>
    </row>
    <row r="212" spans="5:13" x14ac:dyDescent="0.2">
      <c r="E212" s="47">
        <v>200</v>
      </c>
      <c r="F212" s="47">
        <f>B163</f>
        <v>461</v>
      </c>
      <c r="G212" s="47">
        <f>C163</f>
        <v>-14</v>
      </c>
      <c r="H212" s="26"/>
      <c r="I212" s="47">
        <f t="shared" si="10"/>
        <v>2</v>
      </c>
      <c r="J212" s="47">
        <f t="shared" si="13"/>
        <v>566.59999999999991</v>
      </c>
      <c r="K212" s="47">
        <f t="shared" si="11"/>
        <v>36.250799744081888</v>
      </c>
      <c r="L212" s="47">
        <f t="shared" si="12"/>
        <v>-0.14000000000000001</v>
      </c>
      <c r="M212" s="16"/>
    </row>
    <row r="213" spans="5:13" x14ac:dyDescent="0.2">
      <c r="E213" s="47">
        <v>220</v>
      </c>
      <c r="F213" s="47">
        <f>B164</f>
        <v>435</v>
      </c>
      <c r="G213" s="47">
        <f>C164</f>
        <v>-12</v>
      </c>
      <c r="H213" s="26"/>
      <c r="I213" s="47">
        <f t="shared" si="10"/>
        <v>2.2000000000000002</v>
      </c>
      <c r="J213" s="47">
        <f t="shared" si="13"/>
        <v>534.87999999999988</v>
      </c>
      <c r="K213" s="47">
        <f t="shared" si="11"/>
        <v>34.221369161868196</v>
      </c>
      <c r="L213" s="47">
        <f t="shared" si="12"/>
        <v>-0.12</v>
      </c>
      <c r="M213" s="16"/>
    </row>
    <row r="214" spans="5:13" x14ac:dyDescent="0.2">
      <c r="E214" s="47">
        <v>240</v>
      </c>
      <c r="F214" s="47">
        <f>B165</f>
        <v>446</v>
      </c>
      <c r="G214" s="47">
        <f>C165</f>
        <v>-12</v>
      </c>
      <c r="H214" s="26"/>
      <c r="I214" s="47">
        <f t="shared" si="10"/>
        <v>2.4</v>
      </c>
      <c r="J214" s="47">
        <f t="shared" si="13"/>
        <v>548.29999999999995</v>
      </c>
      <c r="K214" s="47">
        <f t="shared" si="11"/>
        <v>35.079974408189372</v>
      </c>
      <c r="L214" s="47">
        <f t="shared" si="12"/>
        <v>-0.12</v>
      </c>
      <c r="M214" s="16"/>
    </row>
    <row r="215" spans="5:13" x14ac:dyDescent="0.2">
      <c r="E215" s="47">
        <v>260</v>
      </c>
      <c r="F215" s="47">
        <f>B166</f>
        <v>461</v>
      </c>
      <c r="G215" s="47">
        <f>C166</f>
        <v>-12</v>
      </c>
      <c r="H215" s="48"/>
      <c r="I215" s="47">
        <f t="shared" si="10"/>
        <v>2.6</v>
      </c>
      <c r="J215" s="47">
        <f t="shared" si="13"/>
        <v>566.59999999999991</v>
      </c>
      <c r="K215" s="47">
        <f t="shared" si="11"/>
        <v>36.250799744081888</v>
      </c>
      <c r="L215" s="47">
        <f t="shared" si="12"/>
        <v>-0.12</v>
      </c>
      <c r="M215" s="16"/>
    </row>
    <row r="216" spans="5:13" x14ac:dyDescent="0.2">
      <c r="E216" s="47">
        <v>280</v>
      </c>
      <c r="F216" s="47">
        <f>B167</f>
        <v>445</v>
      </c>
      <c r="G216" s="47">
        <f>C167</f>
        <v>-12</v>
      </c>
      <c r="H216" s="26"/>
      <c r="I216" s="47">
        <f t="shared" si="10"/>
        <v>2.8000000000000003</v>
      </c>
      <c r="J216" s="47">
        <f t="shared" si="13"/>
        <v>547.07999999999993</v>
      </c>
      <c r="K216" s="47">
        <f t="shared" si="11"/>
        <v>35.00191938579654</v>
      </c>
      <c r="L216" s="47">
        <f t="shared" si="12"/>
        <v>-0.12</v>
      </c>
      <c r="M216" s="16"/>
    </row>
    <row r="217" spans="5:13" x14ac:dyDescent="0.2">
      <c r="E217" s="47">
        <v>300</v>
      </c>
      <c r="F217" s="47">
        <f>B168</f>
        <v>452</v>
      </c>
      <c r="G217" s="47">
        <f>C168</f>
        <v>-13</v>
      </c>
      <c r="H217" s="26"/>
      <c r="I217" s="47">
        <f t="shared" si="10"/>
        <v>3</v>
      </c>
      <c r="J217" s="47">
        <f t="shared" si="13"/>
        <v>555.61999999999989</v>
      </c>
      <c r="K217" s="47">
        <f t="shared" si="11"/>
        <v>35.548304542546376</v>
      </c>
      <c r="L217" s="47">
        <f t="shared" si="12"/>
        <v>-0.13</v>
      </c>
      <c r="M217" s="16"/>
    </row>
    <row r="218" spans="5:13" x14ac:dyDescent="0.2">
      <c r="E218" s="47">
        <v>320</v>
      </c>
      <c r="F218" s="47">
        <f>B169</f>
        <v>446</v>
      </c>
      <c r="G218" s="47">
        <f>C169</f>
        <v>-12</v>
      </c>
      <c r="H218" s="26"/>
      <c r="I218" s="47">
        <f t="shared" si="10"/>
        <v>3.2</v>
      </c>
      <c r="J218" s="47">
        <f t="shared" si="13"/>
        <v>548.29999999999995</v>
      </c>
      <c r="K218" s="47">
        <f t="shared" si="11"/>
        <v>35.079974408189372</v>
      </c>
      <c r="L218" s="47">
        <f t="shared" si="12"/>
        <v>-0.12</v>
      </c>
      <c r="M218" s="16"/>
    </row>
    <row r="219" spans="5:13" x14ac:dyDescent="0.2">
      <c r="E219" s="47">
        <v>340</v>
      </c>
      <c r="F219" s="47">
        <f>B170</f>
        <v>462</v>
      </c>
      <c r="G219" s="47">
        <f>C170</f>
        <v>-11</v>
      </c>
      <c r="H219" s="26"/>
      <c r="I219" s="47">
        <f t="shared" si="10"/>
        <v>3.4</v>
      </c>
      <c r="J219" s="47">
        <f t="shared" si="13"/>
        <v>567.81999999999994</v>
      </c>
      <c r="K219" s="47">
        <f t="shared" si="11"/>
        <v>36.32885476647472</v>
      </c>
      <c r="L219" s="47">
        <f t="shared" si="12"/>
        <v>-0.11</v>
      </c>
      <c r="M219" s="16"/>
    </row>
    <row r="220" spans="5:13" x14ac:dyDescent="0.2">
      <c r="E220" s="47">
        <v>360</v>
      </c>
      <c r="F220" s="47">
        <f>B171</f>
        <v>443</v>
      </c>
      <c r="G220" s="47">
        <f>C171</f>
        <v>-10</v>
      </c>
      <c r="H220" s="26"/>
      <c r="I220" s="47">
        <f t="shared" si="10"/>
        <v>3.6</v>
      </c>
      <c r="J220" s="47">
        <f t="shared" si="13"/>
        <v>544.64</v>
      </c>
      <c r="K220" s="47">
        <f t="shared" si="11"/>
        <v>34.845809341010877</v>
      </c>
      <c r="L220" s="47">
        <f t="shared" si="12"/>
        <v>-0.1</v>
      </c>
      <c r="M220" s="16"/>
    </row>
    <row r="221" spans="5:13" x14ac:dyDescent="0.2">
      <c r="E221" s="47">
        <v>380</v>
      </c>
      <c r="F221" s="47">
        <f>B172</f>
        <v>440</v>
      </c>
      <c r="G221" s="47">
        <f>C172</f>
        <v>-9</v>
      </c>
      <c r="H221" s="26"/>
      <c r="I221" s="47">
        <f t="shared" si="10"/>
        <v>3.8000000000000003</v>
      </c>
      <c r="J221" s="47">
        <f t="shared" si="13"/>
        <v>540.9799999999999</v>
      </c>
      <c r="K221" s="47">
        <f t="shared" si="11"/>
        <v>34.611644273832368</v>
      </c>
      <c r="L221" s="47">
        <f t="shared" si="12"/>
        <v>-0.09</v>
      </c>
      <c r="M221" s="16"/>
    </row>
    <row r="222" spans="5:13" x14ac:dyDescent="0.2">
      <c r="E222" s="47">
        <v>400</v>
      </c>
      <c r="F222" s="47">
        <f>B173</f>
        <v>440</v>
      </c>
      <c r="G222" s="47">
        <f>C173</f>
        <v>-10</v>
      </c>
      <c r="H222" s="26"/>
      <c r="I222" s="47">
        <f t="shared" si="10"/>
        <v>4</v>
      </c>
      <c r="J222" s="47">
        <f t="shared" si="13"/>
        <v>540.9799999999999</v>
      </c>
      <c r="K222" s="47">
        <f t="shared" si="11"/>
        <v>34.611644273832368</v>
      </c>
      <c r="L222" s="47">
        <f t="shared" si="12"/>
        <v>-0.1</v>
      </c>
      <c r="M222" s="16"/>
    </row>
    <row r="223" spans="5:13" x14ac:dyDescent="0.2">
      <c r="E223" s="47">
        <v>420</v>
      </c>
      <c r="F223" s="47">
        <f>B174</f>
        <v>449</v>
      </c>
      <c r="G223" s="47">
        <f>C174</f>
        <v>-10</v>
      </c>
      <c r="H223" s="26"/>
      <c r="I223" s="47">
        <f t="shared" si="10"/>
        <v>4.2</v>
      </c>
      <c r="J223" s="47">
        <f t="shared" si="13"/>
        <v>551.95999999999992</v>
      </c>
      <c r="K223" s="47">
        <f t="shared" si="11"/>
        <v>35.314139475367874</v>
      </c>
      <c r="L223" s="47">
        <f t="shared" si="12"/>
        <v>-0.1</v>
      </c>
      <c r="M223" s="16"/>
    </row>
    <row r="224" spans="5:13" x14ac:dyDescent="0.2">
      <c r="E224" s="47">
        <v>440</v>
      </c>
      <c r="F224" s="47">
        <f t="shared" ref="F224:G249" si="14">B175</f>
        <v>432</v>
      </c>
      <c r="G224" s="47">
        <f t="shared" si="14"/>
        <v>-9</v>
      </c>
      <c r="H224" s="26"/>
      <c r="I224" s="47">
        <f t="shared" si="10"/>
        <v>4.4000000000000004</v>
      </c>
      <c r="J224" s="47">
        <f t="shared" si="13"/>
        <v>531.21999999999991</v>
      </c>
      <c r="K224" s="47">
        <f t="shared" si="11"/>
        <v>33.987204094689695</v>
      </c>
      <c r="L224" s="47">
        <f t="shared" si="12"/>
        <v>-0.09</v>
      </c>
      <c r="M224" s="16"/>
    </row>
    <row r="225" spans="5:13" x14ac:dyDescent="0.2">
      <c r="E225" s="47">
        <v>460</v>
      </c>
      <c r="F225" s="47">
        <f t="shared" si="14"/>
        <v>449</v>
      </c>
      <c r="G225" s="47">
        <f t="shared" si="14"/>
        <v>-9</v>
      </c>
      <c r="H225" s="26"/>
      <c r="I225" s="47">
        <f t="shared" si="10"/>
        <v>4.6000000000000005</v>
      </c>
      <c r="J225" s="47">
        <f t="shared" si="13"/>
        <v>551.95999999999992</v>
      </c>
      <c r="K225" s="47">
        <f t="shared" si="11"/>
        <v>35.314139475367874</v>
      </c>
      <c r="L225" s="47">
        <f t="shared" si="12"/>
        <v>-0.09</v>
      </c>
      <c r="M225" s="16"/>
    </row>
    <row r="226" spans="5:13" x14ac:dyDescent="0.2">
      <c r="E226" s="47">
        <v>480</v>
      </c>
      <c r="F226" s="47">
        <f t="shared" si="14"/>
        <v>440</v>
      </c>
      <c r="G226" s="47">
        <f t="shared" si="14"/>
        <v>-8</v>
      </c>
      <c r="H226" s="26"/>
      <c r="I226" s="47">
        <f t="shared" si="10"/>
        <v>4.8</v>
      </c>
      <c r="J226" s="47">
        <f t="shared" si="13"/>
        <v>540.9799999999999</v>
      </c>
      <c r="K226" s="47">
        <f t="shared" si="11"/>
        <v>34.611644273832368</v>
      </c>
      <c r="L226" s="47">
        <f t="shared" si="12"/>
        <v>-0.08</v>
      </c>
      <c r="M226" s="16"/>
    </row>
    <row r="227" spans="5:13" x14ac:dyDescent="0.2">
      <c r="E227" s="47">
        <v>500</v>
      </c>
      <c r="F227" s="47">
        <f t="shared" si="14"/>
        <v>464</v>
      </c>
      <c r="G227" s="47">
        <f t="shared" si="14"/>
        <v>-8</v>
      </c>
      <c r="H227" s="26"/>
      <c r="I227" s="47">
        <f t="shared" si="10"/>
        <v>5</v>
      </c>
      <c r="J227" s="47">
        <f t="shared" si="13"/>
        <v>570.26</v>
      </c>
      <c r="K227" s="47">
        <f t="shared" si="11"/>
        <v>36.484964811260397</v>
      </c>
      <c r="L227" s="47">
        <f t="shared" si="12"/>
        <v>-0.08</v>
      </c>
      <c r="M227" s="16"/>
    </row>
    <row r="228" spans="5:13" x14ac:dyDescent="0.2">
      <c r="E228" s="47">
        <v>520</v>
      </c>
      <c r="F228" s="47">
        <f t="shared" si="14"/>
        <v>481</v>
      </c>
      <c r="G228" s="47">
        <f t="shared" si="14"/>
        <v>-8</v>
      </c>
      <c r="H228" s="26"/>
      <c r="I228" s="47">
        <f t="shared" si="10"/>
        <v>5.2</v>
      </c>
      <c r="J228" s="47">
        <f t="shared" si="13"/>
        <v>590.99999999999989</v>
      </c>
      <c r="K228" s="47">
        <f t="shared" si="11"/>
        <v>37.81190019193857</v>
      </c>
      <c r="L228" s="47">
        <f t="shared" si="12"/>
        <v>-0.08</v>
      </c>
      <c r="M228" s="16"/>
    </row>
    <row r="229" spans="5:13" x14ac:dyDescent="0.2">
      <c r="E229" s="47">
        <v>540</v>
      </c>
      <c r="F229" s="47">
        <f t="shared" si="14"/>
        <v>484</v>
      </c>
      <c r="G229" s="47">
        <f t="shared" si="14"/>
        <v>-8</v>
      </c>
      <c r="H229" s="26"/>
      <c r="I229" s="47">
        <f t="shared" si="10"/>
        <v>5.4</v>
      </c>
      <c r="J229" s="47">
        <f t="shared" si="13"/>
        <v>594.66</v>
      </c>
      <c r="K229" s="47">
        <f t="shared" si="11"/>
        <v>38.046065259117078</v>
      </c>
      <c r="L229" s="47">
        <f t="shared" si="12"/>
        <v>-0.08</v>
      </c>
      <c r="M229" s="16"/>
    </row>
    <row r="230" spans="5:13" x14ac:dyDescent="0.2">
      <c r="E230" s="47">
        <v>560</v>
      </c>
      <c r="F230" s="47">
        <f t="shared" si="14"/>
        <v>464</v>
      </c>
      <c r="G230" s="47">
        <f t="shared" si="14"/>
        <v>-8</v>
      </c>
      <c r="H230" s="26"/>
      <c r="I230" s="47">
        <f t="shared" si="10"/>
        <v>5.6000000000000005</v>
      </c>
      <c r="J230" s="47">
        <f t="shared" si="13"/>
        <v>570.26</v>
      </c>
      <c r="K230" s="47">
        <f t="shared" si="11"/>
        <v>36.484964811260397</v>
      </c>
      <c r="L230" s="47">
        <f t="shared" si="12"/>
        <v>-0.08</v>
      </c>
      <c r="M230" s="16"/>
    </row>
    <row r="231" spans="5:13" x14ac:dyDescent="0.2">
      <c r="E231" s="47">
        <v>580</v>
      </c>
      <c r="F231" s="47">
        <f t="shared" si="14"/>
        <v>507</v>
      </c>
      <c r="G231" s="47">
        <f t="shared" si="14"/>
        <v>-6</v>
      </c>
      <c r="H231" s="26"/>
      <c r="I231" s="47">
        <f t="shared" si="10"/>
        <v>5.8</v>
      </c>
      <c r="J231" s="47">
        <f t="shared" si="13"/>
        <v>612.13</v>
      </c>
      <c r="K231" s="47">
        <f t="shared" si="11"/>
        <v>39.163787587971846</v>
      </c>
      <c r="L231" s="47">
        <f t="shared" si="12"/>
        <v>-0.06</v>
      </c>
      <c r="M231" s="16"/>
    </row>
    <row r="232" spans="5:13" x14ac:dyDescent="0.2">
      <c r="E232" s="47">
        <v>600</v>
      </c>
      <c r="F232" s="47">
        <f t="shared" si="14"/>
        <v>490</v>
      </c>
      <c r="G232" s="47">
        <f t="shared" si="14"/>
        <v>-5</v>
      </c>
      <c r="H232" s="26"/>
      <c r="I232" s="47">
        <f t="shared" si="10"/>
        <v>6</v>
      </c>
      <c r="J232" s="47">
        <f t="shared" si="13"/>
        <v>601.9799999999999</v>
      </c>
      <c r="K232" s="47">
        <f t="shared" si="11"/>
        <v>38.514395393474082</v>
      </c>
      <c r="L232" s="47">
        <f t="shared" si="12"/>
        <v>-0.05</v>
      </c>
      <c r="M232" s="16"/>
    </row>
    <row r="233" spans="5:13" x14ac:dyDescent="0.2">
      <c r="E233" s="47">
        <v>620</v>
      </c>
      <c r="F233" s="47">
        <f t="shared" si="14"/>
        <v>490</v>
      </c>
      <c r="G233" s="47">
        <f t="shared" si="14"/>
        <v>0</v>
      </c>
      <c r="H233" s="26"/>
      <c r="I233" s="47">
        <f t="shared" si="10"/>
        <v>6.2</v>
      </c>
      <c r="J233" s="47">
        <f t="shared" si="13"/>
        <v>601.9799999999999</v>
      </c>
      <c r="K233" s="47">
        <f t="shared" si="11"/>
        <v>38.514395393474082</v>
      </c>
      <c r="L233" s="47">
        <f t="shared" si="12"/>
        <v>0</v>
      </c>
      <c r="M233" s="16"/>
    </row>
    <row r="234" spans="5:13" x14ac:dyDescent="0.2">
      <c r="E234" s="47">
        <v>640</v>
      </c>
      <c r="F234" s="47">
        <f t="shared" si="14"/>
        <v>472</v>
      </c>
      <c r="G234" s="47">
        <f t="shared" si="14"/>
        <v>0</v>
      </c>
      <c r="H234" s="26"/>
      <c r="I234" s="47">
        <f t="shared" si="10"/>
        <v>6.4</v>
      </c>
      <c r="J234" s="47">
        <f t="shared" si="13"/>
        <v>580.02</v>
      </c>
      <c r="K234" s="47">
        <f t="shared" si="11"/>
        <v>37.109404990403071</v>
      </c>
      <c r="L234" s="47">
        <f t="shared" si="12"/>
        <v>0</v>
      </c>
      <c r="M234" s="16"/>
    </row>
    <row r="235" spans="5:13" x14ac:dyDescent="0.2">
      <c r="E235" s="47">
        <v>660</v>
      </c>
      <c r="F235" s="47">
        <f t="shared" si="14"/>
        <v>478</v>
      </c>
      <c r="G235" s="47">
        <f t="shared" si="14"/>
        <v>0</v>
      </c>
      <c r="H235" s="26"/>
      <c r="I235" s="47">
        <f t="shared" si="10"/>
        <v>6.6000000000000005</v>
      </c>
      <c r="J235" s="47">
        <f t="shared" si="13"/>
        <v>587.33999999999992</v>
      </c>
      <c r="K235" s="47">
        <f t="shared" si="11"/>
        <v>37.577735124760068</v>
      </c>
      <c r="L235" s="47">
        <f t="shared" si="12"/>
        <v>0</v>
      </c>
      <c r="M235" s="16"/>
    </row>
    <row r="236" spans="5:13" x14ac:dyDescent="0.2">
      <c r="E236" s="47">
        <v>680</v>
      </c>
      <c r="F236" s="47">
        <f t="shared" si="14"/>
        <v>513</v>
      </c>
      <c r="G236" s="47">
        <f t="shared" si="14"/>
        <v>0</v>
      </c>
      <c r="H236" s="26"/>
      <c r="I236" s="47">
        <f t="shared" si="10"/>
        <v>6.8</v>
      </c>
      <c r="J236" s="47">
        <f t="shared" si="13"/>
        <v>619.08999999999992</v>
      </c>
      <c r="K236" s="47">
        <f t="shared" si="11"/>
        <v>39.609085092770307</v>
      </c>
      <c r="L236" s="47">
        <f t="shared" si="12"/>
        <v>0</v>
      </c>
      <c r="M236" s="16"/>
    </row>
    <row r="237" spans="5:13" x14ac:dyDescent="0.2">
      <c r="E237" s="47">
        <v>700</v>
      </c>
      <c r="F237" s="47">
        <f t="shared" si="14"/>
        <v>484</v>
      </c>
      <c r="G237" s="47">
        <f t="shared" si="14"/>
        <v>0</v>
      </c>
      <c r="H237" s="26"/>
      <c r="I237" s="47">
        <f t="shared" si="10"/>
        <v>7</v>
      </c>
      <c r="J237" s="47">
        <f t="shared" si="13"/>
        <v>594.66</v>
      </c>
      <c r="K237" s="47">
        <f t="shared" si="11"/>
        <v>38.046065259117078</v>
      </c>
      <c r="L237" s="47">
        <f t="shared" si="12"/>
        <v>0</v>
      </c>
      <c r="M237" s="16"/>
    </row>
    <row r="238" spans="5:13" x14ac:dyDescent="0.2">
      <c r="E238" s="47">
        <v>720</v>
      </c>
      <c r="F238" s="47">
        <f t="shared" si="14"/>
        <v>484</v>
      </c>
      <c r="G238" s="47">
        <f t="shared" si="14"/>
        <v>4</v>
      </c>
      <c r="H238" s="26"/>
      <c r="I238" s="47">
        <f t="shared" si="10"/>
        <v>7.2</v>
      </c>
      <c r="J238" s="47">
        <f t="shared" si="13"/>
        <v>594.66</v>
      </c>
      <c r="K238" s="47">
        <f t="shared" si="11"/>
        <v>38.046065259117078</v>
      </c>
      <c r="L238" s="47">
        <f t="shared" si="12"/>
        <v>0.04</v>
      </c>
      <c r="M238" s="16"/>
    </row>
    <row r="239" spans="5:13" x14ac:dyDescent="0.2">
      <c r="E239" s="47">
        <v>740</v>
      </c>
      <c r="F239" s="47">
        <f t="shared" si="14"/>
        <v>510</v>
      </c>
      <c r="G239" s="47">
        <f t="shared" si="14"/>
        <v>3</v>
      </c>
      <c r="H239" s="26"/>
      <c r="I239" s="47">
        <f t="shared" si="10"/>
        <v>7.4</v>
      </c>
      <c r="J239" s="47">
        <f t="shared" si="13"/>
        <v>615.6099999999999</v>
      </c>
      <c r="K239" s="47">
        <f t="shared" si="11"/>
        <v>39.38643634037107</v>
      </c>
      <c r="L239" s="47">
        <f t="shared" si="12"/>
        <v>0.03</v>
      </c>
      <c r="M239" s="16"/>
    </row>
    <row r="240" spans="5:13" x14ac:dyDescent="0.2">
      <c r="E240" s="47">
        <v>760</v>
      </c>
      <c r="F240" s="47">
        <f t="shared" si="14"/>
        <v>461</v>
      </c>
      <c r="G240" s="47">
        <f t="shared" si="14"/>
        <v>3</v>
      </c>
      <c r="H240" s="26"/>
      <c r="I240" s="47">
        <f t="shared" si="10"/>
        <v>7.6000000000000005</v>
      </c>
      <c r="J240" s="47">
        <f t="shared" si="13"/>
        <v>566.59999999999991</v>
      </c>
      <c r="K240" s="47">
        <f t="shared" si="11"/>
        <v>36.250799744081888</v>
      </c>
      <c r="L240" s="47">
        <f t="shared" si="12"/>
        <v>0.03</v>
      </c>
      <c r="M240" s="16"/>
    </row>
    <row r="241" spans="4:13" x14ac:dyDescent="0.2">
      <c r="E241" s="47">
        <v>780</v>
      </c>
      <c r="F241" s="47">
        <f t="shared" si="14"/>
        <v>461</v>
      </c>
      <c r="G241" s="47">
        <f t="shared" si="14"/>
        <v>2</v>
      </c>
      <c r="H241" s="26"/>
      <c r="I241" s="47">
        <f t="shared" si="10"/>
        <v>7.8</v>
      </c>
      <c r="J241" s="47">
        <f t="shared" si="13"/>
        <v>566.59999999999991</v>
      </c>
      <c r="K241" s="47">
        <f t="shared" si="11"/>
        <v>36.250799744081888</v>
      </c>
      <c r="L241" s="47">
        <f t="shared" si="12"/>
        <v>0.02</v>
      </c>
      <c r="M241" s="16"/>
    </row>
    <row r="242" spans="4:13" x14ac:dyDescent="0.2">
      <c r="E242" s="47">
        <v>800</v>
      </c>
      <c r="F242" s="47">
        <f t="shared" si="14"/>
        <v>440</v>
      </c>
      <c r="G242" s="47">
        <f t="shared" si="14"/>
        <v>2</v>
      </c>
      <c r="H242" s="26"/>
      <c r="I242" s="47">
        <f t="shared" si="10"/>
        <v>8</v>
      </c>
      <c r="J242" s="47">
        <f t="shared" si="13"/>
        <v>540.9799999999999</v>
      </c>
      <c r="K242" s="47">
        <f t="shared" si="11"/>
        <v>34.611644273832368</v>
      </c>
      <c r="L242" s="47">
        <f t="shared" si="12"/>
        <v>0.02</v>
      </c>
      <c r="M242" s="16"/>
    </row>
    <row r="243" spans="4:13" x14ac:dyDescent="0.2">
      <c r="E243" s="47">
        <v>820</v>
      </c>
      <c r="F243" s="47">
        <f t="shared" si="14"/>
        <v>487</v>
      </c>
      <c r="G243" s="47">
        <f t="shared" si="14"/>
        <v>3</v>
      </c>
      <c r="H243" s="26"/>
      <c r="I243" s="47">
        <f t="shared" si="10"/>
        <v>8.1999999999999993</v>
      </c>
      <c r="J243" s="47">
        <f t="shared" si="13"/>
        <v>598.31999999999994</v>
      </c>
      <c r="K243" s="47">
        <f t="shared" si="11"/>
        <v>38.28023032629558</v>
      </c>
      <c r="L243" s="47">
        <f t="shared" si="12"/>
        <v>0.03</v>
      </c>
      <c r="M243" s="16"/>
    </row>
    <row r="244" spans="4:13" x14ac:dyDescent="0.2">
      <c r="E244" s="47">
        <v>840</v>
      </c>
      <c r="F244" s="47">
        <f t="shared" si="14"/>
        <v>498</v>
      </c>
      <c r="G244" s="47">
        <f t="shared" si="14"/>
        <v>7</v>
      </c>
      <c r="H244" s="26"/>
      <c r="I244" s="47">
        <f t="shared" si="10"/>
        <v>8.4</v>
      </c>
      <c r="J244" s="47">
        <f t="shared" si="13"/>
        <v>611.7399999999999</v>
      </c>
      <c r="K244" s="47">
        <f t="shared" si="11"/>
        <v>39.138835572616756</v>
      </c>
      <c r="L244" s="47">
        <f t="shared" si="12"/>
        <v>7.0000000000000007E-2</v>
      </c>
      <c r="M244" s="16"/>
    </row>
    <row r="245" spans="4:13" x14ac:dyDescent="0.2">
      <c r="E245" s="47">
        <v>860</v>
      </c>
      <c r="F245" s="47">
        <f t="shared" si="14"/>
        <v>487</v>
      </c>
      <c r="G245" s="47">
        <f t="shared" si="14"/>
        <v>10</v>
      </c>
      <c r="H245" s="26"/>
      <c r="I245" s="47">
        <f t="shared" si="10"/>
        <v>8.6</v>
      </c>
      <c r="J245" s="47">
        <f t="shared" si="13"/>
        <v>598.31999999999994</v>
      </c>
      <c r="K245" s="47">
        <f t="shared" si="11"/>
        <v>38.28023032629558</v>
      </c>
      <c r="L245" s="47">
        <f t="shared" si="12"/>
        <v>0.1</v>
      </c>
      <c r="M245" s="16"/>
    </row>
    <row r="246" spans="4:13" x14ac:dyDescent="0.2">
      <c r="E246" s="47">
        <v>880</v>
      </c>
      <c r="F246" s="47">
        <f t="shared" si="14"/>
        <v>484</v>
      </c>
      <c r="G246" s="47">
        <f t="shared" si="14"/>
        <v>13</v>
      </c>
      <c r="H246" s="26"/>
      <c r="I246" s="47">
        <f t="shared" si="10"/>
        <v>8.8000000000000007</v>
      </c>
      <c r="J246" s="47">
        <f t="shared" si="13"/>
        <v>594.66</v>
      </c>
      <c r="K246" s="47">
        <f t="shared" si="11"/>
        <v>38.046065259117078</v>
      </c>
      <c r="L246" s="47">
        <f t="shared" si="12"/>
        <v>0.13</v>
      </c>
      <c r="M246" s="16"/>
    </row>
    <row r="247" spans="4:13" x14ac:dyDescent="0.2">
      <c r="E247" s="47">
        <v>900</v>
      </c>
      <c r="F247" s="47">
        <f t="shared" si="14"/>
        <v>440</v>
      </c>
      <c r="G247" s="47">
        <f t="shared" si="14"/>
        <v>13</v>
      </c>
      <c r="H247" s="26"/>
      <c r="I247" s="47">
        <f t="shared" si="10"/>
        <v>9</v>
      </c>
      <c r="J247" s="47">
        <f t="shared" si="13"/>
        <v>540.9799999999999</v>
      </c>
      <c r="K247" s="47">
        <f t="shared" si="11"/>
        <v>34.611644273832368</v>
      </c>
      <c r="L247" s="47">
        <f t="shared" si="12"/>
        <v>0.13</v>
      </c>
      <c r="M247" s="16"/>
    </row>
    <row r="248" spans="4:13" x14ac:dyDescent="0.2">
      <c r="E248" s="47">
        <v>950</v>
      </c>
      <c r="F248" s="47">
        <f t="shared" si="14"/>
        <v>411</v>
      </c>
      <c r="G248" s="47">
        <f t="shared" si="14"/>
        <v>13</v>
      </c>
      <c r="H248" s="26"/>
      <c r="I248" s="47">
        <f t="shared" si="10"/>
        <v>9.5</v>
      </c>
      <c r="J248" s="47">
        <f t="shared" si="13"/>
        <v>505.6</v>
      </c>
      <c r="K248" s="47">
        <f t="shared" si="11"/>
        <v>32.348048624440182</v>
      </c>
      <c r="L248" s="47">
        <f t="shared" si="12"/>
        <v>0.13</v>
      </c>
      <c r="M248" s="16"/>
    </row>
    <row r="249" spans="4:13" x14ac:dyDescent="0.2">
      <c r="E249" s="47">
        <v>1000</v>
      </c>
      <c r="F249" s="47">
        <f t="shared" si="14"/>
        <v>411</v>
      </c>
      <c r="G249" s="47">
        <f t="shared" si="14"/>
        <v>12</v>
      </c>
      <c r="H249" s="26"/>
      <c r="I249" s="47">
        <f t="shared" si="10"/>
        <v>10</v>
      </c>
      <c r="J249" s="47">
        <f t="shared" si="13"/>
        <v>505.6</v>
      </c>
      <c r="K249" s="47">
        <f t="shared" si="11"/>
        <v>32.348048624440182</v>
      </c>
      <c r="L249" s="47">
        <f t="shared" si="12"/>
        <v>0.12</v>
      </c>
      <c r="M249" s="16"/>
    </row>
    <row r="250" spans="4:13" x14ac:dyDescent="0.2">
      <c r="E250" s="16"/>
      <c r="F250" s="16"/>
      <c r="G250" s="16"/>
      <c r="H250" s="16"/>
      <c r="I250" s="16"/>
      <c r="J250" s="16"/>
      <c r="K250" s="16"/>
      <c r="L250" s="16"/>
      <c r="M250" s="16"/>
    </row>
    <row r="251" spans="4:13" x14ac:dyDescent="0.2">
      <c r="E251" s="52" t="s">
        <v>2</v>
      </c>
      <c r="F251" s="16"/>
      <c r="G251" s="16"/>
      <c r="H251" s="16"/>
      <c r="I251" s="16"/>
      <c r="J251" s="16"/>
      <c r="K251" s="16"/>
      <c r="L251" s="16"/>
      <c r="M251" s="16"/>
    </row>
    <row r="252" spans="4:13" x14ac:dyDescent="0.2">
      <c r="E252" s="16" t="s">
        <v>57</v>
      </c>
      <c r="F252" s="16"/>
      <c r="G252" s="16"/>
      <c r="H252" s="16"/>
      <c r="I252" s="16"/>
      <c r="J252" s="16"/>
      <c r="K252" s="16"/>
      <c r="L252" s="16"/>
      <c r="M252" s="16"/>
    </row>
    <row r="253" spans="4:13" x14ac:dyDescent="0.2">
      <c r="E253" s="16" t="s">
        <v>55</v>
      </c>
      <c r="F253" s="16"/>
      <c r="G253" s="16"/>
      <c r="H253" s="16"/>
      <c r="I253" s="16"/>
      <c r="J253" s="16"/>
      <c r="K253" s="16"/>
      <c r="L253" s="16"/>
      <c r="M253" s="16"/>
    </row>
    <row r="254" spans="4:13" x14ac:dyDescent="0.2">
      <c r="D254" s="79"/>
      <c r="M254" s="16"/>
    </row>
    <row r="255" spans="4:13" x14ac:dyDescent="0.2">
      <c r="D255" s="79"/>
      <c r="M255" s="16"/>
    </row>
    <row r="267" spans="5:12" x14ac:dyDescent="0.2">
      <c r="E267" s="80"/>
      <c r="F267" s="81"/>
      <c r="G267" s="82"/>
      <c r="H267" s="82"/>
      <c r="I267" s="82"/>
      <c r="J267" s="82"/>
      <c r="K267" s="82"/>
      <c r="L267" s="82"/>
    </row>
    <row r="268" spans="5:12" x14ac:dyDescent="0.2">
      <c r="E268" s="83"/>
      <c r="F268" s="84"/>
      <c r="G268" s="82"/>
      <c r="H268" s="82"/>
      <c r="I268" s="82"/>
      <c r="J268" s="82"/>
      <c r="K268" s="82"/>
      <c r="L268" s="82"/>
    </row>
    <row r="269" spans="5:12" x14ac:dyDescent="0.2">
      <c r="E269" s="58"/>
      <c r="F269" s="58"/>
      <c r="G269" s="58"/>
      <c r="H269" s="58"/>
      <c r="I269" s="58"/>
      <c r="J269" s="58"/>
      <c r="K269" s="58"/>
      <c r="L269" s="58"/>
    </row>
    <row r="270" spans="5:12" x14ac:dyDescent="0.2">
      <c r="E270" s="58"/>
      <c r="F270" s="58"/>
      <c r="G270" s="58"/>
      <c r="H270" s="58"/>
      <c r="I270" s="58"/>
      <c r="J270" s="58"/>
      <c r="K270" s="58"/>
      <c r="L270" s="58"/>
    </row>
    <row r="271" spans="5:12" x14ac:dyDescent="0.2">
      <c r="E271" s="58"/>
      <c r="F271" s="58"/>
      <c r="G271" s="58"/>
      <c r="H271" s="58"/>
      <c r="I271" s="58"/>
      <c r="J271" s="58"/>
      <c r="K271" s="58"/>
      <c r="L271" s="58"/>
    </row>
    <row r="272" spans="5:12" x14ac:dyDescent="0.2">
      <c r="E272" s="58"/>
      <c r="F272" s="58"/>
      <c r="G272" s="58"/>
      <c r="H272" s="58"/>
      <c r="I272" s="58"/>
      <c r="J272" s="58"/>
      <c r="K272" s="58"/>
      <c r="L272" s="58"/>
    </row>
    <row r="273" spans="5:12" x14ac:dyDescent="0.2">
      <c r="E273" s="58"/>
      <c r="F273" s="58"/>
      <c r="G273" s="58"/>
      <c r="H273" s="58"/>
      <c r="I273" s="58"/>
      <c r="J273" s="58"/>
      <c r="K273" s="58"/>
      <c r="L273" s="58"/>
    </row>
    <row r="274" spans="5:12" x14ac:dyDescent="0.2">
      <c r="E274" s="58"/>
      <c r="F274" s="58"/>
      <c r="G274" s="58"/>
      <c r="H274" s="58"/>
      <c r="I274" s="58"/>
      <c r="J274" s="58"/>
      <c r="K274" s="58"/>
      <c r="L274" s="58"/>
    </row>
    <row r="275" spans="5:12" x14ac:dyDescent="0.2">
      <c r="E275" s="58"/>
      <c r="F275" s="58"/>
      <c r="G275" s="58"/>
      <c r="H275" s="58"/>
      <c r="I275" s="58"/>
      <c r="J275" s="58"/>
      <c r="K275" s="58"/>
      <c r="L275" s="58"/>
    </row>
  </sheetData>
  <sheetProtection formatCells="0" formatColumns="0" formatRows="0"/>
  <mergeCells count="3">
    <mergeCell ref="E1:M1"/>
    <mergeCell ref="N1:U1"/>
    <mergeCell ref="V2:AI2"/>
  </mergeCells>
  <conditionalFormatting sqref="B5">
    <cfRule type="cellIs" dxfId="17" priority="9" operator="greaterThan">
      <formula>0</formula>
    </cfRule>
  </conditionalFormatting>
  <conditionalFormatting sqref="B6 B8:B11">
    <cfRule type="cellIs" dxfId="16" priority="8" operator="greaterThan">
      <formula>0</formula>
    </cfRule>
  </conditionalFormatting>
  <conditionalFormatting sqref="C13">
    <cfRule type="cellIs" dxfId="15" priority="7" operator="greaterThan">
      <formula>0</formula>
    </cfRule>
  </conditionalFormatting>
  <conditionalFormatting sqref="B17:C74">
    <cfRule type="cellIs" dxfId="14" priority="6" operator="greaterThan">
      <formula>0</formula>
    </cfRule>
  </conditionalFormatting>
  <conditionalFormatting sqref="C76">
    <cfRule type="cellIs" dxfId="13" priority="5" operator="greaterThan">
      <formula>0</formula>
    </cfRule>
  </conditionalFormatting>
  <conditionalFormatting sqref="B80:C137">
    <cfRule type="cellIs" dxfId="12" priority="4" operator="greaterThan">
      <formula>0</formula>
    </cfRule>
  </conditionalFormatting>
  <conditionalFormatting sqref="C139">
    <cfRule type="cellIs" dxfId="11" priority="3" operator="greaterThan">
      <formula>0</formula>
    </cfRule>
  </conditionalFormatting>
  <conditionalFormatting sqref="B143:C200">
    <cfRule type="cellIs" dxfId="10" priority="2" operator="greaterThan">
      <formula>0</formula>
    </cfRule>
  </conditionalFormatting>
  <conditionalFormatting sqref="B7">
    <cfRule type="cellIs" dxfId="9" priority="1" operator="greaterThan">
      <formula>0</formula>
    </cfRule>
  </conditionalFormatting>
  <printOptions horizontalCentered="1" verticalCentered="1"/>
  <pageMargins left="0.75" right="0.75" top="1" bottom="1" header="0" footer="0"/>
  <pageSetup paperSize="9" orientation="landscape" horizontalDpi="300" verticalDpi="300" r:id="rId1"/>
  <headerFooter alignWithMargins="0"/>
  <ignoredErrors>
    <ignoredError sqref="N1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92D050"/>
  </sheetPr>
  <dimension ref="A1:AS255"/>
  <sheetViews>
    <sheetView zoomScaleNormal="100" workbookViewId="0">
      <selection activeCell="I19" sqref="I19"/>
    </sheetView>
  </sheetViews>
  <sheetFormatPr baseColWidth="10" defaultRowHeight="12" x14ac:dyDescent="0.2"/>
  <cols>
    <col min="1" max="1" width="10.25" style="53" customWidth="1"/>
    <col min="2" max="3" width="10.875" style="53" customWidth="1"/>
    <col min="4" max="4" width="11" style="53"/>
    <col min="5" max="5" width="15.875" style="53" customWidth="1"/>
    <col min="6" max="7" width="11.5" style="53" customWidth="1"/>
    <col min="8" max="8" width="4.75" style="53" customWidth="1"/>
    <col min="9" max="13" width="11.5" style="53" customWidth="1"/>
    <col min="14" max="21" width="11" style="53"/>
    <col min="22" max="22" width="8.125" style="53" customWidth="1"/>
    <col min="23" max="23" width="3.375" style="53" customWidth="1"/>
    <col min="24" max="24" width="11" style="58"/>
    <col min="25" max="25" width="11" style="58" customWidth="1"/>
    <col min="26" max="26" width="11" style="58"/>
    <col min="27" max="27" width="10.125" style="58" customWidth="1"/>
    <col min="28" max="28" width="11" style="58"/>
    <col min="29" max="29" width="2.5" style="58" customWidth="1"/>
    <col min="30" max="33" width="11" style="58"/>
    <col min="34" max="34" width="3" style="63" customWidth="1"/>
    <col min="35" max="35" width="6.375" style="63" customWidth="1"/>
    <col min="36" max="36" width="11" style="63"/>
    <col min="37" max="37" width="1" style="63" customWidth="1"/>
    <col min="38" max="16384" width="11" style="53"/>
  </cols>
  <sheetData>
    <row r="1" spans="1:45" x14ac:dyDescent="0.2">
      <c r="A1" s="59" t="s">
        <v>56</v>
      </c>
      <c r="B1" s="60"/>
      <c r="C1" s="61"/>
      <c r="E1" s="97" t="s">
        <v>54</v>
      </c>
      <c r="F1" s="97"/>
      <c r="G1" s="97"/>
      <c r="H1" s="97"/>
      <c r="I1" s="97"/>
      <c r="J1" s="97"/>
      <c r="K1" s="97"/>
      <c r="L1" s="97"/>
      <c r="M1" s="97"/>
      <c r="N1" s="95" t="str">
        <f>+E1</f>
        <v>ENSAYO DE CORTE DIRECTO PARA DISCONTINUIDADES ARTIFICIALES EN ROCAS</v>
      </c>
      <c r="O1" s="95"/>
      <c r="P1" s="95"/>
      <c r="Q1" s="95"/>
      <c r="R1" s="95"/>
      <c r="S1" s="95"/>
      <c r="T1" s="95"/>
      <c r="U1" s="95"/>
      <c r="X1" s="62"/>
      <c r="Y1" s="62"/>
      <c r="Z1" s="62"/>
      <c r="AA1" s="62"/>
      <c r="AB1" s="62"/>
      <c r="AC1" s="62"/>
      <c r="AD1" s="62"/>
      <c r="AE1" s="62"/>
      <c r="AF1" s="62"/>
      <c r="AG1" s="62"/>
    </row>
    <row r="2" spans="1:45" ht="12.75" customHeight="1" x14ac:dyDescent="0.2">
      <c r="A2" s="64" t="s">
        <v>53</v>
      </c>
      <c r="B2" s="65"/>
      <c r="C2" s="66"/>
      <c r="E2" s="16"/>
      <c r="F2" s="16"/>
      <c r="G2" s="16"/>
      <c r="H2" s="16"/>
      <c r="I2" s="16"/>
      <c r="J2" s="16"/>
      <c r="K2" s="16"/>
      <c r="L2" s="16"/>
      <c r="M2" s="16"/>
      <c r="V2" s="98" t="s">
        <v>52</v>
      </c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</row>
    <row r="3" spans="1:45" x14ac:dyDescent="0.2">
      <c r="A3" s="67" t="s">
        <v>51</v>
      </c>
      <c r="B3" s="68"/>
      <c r="C3" s="69"/>
      <c r="E3" s="12" t="s">
        <v>0</v>
      </c>
      <c r="F3" s="17" t="str">
        <f>B5</f>
        <v>C1BH-L12-L10-3+780-D</v>
      </c>
      <c r="G3" s="18"/>
      <c r="H3" s="18"/>
      <c r="I3" s="18"/>
      <c r="J3" s="18"/>
      <c r="K3" s="18"/>
      <c r="L3" s="19"/>
      <c r="M3" s="16"/>
    </row>
    <row r="4" spans="1:45" x14ac:dyDescent="0.2">
      <c r="E4" s="11" t="s">
        <v>39</v>
      </c>
      <c r="F4" s="20" t="str">
        <f>+'Ingreso Datos'!C3</f>
        <v>1.914.650-G</v>
      </c>
      <c r="G4" s="21"/>
      <c r="H4" s="21"/>
      <c r="I4" s="21"/>
      <c r="J4" s="21"/>
      <c r="K4" s="21"/>
      <c r="L4" s="22"/>
      <c r="M4" s="16"/>
      <c r="AK4" s="70" t="str">
        <f>+CONCATENATE(A5,"  ",":","  ",B5)</f>
        <v>PROYECTO  :  C1BH-L12-L10-3+780-D</v>
      </c>
      <c r="AL4" s="71"/>
      <c r="AM4" s="71"/>
      <c r="AN4" s="71"/>
      <c r="AO4" s="71"/>
      <c r="AP4" s="71"/>
      <c r="AQ4" s="71"/>
      <c r="AR4" s="71"/>
      <c r="AS4" s="71"/>
    </row>
    <row r="5" spans="1:45" x14ac:dyDescent="0.2">
      <c r="A5" s="53" t="s">
        <v>10</v>
      </c>
      <c r="B5" s="72" t="str">
        <f>+'Ingreso Datos'!C2</f>
        <v>C1BH-L12-L10-3+780-D</v>
      </c>
      <c r="E5" s="11" t="s">
        <v>1</v>
      </c>
      <c r="F5" s="20" t="str">
        <f>+'Ingreso Datos'!C4</f>
        <v>-</v>
      </c>
      <c r="G5" s="21"/>
      <c r="H5" s="21"/>
      <c r="I5" s="21"/>
      <c r="J5" s="21"/>
      <c r="K5" s="21"/>
      <c r="L5" s="22"/>
      <c r="M5" s="16"/>
      <c r="AK5" s="70" t="str">
        <f>+CONCATENATE(A7,"  ",":","  ",B7)</f>
        <v>MUESTRA  :  C1BH-L12-L10-3+780-D (44,10-44,30)</v>
      </c>
      <c r="AL5" s="71"/>
      <c r="AM5" s="71"/>
      <c r="AN5" s="71"/>
      <c r="AO5" s="71"/>
      <c r="AP5" s="71"/>
      <c r="AQ5" s="71"/>
      <c r="AR5" s="71"/>
      <c r="AS5" s="71"/>
    </row>
    <row r="6" spans="1:45" x14ac:dyDescent="0.2">
      <c r="A6" s="53" t="s">
        <v>50</v>
      </c>
      <c r="B6" s="91">
        <v>45447</v>
      </c>
      <c r="E6" s="23" t="s">
        <v>38</v>
      </c>
      <c r="F6" s="99">
        <f>+B6</f>
        <v>45447</v>
      </c>
      <c r="G6" s="24"/>
      <c r="H6" s="24"/>
      <c r="I6" s="24"/>
      <c r="J6" s="24"/>
      <c r="K6" s="24"/>
      <c r="L6" s="25"/>
      <c r="M6" s="16"/>
    </row>
    <row r="7" spans="1:45" x14ac:dyDescent="0.2">
      <c r="A7" s="53" t="s">
        <v>11</v>
      </c>
      <c r="B7" s="73" t="s">
        <v>77</v>
      </c>
      <c r="C7" s="74"/>
      <c r="E7" s="23" t="s">
        <v>37</v>
      </c>
      <c r="F7" s="99">
        <f>B6</f>
        <v>45447</v>
      </c>
      <c r="G7" s="24"/>
      <c r="H7" s="24"/>
      <c r="I7" s="24"/>
      <c r="J7" s="24"/>
      <c r="K7" s="24"/>
      <c r="L7" s="25"/>
      <c r="M7" s="16"/>
      <c r="W7" s="58"/>
      <c r="AH7" s="75"/>
    </row>
    <row r="8" spans="1:45" x14ac:dyDescent="0.2">
      <c r="A8" s="53" t="s">
        <v>17</v>
      </c>
      <c r="B8" s="73" t="s">
        <v>76</v>
      </c>
      <c r="C8" s="74"/>
      <c r="E8" s="26"/>
      <c r="F8" s="27"/>
      <c r="G8" s="26"/>
      <c r="H8" s="16"/>
      <c r="I8" s="16"/>
      <c r="J8" s="16"/>
      <c r="K8" s="16"/>
      <c r="L8" s="16"/>
      <c r="M8" s="16"/>
      <c r="W8" s="58"/>
      <c r="AH8" s="75"/>
    </row>
    <row r="9" spans="1:45" x14ac:dyDescent="0.2">
      <c r="A9" s="53" t="s">
        <v>16</v>
      </c>
      <c r="B9" s="73" t="s">
        <v>67</v>
      </c>
      <c r="C9" s="76"/>
      <c r="E9" s="23" t="s">
        <v>36</v>
      </c>
      <c r="F9" s="15" t="str">
        <f>B$7</f>
        <v>C1BH-L12-L10-3+780-D (44,10-44,30)</v>
      </c>
      <c r="G9" s="21"/>
      <c r="H9" s="21"/>
      <c r="I9" s="21"/>
      <c r="J9" s="21"/>
      <c r="K9" s="21"/>
      <c r="L9" s="22"/>
      <c r="M9" s="16"/>
      <c r="W9" s="58"/>
      <c r="AH9" s="75"/>
    </row>
    <row r="10" spans="1:45" x14ac:dyDescent="0.2">
      <c r="A10" s="77" t="s">
        <v>15</v>
      </c>
      <c r="B10" s="73" t="s">
        <v>75</v>
      </c>
      <c r="E10" s="10" t="s">
        <v>3</v>
      </c>
      <c r="F10" s="15" t="str">
        <f>B8</f>
        <v xml:space="preserve">Toba lítica </v>
      </c>
      <c r="G10" s="21"/>
      <c r="H10" s="28"/>
      <c r="I10" s="28"/>
      <c r="J10" s="28"/>
      <c r="K10" s="28"/>
      <c r="L10" s="29"/>
      <c r="M10" s="16"/>
      <c r="W10" s="58"/>
      <c r="AH10" s="75"/>
    </row>
    <row r="11" spans="1:45" x14ac:dyDescent="0.2">
      <c r="A11" s="53" t="s">
        <v>49</v>
      </c>
      <c r="B11" s="73">
        <v>21.42</v>
      </c>
      <c r="C11" s="53" t="s">
        <v>58</v>
      </c>
      <c r="E11" s="30" t="s">
        <v>4</v>
      </c>
      <c r="F11" s="15" t="str">
        <f>B9</f>
        <v>Zeolitas</v>
      </c>
      <c r="G11" s="21"/>
      <c r="H11" s="28"/>
      <c r="I11" s="28"/>
      <c r="J11" s="28"/>
      <c r="K11" s="28"/>
      <c r="L11" s="29"/>
      <c r="M11" s="16"/>
      <c r="W11" s="58"/>
      <c r="AH11" s="75"/>
    </row>
    <row r="12" spans="1:45" x14ac:dyDescent="0.2">
      <c r="E12" s="30" t="s">
        <v>5</v>
      </c>
      <c r="F12" s="15" t="str">
        <f>B10</f>
        <v>Zeolitización y oxidación</v>
      </c>
      <c r="G12" s="21"/>
      <c r="H12" s="28"/>
      <c r="I12" s="28"/>
      <c r="J12" s="28"/>
      <c r="K12" s="28"/>
      <c r="L12" s="29"/>
      <c r="M12" s="16"/>
      <c r="W12" s="58"/>
      <c r="AH12" s="75"/>
    </row>
    <row r="13" spans="1:45" x14ac:dyDescent="0.2">
      <c r="A13" s="53" t="s">
        <v>59</v>
      </c>
      <c r="C13" s="73">
        <v>7.52</v>
      </c>
      <c r="E13" s="26"/>
      <c r="F13" s="26"/>
      <c r="G13" s="26"/>
      <c r="H13" s="16"/>
      <c r="I13" s="16"/>
      <c r="J13" s="16"/>
      <c r="K13" s="16"/>
      <c r="L13" s="16"/>
      <c r="M13" s="16"/>
      <c r="W13" s="58"/>
      <c r="AH13" s="75"/>
    </row>
    <row r="14" spans="1:45" x14ac:dyDescent="0.2">
      <c r="A14" s="54" t="s">
        <v>22</v>
      </c>
      <c r="B14" s="55" t="s">
        <v>24</v>
      </c>
      <c r="C14" s="54" t="s">
        <v>22</v>
      </c>
      <c r="E14" s="31" t="s">
        <v>48</v>
      </c>
      <c r="F14" s="26"/>
      <c r="G14" s="26"/>
      <c r="H14" s="16"/>
      <c r="I14" s="16"/>
      <c r="J14" s="16"/>
      <c r="K14" s="16"/>
      <c r="L14" s="16"/>
      <c r="M14" s="16"/>
      <c r="W14" s="58"/>
      <c r="AH14" s="75"/>
    </row>
    <row r="15" spans="1:45" x14ac:dyDescent="0.2">
      <c r="A15" s="56" t="s">
        <v>21</v>
      </c>
      <c r="B15" s="56" t="s">
        <v>20</v>
      </c>
      <c r="C15" s="56" t="s">
        <v>19</v>
      </c>
      <c r="E15" s="32" t="s">
        <v>34</v>
      </c>
      <c r="F15" s="33" t="s">
        <v>27</v>
      </c>
      <c r="G15" s="34">
        <f>B11</f>
        <v>21.42</v>
      </c>
      <c r="H15" s="16"/>
      <c r="I15" s="35"/>
      <c r="J15" s="16"/>
      <c r="K15" s="16"/>
      <c r="L15" s="16"/>
      <c r="M15" s="16"/>
      <c r="W15" s="58"/>
      <c r="AH15" s="75"/>
    </row>
    <row r="16" spans="1:45" x14ac:dyDescent="0.2">
      <c r="A16" s="57" t="s">
        <v>18</v>
      </c>
      <c r="B16" s="57" t="s">
        <v>61</v>
      </c>
      <c r="C16" s="57" t="s">
        <v>18</v>
      </c>
      <c r="E16" s="36" t="s">
        <v>33</v>
      </c>
      <c r="F16" s="37" t="s">
        <v>14</v>
      </c>
      <c r="G16" s="38">
        <f>G17/G15</f>
        <v>40.814938281527922</v>
      </c>
      <c r="H16" s="39" t="s">
        <v>14</v>
      </c>
      <c r="I16" s="16"/>
      <c r="J16" s="16"/>
      <c r="K16" s="16"/>
      <c r="L16" s="16"/>
      <c r="M16" s="16"/>
      <c r="W16" s="58"/>
      <c r="AH16" s="75"/>
    </row>
    <row r="17" spans="1:34" x14ac:dyDescent="0.2">
      <c r="A17" s="78">
        <v>0</v>
      </c>
      <c r="B17" s="73">
        <v>0</v>
      </c>
      <c r="C17" s="73">
        <v>0</v>
      </c>
      <c r="E17" s="32" t="s">
        <v>32</v>
      </c>
      <c r="F17" s="33" t="s">
        <v>31</v>
      </c>
      <c r="G17" s="38">
        <f>+G19*$G$20</f>
        <v>874.25597799032823</v>
      </c>
      <c r="H17" s="40"/>
      <c r="I17" s="35"/>
      <c r="J17" s="16"/>
      <c r="K17" s="16"/>
      <c r="L17" s="16"/>
      <c r="M17" s="16"/>
      <c r="W17" s="58"/>
      <c r="AH17" s="75"/>
    </row>
    <row r="18" spans="1:34" x14ac:dyDescent="0.2">
      <c r="A18" s="78">
        <v>10</v>
      </c>
      <c r="B18" s="73">
        <v>34</v>
      </c>
      <c r="C18" s="73">
        <v>-1</v>
      </c>
      <c r="E18" s="32" t="s">
        <v>30</v>
      </c>
      <c r="F18" s="37" t="s">
        <v>29</v>
      </c>
      <c r="G18" s="38">
        <f>3.81</f>
        <v>3.81</v>
      </c>
      <c r="H18" s="41"/>
      <c r="I18" s="16"/>
      <c r="J18" s="16"/>
      <c r="K18" s="16"/>
      <c r="L18" s="16"/>
      <c r="M18" s="16"/>
      <c r="W18" s="58"/>
      <c r="AH18" s="75"/>
    </row>
    <row r="19" spans="1:34" x14ac:dyDescent="0.2">
      <c r="A19" s="78">
        <v>20</v>
      </c>
      <c r="B19" s="73">
        <v>52</v>
      </c>
      <c r="C19" s="73">
        <v>-1</v>
      </c>
      <c r="E19" s="32" t="s">
        <v>28</v>
      </c>
      <c r="F19" s="33" t="s">
        <v>27</v>
      </c>
      <c r="G19" s="38">
        <f>((G18/2)^2)*PI()</f>
        <v>11.400918279693698</v>
      </c>
      <c r="H19" s="40"/>
      <c r="I19" s="16"/>
      <c r="J19" s="16"/>
      <c r="K19" s="16"/>
      <c r="L19" s="16"/>
      <c r="M19" s="16"/>
      <c r="W19" s="58"/>
      <c r="AH19" s="75"/>
    </row>
    <row r="20" spans="1:34" x14ac:dyDescent="0.2">
      <c r="A20" s="78">
        <v>30</v>
      </c>
      <c r="B20" s="73">
        <v>69</v>
      </c>
      <c r="C20" s="73">
        <v>-6</v>
      </c>
      <c r="E20" s="32" t="s">
        <v>60</v>
      </c>
      <c r="F20" s="37" t="s">
        <v>14</v>
      </c>
      <c r="G20" s="38">
        <f>+C13*10.1972</f>
        <v>76.682944000000006</v>
      </c>
      <c r="H20" s="40"/>
      <c r="I20" s="35"/>
      <c r="J20" s="16"/>
      <c r="K20" s="16"/>
      <c r="L20" s="16"/>
      <c r="M20" s="16"/>
      <c r="W20" s="58"/>
      <c r="AH20" s="75"/>
    </row>
    <row r="21" spans="1:34" x14ac:dyDescent="0.2">
      <c r="A21" s="78">
        <v>40</v>
      </c>
      <c r="B21" s="73">
        <v>84</v>
      </c>
      <c r="C21" s="73">
        <v>-5</v>
      </c>
      <c r="E21" s="26"/>
      <c r="F21" s="26"/>
      <c r="G21" s="26"/>
      <c r="H21" s="16"/>
      <c r="I21" s="16"/>
      <c r="J21" s="16"/>
      <c r="K21" s="16"/>
      <c r="L21" s="16"/>
      <c r="M21" s="16"/>
      <c r="W21" s="58"/>
      <c r="AH21" s="75"/>
    </row>
    <row r="22" spans="1:34" x14ac:dyDescent="0.2">
      <c r="A22" s="78">
        <v>50</v>
      </c>
      <c r="B22" s="73">
        <v>124</v>
      </c>
      <c r="C22" s="73">
        <v>-5</v>
      </c>
      <c r="E22" s="42" t="s">
        <v>47</v>
      </c>
      <c r="F22" s="16"/>
      <c r="G22" s="16"/>
      <c r="H22" s="16"/>
      <c r="I22" s="16"/>
      <c r="J22" s="16"/>
      <c r="K22" s="16"/>
      <c r="L22" s="16"/>
      <c r="M22" s="16"/>
      <c r="W22" s="58"/>
      <c r="AH22" s="75"/>
    </row>
    <row r="23" spans="1:34" x14ac:dyDescent="0.2">
      <c r="A23" s="78">
        <v>60</v>
      </c>
      <c r="B23" s="73">
        <v>185</v>
      </c>
      <c r="C23" s="73">
        <v>-4</v>
      </c>
      <c r="E23" s="43" t="s">
        <v>22</v>
      </c>
      <c r="F23" s="44" t="s">
        <v>24</v>
      </c>
      <c r="G23" s="43" t="s">
        <v>22</v>
      </c>
      <c r="H23" s="16"/>
      <c r="I23" s="43" t="s">
        <v>22</v>
      </c>
      <c r="J23" s="43" t="s">
        <v>13</v>
      </c>
      <c r="K23" s="43" t="s">
        <v>23</v>
      </c>
      <c r="L23" s="43" t="s">
        <v>22</v>
      </c>
      <c r="M23" s="16"/>
      <c r="W23" s="58"/>
      <c r="AH23" s="75"/>
    </row>
    <row r="24" spans="1:34" x14ac:dyDescent="0.2">
      <c r="A24" s="78">
        <v>70</v>
      </c>
      <c r="B24" s="73">
        <v>319</v>
      </c>
      <c r="C24" s="73">
        <v>-2</v>
      </c>
      <c r="E24" s="45" t="s">
        <v>21</v>
      </c>
      <c r="F24" s="45" t="s">
        <v>20</v>
      </c>
      <c r="G24" s="45" t="s">
        <v>19</v>
      </c>
      <c r="H24" s="16"/>
      <c r="I24" s="45" t="s">
        <v>21</v>
      </c>
      <c r="J24" s="45" t="s">
        <v>20</v>
      </c>
      <c r="K24" s="45" t="s">
        <v>20</v>
      </c>
      <c r="L24" s="45" t="s">
        <v>19</v>
      </c>
      <c r="M24" s="16"/>
      <c r="W24" s="58"/>
      <c r="AH24" s="75"/>
    </row>
    <row r="25" spans="1:34" x14ac:dyDescent="0.2">
      <c r="A25" s="78">
        <v>80</v>
      </c>
      <c r="B25" s="73">
        <v>656</v>
      </c>
      <c r="C25" s="73">
        <v>-3</v>
      </c>
      <c r="E25" s="46" t="s">
        <v>18</v>
      </c>
      <c r="F25" s="46" t="s">
        <v>61</v>
      </c>
      <c r="G25" s="46" t="s">
        <v>18</v>
      </c>
      <c r="H25" s="16"/>
      <c r="I25" s="46" t="s">
        <v>12</v>
      </c>
      <c r="J25" s="46" t="s">
        <v>31</v>
      </c>
      <c r="K25" s="46" t="s">
        <v>14</v>
      </c>
      <c r="L25" s="46" t="s">
        <v>12</v>
      </c>
      <c r="M25" s="16"/>
      <c r="W25" s="58"/>
      <c r="AH25" s="75"/>
    </row>
    <row r="26" spans="1:34" x14ac:dyDescent="0.2">
      <c r="A26" s="78">
        <v>90</v>
      </c>
      <c r="B26" s="73">
        <v>759</v>
      </c>
      <c r="C26" s="73">
        <v>-3</v>
      </c>
      <c r="E26" s="47">
        <v>0</v>
      </c>
      <c r="F26" s="47">
        <f t="shared" ref="F26:G57" si="0">B17</f>
        <v>0</v>
      </c>
      <c r="G26" s="47">
        <f t="shared" si="0"/>
        <v>0</v>
      </c>
      <c r="H26" s="48"/>
      <c r="I26" s="47">
        <f t="shared" ref="I26:I83" si="1">+E26*0.01</f>
        <v>0</v>
      </c>
      <c r="J26" s="47">
        <f>+IF(AND(F26&gt;=0,F26&lt;=500),1.22*F26+4.18,IF(AND(F26&gt;500,F26&lt;=4500),1.16*F26+24.01,"Error"))</f>
        <v>4.18</v>
      </c>
      <c r="K26" s="47">
        <f t="shared" ref="K26:K83" si="2">+J26/$G$15</f>
        <v>0.19514472455648924</v>
      </c>
      <c r="L26" s="47">
        <f t="shared" ref="L26:L83" si="3">+G26*0.01</f>
        <v>0</v>
      </c>
      <c r="M26" s="16"/>
      <c r="W26" s="58"/>
      <c r="AH26" s="75"/>
    </row>
    <row r="27" spans="1:34" x14ac:dyDescent="0.2">
      <c r="A27" s="78">
        <v>100</v>
      </c>
      <c r="B27" s="73">
        <v>852</v>
      </c>
      <c r="C27" s="73">
        <v>-3</v>
      </c>
      <c r="E27" s="47">
        <v>10</v>
      </c>
      <c r="F27" s="47">
        <f t="shared" si="0"/>
        <v>34</v>
      </c>
      <c r="G27" s="47">
        <f t="shared" si="0"/>
        <v>-1</v>
      </c>
      <c r="H27" s="26"/>
      <c r="I27" s="47">
        <f t="shared" si="1"/>
        <v>0.1</v>
      </c>
      <c r="J27" s="47">
        <f t="shared" ref="J27:J83" si="4">+IF(AND(F27&gt;=0,F27&lt;=500),1.22*F27+4.18,IF(AND(F27&gt;500,F27&lt;=4500),1.16*F27+24.01,"Error"))</f>
        <v>45.66</v>
      </c>
      <c r="K27" s="47">
        <f t="shared" si="2"/>
        <v>2.1316526610644253</v>
      </c>
      <c r="L27" s="47">
        <f t="shared" si="3"/>
        <v>-0.01</v>
      </c>
      <c r="M27" s="16"/>
      <c r="W27" s="58"/>
      <c r="AH27" s="75"/>
    </row>
    <row r="28" spans="1:34" x14ac:dyDescent="0.2">
      <c r="A28" s="78">
        <v>110</v>
      </c>
      <c r="B28" s="73">
        <v>1102</v>
      </c>
      <c r="C28" s="73">
        <v>10</v>
      </c>
      <c r="E28" s="47">
        <v>20</v>
      </c>
      <c r="F28" s="47">
        <f t="shared" si="0"/>
        <v>52</v>
      </c>
      <c r="G28" s="47">
        <f t="shared" si="0"/>
        <v>-1</v>
      </c>
      <c r="H28" s="26"/>
      <c r="I28" s="47">
        <f t="shared" si="1"/>
        <v>0.2</v>
      </c>
      <c r="J28" s="47">
        <f t="shared" si="4"/>
        <v>67.62</v>
      </c>
      <c r="K28" s="47">
        <f t="shared" si="2"/>
        <v>3.1568627450980391</v>
      </c>
      <c r="L28" s="47">
        <f t="shared" si="3"/>
        <v>-0.01</v>
      </c>
      <c r="M28" s="16"/>
      <c r="W28" s="58"/>
      <c r="AH28" s="75"/>
    </row>
    <row r="29" spans="1:34" x14ac:dyDescent="0.2">
      <c r="A29" s="78">
        <v>120</v>
      </c>
      <c r="B29" s="73">
        <v>1047</v>
      </c>
      <c r="C29" s="73">
        <v>50</v>
      </c>
      <c r="E29" s="47">
        <v>30</v>
      </c>
      <c r="F29" s="47">
        <f t="shared" si="0"/>
        <v>69</v>
      </c>
      <c r="G29" s="47">
        <f t="shared" si="0"/>
        <v>-6</v>
      </c>
      <c r="H29" s="26"/>
      <c r="I29" s="47">
        <f t="shared" si="1"/>
        <v>0.3</v>
      </c>
      <c r="J29" s="47">
        <f t="shared" si="4"/>
        <v>88.359999999999985</v>
      </c>
      <c r="K29" s="47">
        <f t="shared" si="2"/>
        <v>4.1251167133520061</v>
      </c>
      <c r="L29" s="47">
        <f t="shared" si="3"/>
        <v>-0.06</v>
      </c>
      <c r="M29" s="16"/>
      <c r="W29" s="58"/>
      <c r="AH29" s="75"/>
    </row>
    <row r="30" spans="1:34" x14ac:dyDescent="0.2">
      <c r="A30" s="78">
        <v>130</v>
      </c>
      <c r="B30" s="73">
        <v>1064</v>
      </c>
      <c r="C30" s="73">
        <v>60</v>
      </c>
      <c r="E30" s="47">
        <v>40</v>
      </c>
      <c r="F30" s="47">
        <f t="shared" si="0"/>
        <v>84</v>
      </c>
      <c r="G30" s="47">
        <f t="shared" si="0"/>
        <v>-5</v>
      </c>
      <c r="H30" s="26"/>
      <c r="I30" s="47">
        <f t="shared" si="1"/>
        <v>0.4</v>
      </c>
      <c r="J30" s="47">
        <f t="shared" si="4"/>
        <v>106.66</v>
      </c>
      <c r="K30" s="47">
        <f t="shared" si="2"/>
        <v>4.9794584500466845</v>
      </c>
      <c r="L30" s="47">
        <f t="shared" si="3"/>
        <v>-0.05</v>
      </c>
      <c r="M30" s="16"/>
      <c r="W30" s="58"/>
      <c r="AH30" s="75"/>
    </row>
    <row r="31" spans="1:34" x14ac:dyDescent="0.2">
      <c r="A31" s="78">
        <v>140</v>
      </c>
      <c r="B31" s="73">
        <v>1171</v>
      </c>
      <c r="C31" s="73">
        <v>60</v>
      </c>
      <c r="E31" s="47">
        <v>50</v>
      </c>
      <c r="F31" s="47">
        <f t="shared" si="0"/>
        <v>124</v>
      </c>
      <c r="G31" s="47">
        <f t="shared" si="0"/>
        <v>-5</v>
      </c>
      <c r="H31" s="26"/>
      <c r="I31" s="47">
        <f t="shared" si="1"/>
        <v>0.5</v>
      </c>
      <c r="J31" s="47">
        <f t="shared" si="4"/>
        <v>155.46</v>
      </c>
      <c r="K31" s="47">
        <f t="shared" si="2"/>
        <v>7.257703081232493</v>
      </c>
      <c r="L31" s="47">
        <f t="shared" si="3"/>
        <v>-0.05</v>
      </c>
      <c r="M31" s="16"/>
      <c r="W31" s="58"/>
      <c r="AH31" s="75"/>
    </row>
    <row r="32" spans="1:34" x14ac:dyDescent="0.2">
      <c r="A32" s="78">
        <v>150</v>
      </c>
      <c r="B32" s="73">
        <v>1212</v>
      </c>
      <c r="C32" s="73">
        <v>70</v>
      </c>
      <c r="E32" s="47">
        <v>60</v>
      </c>
      <c r="F32" s="47">
        <f t="shared" si="0"/>
        <v>185</v>
      </c>
      <c r="G32" s="47">
        <f t="shared" si="0"/>
        <v>-4</v>
      </c>
      <c r="H32" s="26"/>
      <c r="I32" s="47">
        <f t="shared" si="1"/>
        <v>0.6</v>
      </c>
      <c r="J32" s="47">
        <f t="shared" si="4"/>
        <v>229.88</v>
      </c>
      <c r="K32" s="47">
        <f t="shared" si="2"/>
        <v>10.732026143790849</v>
      </c>
      <c r="L32" s="47">
        <f t="shared" si="3"/>
        <v>-0.04</v>
      </c>
      <c r="M32" s="16"/>
      <c r="W32" s="58"/>
      <c r="AH32" s="75"/>
    </row>
    <row r="33" spans="1:34" x14ac:dyDescent="0.2">
      <c r="A33" s="78">
        <v>160</v>
      </c>
      <c r="B33" s="73">
        <v>1081</v>
      </c>
      <c r="C33" s="73">
        <v>75</v>
      </c>
      <c r="E33" s="47">
        <v>70</v>
      </c>
      <c r="F33" s="47">
        <f t="shared" si="0"/>
        <v>319</v>
      </c>
      <c r="G33" s="47">
        <f t="shared" si="0"/>
        <v>-2</v>
      </c>
      <c r="H33" s="26"/>
      <c r="I33" s="47">
        <f t="shared" si="1"/>
        <v>0.70000000000000007</v>
      </c>
      <c r="J33" s="47">
        <f t="shared" si="4"/>
        <v>393.36</v>
      </c>
      <c r="K33" s="47">
        <f t="shared" si="2"/>
        <v>18.364145658263304</v>
      </c>
      <c r="L33" s="47">
        <f t="shared" si="3"/>
        <v>-0.02</v>
      </c>
      <c r="M33" s="16"/>
      <c r="W33" s="58"/>
      <c r="AH33" s="75"/>
    </row>
    <row r="34" spans="1:34" x14ac:dyDescent="0.2">
      <c r="A34" s="78">
        <v>170</v>
      </c>
      <c r="B34" s="73">
        <v>1113</v>
      </c>
      <c r="C34" s="73">
        <v>70</v>
      </c>
      <c r="E34" s="47">
        <v>80</v>
      </c>
      <c r="F34" s="47">
        <f t="shared" si="0"/>
        <v>656</v>
      </c>
      <c r="G34" s="47">
        <f t="shared" si="0"/>
        <v>-3</v>
      </c>
      <c r="H34" s="26"/>
      <c r="I34" s="47">
        <f t="shared" si="1"/>
        <v>0.8</v>
      </c>
      <c r="J34" s="47">
        <f t="shared" si="4"/>
        <v>784.96999999999991</v>
      </c>
      <c r="K34" s="47">
        <f t="shared" si="2"/>
        <v>36.646591970121378</v>
      </c>
      <c r="L34" s="47">
        <f t="shared" si="3"/>
        <v>-0.03</v>
      </c>
      <c r="M34" s="16"/>
      <c r="W34" s="58"/>
      <c r="AH34" s="75"/>
    </row>
    <row r="35" spans="1:34" x14ac:dyDescent="0.2">
      <c r="A35" s="78">
        <v>180</v>
      </c>
      <c r="B35" s="73">
        <v>1142</v>
      </c>
      <c r="C35" s="73">
        <v>65</v>
      </c>
      <c r="E35" s="47">
        <v>90</v>
      </c>
      <c r="F35" s="47">
        <f t="shared" si="0"/>
        <v>759</v>
      </c>
      <c r="G35" s="47">
        <f t="shared" si="0"/>
        <v>-3</v>
      </c>
      <c r="H35" s="26"/>
      <c r="I35" s="47">
        <f t="shared" si="1"/>
        <v>0.9</v>
      </c>
      <c r="J35" s="47">
        <f t="shared" si="4"/>
        <v>904.44999999999993</v>
      </c>
      <c r="K35" s="47">
        <f t="shared" si="2"/>
        <v>42.224556489262362</v>
      </c>
      <c r="L35" s="47">
        <f t="shared" si="3"/>
        <v>-0.03</v>
      </c>
      <c r="M35" s="16"/>
      <c r="W35" s="58"/>
      <c r="AH35" s="75"/>
    </row>
    <row r="36" spans="1:34" x14ac:dyDescent="0.2">
      <c r="A36" s="78">
        <v>190</v>
      </c>
      <c r="B36" s="73">
        <v>1229</v>
      </c>
      <c r="C36" s="73">
        <v>70</v>
      </c>
      <c r="E36" s="47">
        <v>100</v>
      </c>
      <c r="F36" s="47">
        <f t="shared" si="0"/>
        <v>852</v>
      </c>
      <c r="G36" s="47">
        <f t="shared" si="0"/>
        <v>-3</v>
      </c>
      <c r="H36" s="26"/>
      <c r="I36" s="47">
        <f t="shared" si="1"/>
        <v>1</v>
      </c>
      <c r="J36" s="47">
        <f t="shared" si="4"/>
        <v>1012.3299999999999</v>
      </c>
      <c r="K36" s="47">
        <f t="shared" si="2"/>
        <v>47.260971055088696</v>
      </c>
      <c r="L36" s="47">
        <f t="shared" si="3"/>
        <v>-0.03</v>
      </c>
      <c r="M36" s="16"/>
      <c r="W36" s="58"/>
      <c r="AH36" s="75"/>
    </row>
    <row r="37" spans="1:34" x14ac:dyDescent="0.2">
      <c r="A37" s="78">
        <v>200</v>
      </c>
      <c r="B37" s="73">
        <v>1302</v>
      </c>
      <c r="C37" s="73">
        <v>80</v>
      </c>
      <c r="E37" s="47">
        <v>110</v>
      </c>
      <c r="F37" s="47">
        <f t="shared" si="0"/>
        <v>1102</v>
      </c>
      <c r="G37" s="47">
        <f t="shared" si="0"/>
        <v>10</v>
      </c>
      <c r="H37" s="26"/>
      <c r="I37" s="47">
        <f t="shared" si="1"/>
        <v>1.1000000000000001</v>
      </c>
      <c r="J37" s="47">
        <f t="shared" si="4"/>
        <v>1302.33</v>
      </c>
      <c r="K37" s="47">
        <f t="shared" si="2"/>
        <v>60.79971988795517</v>
      </c>
      <c r="L37" s="47">
        <f t="shared" si="3"/>
        <v>0.1</v>
      </c>
      <c r="M37" s="16"/>
      <c r="W37" s="58"/>
      <c r="AH37" s="75"/>
    </row>
    <row r="38" spans="1:34" x14ac:dyDescent="0.2">
      <c r="A38" s="78">
        <v>220</v>
      </c>
      <c r="B38" s="73">
        <v>1345</v>
      </c>
      <c r="C38" s="73">
        <v>90</v>
      </c>
      <c r="E38" s="47">
        <v>120</v>
      </c>
      <c r="F38" s="47">
        <f t="shared" si="0"/>
        <v>1047</v>
      </c>
      <c r="G38" s="47">
        <f t="shared" si="0"/>
        <v>50</v>
      </c>
      <c r="H38" s="26"/>
      <c r="I38" s="47">
        <f t="shared" si="1"/>
        <v>1.2</v>
      </c>
      <c r="J38" s="47">
        <f t="shared" si="4"/>
        <v>1238.53</v>
      </c>
      <c r="K38" s="47">
        <f t="shared" si="2"/>
        <v>57.821195144724548</v>
      </c>
      <c r="L38" s="47">
        <f t="shared" si="3"/>
        <v>0.5</v>
      </c>
      <c r="M38" s="16"/>
      <c r="W38" s="58"/>
      <c r="AH38" s="75"/>
    </row>
    <row r="39" spans="1:34" x14ac:dyDescent="0.2">
      <c r="A39" s="78">
        <v>240</v>
      </c>
      <c r="B39" s="73">
        <v>1217</v>
      </c>
      <c r="C39" s="73">
        <v>100</v>
      </c>
      <c r="E39" s="47">
        <v>130</v>
      </c>
      <c r="F39" s="47">
        <f t="shared" si="0"/>
        <v>1064</v>
      </c>
      <c r="G39" s="47">
        <f t="shared" si="0"/>
        <v>60</v>
      </c>
      <c r="H39" s="26"/>
      <c r="I39" s="47">
        <f t="shared" si="1"/>
        <v>1.3</v>
      </c>
      <c r="J39" s="47">
        <f t="shared" si="4"/>
        <v>1258.25</v>
      </c>
      <c r="K39" s="47">
        <f t="shared" si="2"/>
        <v>58.741830065359473</v>
      </c>
      <c r="L39" s="47">
        <f t="shared" si="3"/>
        <v>0.6</v>
      </c>
      <c r="M39" s="16"/>
      <c r="W39" s="58"/>
      <c r="AH39" s="75"/>
    </row>
    <row r="40" spans="1:34" x14ac:dyDescent="0.2">
      <c r="A40" s="78">
        <v>260</v>
      </c>
      <c r="B40" s="73">
        <v>1160</v>
      </c>
      <c r="C40" s="73">
        <v>120</v>
      </c>
      <c r="E40" s="47">
        <v>140</v>
      </c>
      <c r="F40" s="47">
        <f t="shared" si="0"/>
        <v>1171</v>
      </c>
      <c r="G40" s="47">
        <f t="shared" si="0"/>
        <v>60</v>
      </c>
      <c r="H40" s="26"/>
      <c r="I40" s="47">
        <f t="shared" si="1"/>
        <v>1.4000000000000001</v>
      </c>
      <c r="J40" s="47">
        <f t="shared" si="4"/>
        <v>1382.37</v>
      </c>
      <c r="K40" s="47">
        <f t="shared" si="2"/>
        <v>64.53641456582632</v>
      </c>
      <c r="L40" s="47">
        <f t="shared" si="3"/>
        <v>0.6</v>
      </c>
      <c r="M40" s="16"/>
      <c r="W40" s="58"/>
      <c r="AH40" s="75"/>
    </row>
    <row r="41" spans="1:34" x14ac:dyDescent="0.2">
      <c r="A41" s="78">
        <v>280</v>
      </c>
      <c r="B41" s="73">
        <v>1197</v>
      </c>
      <c r="C41" s="73">
        <v>100</v>
      </c>
      <c r="E41" s="47">
        <v>150</v>
      </c>
      <c r="F41" s="47">
        <f t="shared" si="0"/>
        <v>1212</v>
      </c>
      <c r="G41" s="47">
        <f t="shared" si="0"/>
        <v>70</v>
      </c>
      <c r="H41" s="26"/>
      <c r="I41" s="47">
        <f t="shared" si="1"/>
        <v>1.5</v>
      </c>
      <c r="J41" s="47">
        <f t="shared" si="4"/>
        <v>1429.9299999999998</v>
      </c>
      <c r="K41" s="47">
        <f t="shared" si="2"/>
        <v>66.756769374416422</v>
      </c>
      <c r="L41" s="47">
        <f t="shared" si="3"/>
        <v>0.70000000000000007</v>
      </c>
      <c r="M41" s="16"/>
      <c r="W41" s="58"/>
      <c r="AH41" s="75"/>
    </row>
    <row r="42" spans="1:34" x14ac:dyDescent="0.2">
      <c r="A42" s="78">
        <v>300</v>
      </c>
      <c r="B42" s="73">
        <v>1287</v>
      </c>
      <c r="C42" s="73">
        <v>112</v>
      </c>
      <c r="E42" s="47">
        <v>160</v>
      </c>
      <c r="F42" s="47">
        <f t="shared" si="0"/>
        <v>1081</v>
      </c>
      <c r="G42" s="47">
        <f t="shared" si="0"/>
        <v>75</v>
      </c>
      <c r="H42" s="26"/>
      <c r="I42" s="47">
        <f t="shared" si="1"/>
        <v>1.6</v>
      </c>
      <c r="J42" s="47">
        <f t="shared" si="4"/>
        <v>1277.9699999999998</v>
      </c>
      <c r="K42" s="47">
        <f t="shared" si="2"/>
        <v>59.662464985994383</v>
      </c>
      <c r="L42" s="47">
        <f t="shared" si="3"/>
        <v>0.75</v>
      </c>
      <c r="M42" s="16"/>
      <c r="W42" s="58"/>
      <c r="AH42" s="75"/>
    </row>
    <row r="43" spans="1:34" x14ac:dyDescent="0.2">
      <c r="A43" s="78">
        <v>320</v>
      </c>
      <c r="B43" s="73">
        <v>1311</v>
      </c>
      <c r="C43" s="73">
        <v>116</v>
      </c>
      <c r="E43" s="47">
        <v>170</v>
      </c>
      <c r="F43" s="47">
        <f t="shared" si="0"/>
        <v>1113</v>
      </c>
      <c r="G43" s="47">
        <f t="shared" si="0"/>
        <v>70</v>
      </c>
      <c r="H43" s="26"/>
      <c r="I43" s="47">
        <f t="shared" si="1"/>
        <v>1.7</v>
      </c>
      <c r="J43" s="47">
        <f t="shared" si="4"/>
        <v>1315.09</v>
      </c>
      <c r="K43" s="47">
        <f t="shared" si="2"/>
        <v>61.3954248366013</v>
      </c>
      <c r="L43" s="47">
        <f t="shared" si="3"/>
        <v>0.70000000000000007</v>
      </c>
      <c r="M43" s="16"/>
      <c r="W43" s="58"/>
      <c r="AH43" s="75"/>
    </row>
    <row r="44" spans="1:34" x14ac:dyDescent="0.2">
      <c r="A44" s="78">
        <v>340</v>
      </c>
      <c r="B44" s="73">
        <v>1259</v>
      </c>
      <c r="C44" s="73">
        <v>130</v>
      </c>
      <c r="E44" s="47">
        <v>180</v>
      </c>
      <c r="F44" s="47">
        <f t="shared" si="0"/>
        <v>1142</v>
      </c>
      <c r="G44" s="47">
        <f t="shared" si="0"/>
        <v>65</v>
      </c>
      <c r="H44" s="26"/>
      <c r="I44" s="47">
        <f t="shared" si="1"/>
        <v>1.8</v>
      </c>
      <c r="J44" s="47">
        <f t="shared" si="4"/>
        <v>1348.7299999999998</v>
      </c>
      <c r="K44" s="47">
        <f t="shared" si="2"/>
        <v>62.965919701213807</v>
      </c>
      <c r="L44" s="47">
        <f t="shared" si="3"/>
        <v>0.65</v>
      </c>
      <c r="M44" s="16"/>
      <c r="W44" s="58"/>
      <c r="AH44" s="75"/>
    </row>
    <row r="45" spans="1:34" x14ac:dyDescent="0.2">
      <c r="A45" s="78">
        <v>360</v>
      </c>
      <c r="B45" s="73">
        <v>1287</v>
      </c>
      <c r="C45" s="73">
        <v>139</v>
      </c>
      <c r="E45" s="47">
        <v>190</v>
      </c>
      <c r="F45" s="47">
        <f t="shared" si="0"/>
        <v>1229</v>
      </c>
      <c r="G45" s="47">
        <f t="shared" si="0"/>
        <v>70</v>
      </c>
      <c r="H45" s="26"/>
      <c r="I45" s="47">
        <f t="shared" si="1"/>
        <v>1.9000000000000001</v>
      </c>
      <c r="J45" s="47">
        <f t="shared" si="4"/>
        <v>1449.6499999999999</v>
      </c>
      <c r="K45" s="47">
        <f t="shared" si="2"/>
        <v>67.677404295051346</v>
      </c>
      <c r="L45" s="47">
        <f t="shared" si="3"/>
        <v>0.70000000000000007</v>
      </c>
      <c r="M45" s="16"/>
      <c r="W45" s="58"/>
      <c r="AH45" s="75"/>
    </row>
    <row r="46" spans="1:34" x14ac:dyDescent="0.2">
      <c r="A46" s="78">
        <v>380</v>
      </c>
      <c r="B46" s="73">
        <v>1345</v>
      </c>
      <c r="C46" s="73">
        <v>145</v>
      </c>
      <c r="E46" s="47">
        <v>200</v>
      </c>
      <c r="F46" s="47">
        <f t="shared" si="0"/>
        <v>1302</v>
      </c>
      <c r="G46" s="47">
        <f t="shared" si="0"/>
        <v>80</v>
      </c>
      <c r="H46" s="26"/>
      <c r="I46" s="47">
        <f t="shared" si="1"/>
        <v>2</v>
      </c>
      <c r="J46" s="47">
        <f t="shared" si="4"/>
        <v>1534.33</v>
      </c>
      <c r="K46" s="47">
        <f t="shared" si="2"/>
        <v>71.630718954248351</v>
      </c>
      <c r="L46" s="47">
        <f t="shared" si="3"/>
        <v>0.8</v>
      </c>
      <c r="M46" s="16"/>
      <c r="W46" s="58"/>
      <c r="AH46" s="75"/>
    </row>
    <row r="47" spans="1:34" x14ac:dyDescent="0.2">
      <c r="A47" s="78">
        <v>400</v>
      </c>
      <c r="B47" s="73">
        <v>1342</v>
      </c>
      <c r="C47" s="73">
        <v>154</v>
      </c>
      <c r="E47" s="47">
        <v>220</v>
      </c>
      <c r="F47" s="47">
        <f t="shared" si="0"/>
        <v>1345</v>
      </c>
      <c r="G47" s="47">
        <f t="shared" si="0"/>
        <v>90</v>
      </c>
      <c r="H47" s="26"/>
      <c r="I47" s="47">
        <f t="shared" si="1"/>
        <v>2.2000000000000002</v>
      </c>
      <c r="J47" s="47">
        <f t="shared" si="4"/>
        <v>1584.2099999999998</v>
      </c>
      <c r="K47" s="47">
        <f t="shared" si="2"/>
        <v>73.959383753501385</v>
      </c>
      <c r="L47" s="47">
        <f t="shared" si="3"/>
        <v>0.9</v>
      </c>
      <c r="M47" s="16"/>
      <c r="W47" s="58"/>
      <c r="AH47" s="75"/>
    </row>
    <row r="48" spans="1:34" x14ac:dyDescent="0.2">
      <c r="A48" s="78">
        <v>420</v>
      </c>
      <c r="B48" s="73">
        <v>1290</v>
      </c>
      <c r="C48" s="73">
        <v>178</v>
      </c>
      <c r="E48" s="47">
        <v>240</v>
      </c>
      <c r="F48" s="47">
        <f t="shared" si="0"/>
        <v>1217</v>
      </c>
      <c r="G48" s="47">
        <f t="shared" si="0"/>
        <v>100</v>
      </c>
      <c r="H48" s="26"/>
      <c r="I48" s="47">
        <f t="shared" si="1"/>
        <v>2.4</v>
      </c>
      <c r="J48" s="47">
        <f t="shared" si="4"/>
        <v>1435.7299999999998</v>
      </c>
      <c r="K48" s="47">
        <f t="shared" si="2"/>
        <v>67.027544351073743</v>
      </c>
      <c r="L48" s="47">
        <f t="shared" si="3"/>
        <v>1</v>
      </c>
      <c r="M48" s="16"/>
      <c r="W48" s="58"/>
      <c r="AH48" s="75"/>
    </row>
    <row r="49" spans="1:34" x14ac:dyDescent="0.2">
      <c r="A49" s="78">
        <v>440</v>
      </c>
      <c r="B49" s="73">
        <v>1328</v>
      </c>
      <c r="C49" s="73">
        <v>163</v>
      </c>
      <c r="E49" s="47">
        <v>260</v>
      </c>
      <c r="F49" s="47">
        <f t="shared" si="0"/>
        <v>1160</v>
      </c>
      <c r="G49" s="47">
        <f t="shared" si="0"/>
        <v>120</v>
      </c>
      <c r="H49" s="26"/>
      <c r="I49" s="47">
        <f t="shared" si="1"/>
        <v>2.6</v>
      </c>
      <c r="J49" s="47">
        <f t="shared" si="4"/>
        <v>1369.61</v>
      </c>
      <c r="K49" s="47">
        <f t="shared" si="2"/>
        <v>63.940709617180197</v>
      </c>
      <c r="L49" s="47">
        <f t="shared" si="3"/>
        <v>1.2</v>
      </c>
      <c r="M49" s="16"/>
      <c r="W49" s="58"/>
      <c r="AH49" s="75"/>
    </row>
    <row r="50" spans="1:34" x14ac:dyDescent="0.2">
      <c r="A50" s="78">
        <v>460</v>
      </c>
      <c r="B50" s="73">
        <v>1366</v>
      </c>
      <c r="C50" s="73">
        <v>175</v>
      </c>
      <c r="E50" s="47">
        <v>280</v>
      </c>
      <c r="F50" s="47">
        <f t="shared" si="0"/>
        <v>1197</v>
      </c>
      <c r="G50" s="47">
        <f t="shared" si="0"/>
        <v>100</v>
      </c>
      <c r="H50" s="26"/>
      <c r="I50" s="47">
        <f t="shared" si="1"/>
        <v>2.8000000000000003</v>
      </c>
      <c r="J50" s="47">
        <f t="shared" si="4"/>
        <v>1412.53</v>
      </c>
      <c r="K50" s="47">
        <f t="shared" si="2"/>
        <v>65.944444444444443</v>
      </c>
      <c r="L50" s="47">
        <f t="shared" si="3"/>
        <v>1</v>
      </c>
      <c r="M50" s="16"/>
      <c r="W50" s="58"/>
      <c r="AH50" s="75"/>
    </row>
    <row r="51" spans="1:34" x14ac:dyDescent="0.2">
      <c r="A51" s="78">
        <v>480</v>
      </c>
      <c r="B51" s="73">
        <v>1348</v>
      </c>
      <c r="C51" s="73">
        <v>190</v>
      </c>
      <c r="E51" s="47">
        <v>300</v>
      </c>
      <c r="F51" s="47">
        <f t="shared" si="0"/>
        <v>1287</v>
      </c>
      <c r="G51" s="47">
        <f t="shared" si="0"/>
        <v>112</v>
      </c>
      <c r="H51" s="26"/>
      <c r="I51" s="47">
        <f t="shared" si="1"/>
        <v>3</v>
      </c>
      <c r="J51" s="47">
        <f t="shared" si="4"/>
        <v>1516.9299999999998</v>
      </c>
      <c r="K51" s="47">
        <f t="shared" si="2"/>
        <v>70.818394024276358</v>
      </c>
      <c r="L51" s="47">
        <f t="shared" si="3"/>
        <v>1.1200000000000001</v>
      </c>
      <c r="M51" s="16"/>
      <c r="W51" s="58"/>
      <c r="AH51" s="75"/>
    </row>
    <row r="52" spans="1:34" x14ac:dyDescent="0.2">
      <c r="A52" s="78">
        <v>500</v>
      </c>
      <c r="B52" s="73">
        <v>1394</v>
      </c>
      <c r="C52" s="73">
        <v>206</v>
      </c>
      <c r="E52" s="47">
        <v>320</v>
      </c>
      <c r="F52" s="47">
        <f t="shared" si="0"/>
        <v>1311</v>
      </c>
      <c r="G52" s="47">
        <f t="shared" si="0"/>
        <v>116</v>
      </c>
      <c r="H52" s="26"/>
      <c r="I52" s="47">
        <f t="shared" si="1"/>
        <v>3.2</v>
      </c>
      <c r="J52" s="47">
        <f t="shared" si="4"/>
        <v>1544.77</v>
      </c>
      <c r="K52" s="47">
        <f t="shared" si="2"/>
        <v>72.11811391223155</v>
      </c>
      <c r="L52" s="47">
        <f t="shared" si="3"/>
        <v>1.1599999999999999</v>
      </c>
      <c r="M52" s="16"/>
      <c r="W52" s="58"/>
      <c r="AH52" s="75"/>
    </row>
    <row r="53" spans="1:34" x14ac:dyDescent="0.2">
      <c r="A53" s="78">
        <v>520</v>
      </c>
      <c r="B53" s="73">
        <v>1387</v>
      </c>
      <c r="C53" s="73">
        <v>209</v>
      </c>
      <c r="E53" s="47">
        <v>340</v>
      </c>
      <c r="F53" s="47">
        <f t="shared" si="0"/>
        <v>1259</v>
      </c>
      <c r="G53" s="47">
        <f t="shared" si="0"/>
        <v>130</v>
      </c>
      <c r="H53" s="26"/>
      <c r="I53" s="47">
        <f t="shared" si="1"/>
        <v>3.4</v>
      </c>
      <c r="J53" s="47">
        <f t="shared" si="4"/>
        <v>1484.4499999999998</v>
      </c>
      <c r="K53" s="47">
        <f t="shared" si="2"/>
        <v>69.302054154995318</v>
      </c>
      <c r="L53" s="47">
        <f t="shared" si="3"/>
        <v>1.3</v>
      </c>
      <c r="M53" s="16"/>
      <c r="W53" s="58"/>
      <c r="AH53" s="75"/>
    </row>
    <row r="54" spans="1:34" x14ac:dyDescent="0.2">
      <c r="A54" s="78">
        <v>540</v>
      </c>
      <c r="B54" s="73">
        <v>1369</v>
      </c>
      <c r="C54" s="73">
        <v>228</v>
      </c>
      <c r="E54" s="47">
        <v>360</v>
      </c>
      <c r="F54" s="47">
        <f t="shared" si="0"/>
        <v>1287</v>
      </c>
      <c r="G54" s="47">
        <f t="shared" si="0"/>
        <v>139</v>
      </c>
      <c r="H54" s="26"/>
      <c r="I54" s="47">
        <f t="shared" si="1"/>
        <v>3.6</v>
      </c>
      <c r="J54" s="47">
        <f t="shared" si="4"/>
        <v>1516.9299999999998</v>
      </c>
      <c r="K54" s="47">
        <f t="shared" si="2"/>
        <v>70.818394024276358</v>
      </c>
      <c r="L54" s="47">
        <f t="shared" si="3"/>
        <v>1.3900000000000001</v>
      </c>
      <c r="M54" s="16"/>
      <c r="W54" s="58"/>
      <c r="AH54" s="75"/>
    </row>
    <row r="55" spans="1:34" x14ac:dyDescent="0.2">
      <c r="A55" s="78">
        <v>560</v>
      </c>
      <c r="B55" s="73">
        <v>1482</v>
      </c>
      <c r="C55" s="73">
        <v>222</v>
      </c>
      <c r="E55" s="47">
        <v>380</v>
      </c>
      <c r="F55" s="47">
        <f t="shared" si="0"/>
        <v>1345</v>
      </c>
      <c r="G55" s="47">
        <f t="shared" si="0"/>
        <v>145</v>
      </c>
      <c r="H55" s="26"/>
      <c r="I55" s="47">
        <f t="shared" si="1"/>
        <v>3.8000000000000003</v>
      </c>
      <c r="J55" s="47">
        <f t="shared" si="4"/>
        <v>1584.2099999999998</v>
      </c>
      <c r="K55" s="47">
        <f t="shared" si="2"/>
        <v>73.959383753501385</v>
      </c>
      <c r="L55" s="47">
        <f t="shared" si="3"/>
        <v>1.45</v>
      </c>
      <c r="M55" s="16"/>
      <c r="W55" s="58"/>
      <c r="AH55" s="75"/>
    </row>
    <row r="56" spans="1:34" x14ac:dyDescent="0.2">
      <c r="A56" s="78">
        <v>580</v>
      </c>
      <c r="B56" s="73">
        <v>1444</v>
      </c>
      <c r="C56" s="73">
        <v>238</v>
      </c>
      <c r="E56" s="47">
        <v>400</v>
      </c>
      <c r="F56" s="47">
        <f t="shared" si="0"/>
        <v>1342</v>
      </c>
      <c r="G56" s="47">
        <f t="shared" si="0"/>
        <v>154</v>
      </c>
      <c r="H56" s="26"/>
      <c r="I56" s="47">
        <f t="shared" si="1"/>
        <v>4</v>
      </c>
      <c r="J56" s="47">
        <f t="shared" si="4"/>
        <v>1580.7299999999998</v>
      </c>
      <c r="K56" s="47">
        <f t="shared" si="2"/>
        <v>73.79691876750698</v>
      </c>
      <c r="L56" s="47">
        <f t="shared" si="3"/>
        <v>1.54</v>
      </c>
      <c r="M56" s="16"/>
      <c r="W56" s="58"/>
      <c r="AH56" s="75"/>
    </row>
    <row r="57" spans="1:34" x14ac:dyDescent="0.2">
      <c r="A57" s="78">
        <v>600</v>
      </c>
      <c r="B57" s="73">
        <v>1480</v>
      </c>
      <c r="C57" s="73">
        <v>255</v>
      </c>
      <c r="E57" s="47">
        <v>420</v>
      </c>
      <c r="F57" s="47">
        <f t="shared" si="0"/>
        <v>1290</v>
      </c>
      <c r="G57" s="47">
        <f t="shared" si="0"/>
        <v>178</v>
      </c>
      <c r="H57" s="26"/>
      <c r="I57" s="47">
        <f t="shared" si="1"/>
        <v>4.2</v>
      </c>
      <c r="J57" s="47">
        <f t="shared" si="4"/>
        <v>1520.4099999999999</v>
      </c>
      <c r="K57" s="47">
        <f t="shared" si="2"/>
        <v>70.980859010270763</v>
      </c>
      <c r="L57" s="47">
        <f t="shared" si="3"/>
        <v>1.78</v>
      </c>
      <c r="M57" s="16"/>
      <c r="Q57" s="85" t="s">
        <v>23</v>
      </c>
      <c r="R57" s="43" t="s">
        <v>23</v>
      </c>
      <c r="W57" s="58"/>
      <c r="AH57" s="75"/>
    </row>
    <row r="58" spans="1:34" x14ac:dyDescent="0.2">
      <c r="A58" s="78">
        <v>620</v>
      </c>
      <c r="B58" s="73">
        <v>1421</v>
      </c>
      <c r="C58" s="73">
        <v>276</v>
      </c>
      <c r="E58" s="47">
        <v>440</v>
      </c>
      <c r="F58" s="47">
        <f t="shared" ref="F58:G83" si="5">B49</f>
        <v>1328</v>
      </c>
      <c r="G58" s="47">
        <f t="shared" si="5"/>
        <v>163</v>
      </c>
      <c r="H58" s="26"/>
      <c r="I58" s="47">
        <f t="shared" si="1"/>
        <v>4.4000000000000004</v>
      </c>
      <c r="J58" s="47">
        <f t="shared" si="4"/>
        <v>1564.4899999999998</v>
      </c>
      <c r="K58" s="47">
        <f t="shared" si="2"/>
        <v>73.03874883286646</v>
      </c>
      <c r="L58" s="47">
        <f t="shared" si="3"/>
        <v>1.6300000000000001</v>
      </c>
      <c r="M58" s="16"/>
      <c r="Q58" s="86" t="s">
        <v>46</v>
      </c>
      <c r="R58" s="45" t="s">
        <v>45</v>
      </c>
      <c r="W58" s="58"/>
      <c r="AH58" s="75"/>
    </row>
    <row r="59" spans="1:34" x14ac:dyDescent="0.2">
      <c r="A59" s="78">
        <v>640</v>
      </c>
      <c r="B59" s="73">
        <v>1401</v>
      </c>
      <c r="C59" s="73">
        <v>285</v>
      </c>
      <c r="E59" s="47">
        <v>460</v>
      </c>
      <c r="F59" s="47">
        <f t="shared" si="5"/>
        <v>1366</v>
      </c>
      <c r="G59" s="47">
        <f t="shared" si="5"/>
        <v>175</v>
      </c>
      <c r="H59" s="26"/>
      <c r="I59" s="47">
        <f t="shared" si="1"/>
        <v>4.6000000000000005</v>
      </c>
      <c r="J59" s="47">
        <f t="shared" si="4"/>
        <v>1608.57</v>
      </c>
      <c r="K59" s="47">
        <f t="shared" si="2"/>
        <v>75.096638655462172</v>
      </c>
      <c r="L59" s="47">
        <f t="shared" si="3"/>
        <v>1.75</v>
      </c>
      <c r="M59" s="16"/>
      <c r="Q59" s="87" t="s">
        <v>44</v>
      </c>
      <c r="R59" s="46" t="s">
        <v>44</v>
      </c>
      <c r="W59" s="58"/>
      <c r="AH59" s="75"/>
    </row>
    <row r="60" spans="1:34" x14ac:dyDescent="0.2">
      <c r="A60" s="78">
        <v>660</v>
      </c>
      <c r="B60" s="73">
        <v>1321</v>
      </c>
      <c r="C60" s="73">
        <v>298</v>
      </c>
      <c r="E60" s="47">
        <v>480</v>
      </c>
      <c r="F60" s="47">
        <f t="shared" si="5"/>
        <v>1348</v>
      </c>
      <c r="G60" s="47">
        <f t="shared" si="5"/>
        <v>190</v>
      </c>
      <c r="H60" s="26"/>
      <c r="I60" s="47">
        <f t="shared" si="1"/>
        <v>4.8</v>
      </c>
      <c r="J60" s="47">
        <f t="shared" si="4"/>
        <v>1587.6899999999998</v>
      </c>
      <c r="K60" s="47">
        <f t="shared" si="2"/>
        <v>74.121848739495789</v>
      </c>
      <c r="L60" s="47">
        <f t="shared" si="3"/>
        <v>1.9000000000000001</v>
      </c>
      <c r="M60" s="16"/>
      <c r="Q60" s="88">
        <f>+G16</f>
        <v>40.814938281527922</v>
      </c>
      <c r="R60" s="88">
        <f>MAX(K26:K83)</f>
        <v>81.378618113912225</v>
      </c>
      <c r="W60" s="58"/>
      <c r="AH60" s="75"/>
    </row>
    <row r="61" spans="1:34" x14ac:dyDescent="0.2">
      <c r="A61" s="78">
        <v>680</v>
      </c>
      <c r="B61" s="73">
        <v>1377</v>
      </c>
      <c r="C61" s="73">
        <v>281</v>
      </c>
      <c r="E61" s="47">
        <v>500</v>
      </c>
      <c r="F61" s="47">
        <f t="shared" si="5"/>
        <v>1394</v>
      </c>
      <c r="G61" s="47">
        <f t="shared" si="5"/>
        <v>206</v>
      </c>
      <c r="H61" s="26"/>
      <c r="I61" s="47">
        <f t="shared" si="1"/>
        <v>5</v>
      </c>
      <c r="J61" s="47">
        <f t="shared" si="4"/>
        <v>1641.05</v>
      </c>
      <c r="K61" s="47">
        <f t="shared" si="2"/>
        <v>76.612978524743227</v>
      </c>
      <c r="L61" s="47">
        <f t="shared" si="3"/>
        <v>2.06</v>
      </c>
      <c r="M61" s="16"/>
      <c r="Q61" s="102">
        <v>0</v>
      </c>
      <c r="R61" s="102">
        <v>0</v>
      </c>
      <c r="W61" s="58"/>
      <c r="AH61" s="75"/>
    </row>
    <row r="62" spans="1:34" x14ac:dyDescent="0.2">
      <c r="A62" s="78">
        <v>700</v>
      </c>
      <c r="B62" s="73">
        <v>1296</v>
      </c>
      <c r="C62" s="73">
        <v>292</v>
      </c>
      <c r="E62" s="47">
        <v>520</v>
      </c>
      <c r="F62" s="47">
        <f t="shared" si="5"/>
        <v>1387</v>
      </c>
      <c r="G62" s="47">
        <f t="shared" si="5"/>
        <v>209</v>
      </c>
      <c r="H62" s="26"/>
      <c r="I62" s="47">
        <f t="shared" si="1"/>
        <v>5.2</v>
      </c>
      <c r="J62" s="47">
        <f t="shared" si="4"/>
        <v>1632.9299999999998</v>
      </c>
      <c r="K62" s="47">
        <f t="shared" si="2"/>
        <v>76.233893557422959</v>
      </c>
      <c r="L62" s="47">
        <f t="shared" si="3"/>
        <v>2.09</v>
      </c>
      <c r="M62" s="16"/>
      <c r="Q62" s="102"/>
      <c r="R62" s="102"/>
      <c r="W62" s="58"/>
      <c r="AH62" s="75"/>
    </row>
    <row r="63" spans="1:34" x14ac:dyDescent="0.2">
      <c r="A63" s="78">
        <v>720</v>
      </c>
      <c r="B63" s="73">
        <v>1305</v>
      </c>
      <c r="C63" s="73">
        <v>300</v>
      </c>
      <c r="E63" s="47">
        <v>540</v>
      </c>
      <c r="F63" s="47">
        <f t="shared" si="5"/>
        <v>1369</v>
      </c>
      <c r="G63" s="47">
        <f t="shared" si="5"/>
        <v>228</v>
      </c>
      <c r="H63" s="26"/>
      <c r="I63" s="47">
        <f t="shared" si="1"/>
        <v>5.4</v>
      </c>
      <c r="J63" s="47">
        <f t="shared" si="4"/>
        <v>1612.05</v>
      </c>
      <c r="K63" s="47">
        <f t="shared" si="2"/>
        <v>75.259103641456576</v>
      </c>
      <c r="L63" s="47">
        <f t="shared" si="3"/>
        <v>2.2800000000000002</v>
      </c>
      <c r="M63" s="16"/>
      <c r="Q63" s="16"/>
      <c r="R63" s="16"/>
      <c r="W63" s="58"/>
      <c r="AH63" s="75"/>
    </row>
    <row r="64" spans="1:34" x14ac:dyDescent="0.2">
      <c r="A64" s="78">
        <v>740</v>
      </c>
      <c r="B64" s="73">
        <v>1276</v>
      </c>
      <c r="C64" s="73">
        <v>314</v>
      </c>
      <c r="E64" s="47">
        <v>560</v>
      </c>
      <c r="F64" s="47">
        <f t="shared" si="5"/>
        <v>1482</v>
      </c>
      <c r="G64" s="47">
        <f t="shared" si="5"/>
        <v>222</v>
      </c>
      <c r="H64" s="26"/>
      <c r="I64" s="47">
        <f t="shared" si="1"/>
        <v>5.6000000000000005</v>
      </c>
      <c r="J64" s="47">
        <f t="shared" si="4"/>
        <v>1743.1299999999999</v>
      </c>
      <c r="K64" s="47">
        <f t="shared" si="2"/>
        <v>81.378618113912225</v>
      </c>
      <c r="L64" s="47">
        <f t="shared" si="3"/>
        <v>2.2200000000000002</v>
      </c>
      <c r="M64" s="16"/>
      <c r="Q64" s="14" t="s">
        <v>43</v>
      </c>
      <c r="R64" s="89" t="s">
        <v>70</v>
      </c>
      <c r="W64" s="58"/>
      <c r="X64" s="62"/>
      <c r="Y64" s="62"/>
      <c r="Z64" s="62"/>
      <c r="AA64" s="62"/>
      <c r="AB64" s="77"/>
      <c r="AC64" s="77"/>
      <c r="AD64" s="62"/>
      <c r="AE64" s="62"/>
      <c r="AF64" s="62"/>
      <c r="AG64" s="62"/>
      <c r="AH64" s="75"/>
    </row>
    <row r="65" spans="1:34" x14ac:dyDescent="0.2">
      <c r="A65" s="78">
        <v>760</v>
      </c>
      <c r="B65" s="73">
        <v>1351</v>
      </c>
      <c r="C65" s="73">
        <v>320</v>
      </c>
      <c r="E65" s="47">
        <v>580</v>
      </c>
      <c r="F65" s="47">
        <f t="shared" si="5"/>
        <v>1444</v>
      </c>
      <c r="G65" s="47">
        <f t="shared" si="5"/>
        <v>238</v>
      </c>
      <c r="H65" s="26"/>
      <c r="I65" s="47">
        <f t="shared" si="1"/>
        <v>5.8</v>
      </c>
      <c r="J65" s="47">
        <f t="shared" si="4"/>
        <v>1699.05</v>
      </c>
      <c r="K65" s="47">
        <f t="shared" si="2"/>
        <v>79.320728291316513</v>
      </c>
      <c r="L65" s="47">
        <f t="shared" si="3"/>
        <v>2.38</v>
      </c>
      <c r="M65" s="16"/>
      <c r="Q65" s="14" t="s">
        <v>42</v>
      </c>
      <c r="R65" s="13" t="s">
        <v>70</v>
      </c>
      <c r="W65" s="58"/>
      <c r="AH65" s="75"/>
    </row>
    <row r="66" spans="1:34" x14ac:dyDescent="0.2">
      <c r="A66" s="78">
        <v>780</v>
      </c>
      <c r="B66" s="73">
        <v>1308</v>
      </c>
      <c r="C66" s="73">
        <v>335</v>
      </c>
      <c r="E66" s="47">
        <v>600</v>
      </c>
      <c r="F66" s="47">
        <f t="shared" si="5"/>
        <v>1480</v>
      </c>
      <c r="G66" s="47">
        <f t="shared" si="5"/>
        <v>255</v>
      </c>
      <c r="H66" s="26"/>
      <c r="I66" s="47">
        <f t="shared" si="1"/>
        <v>6</v>
      </c>
      <c r="J66" s="47">
        <f t="shared" si="4"/>
        <v>1740.81</v>
      </c>
      <c r="K66" s="47">
        <f t="shared" si="2"/>
        <v>81.270308123249293</v>
      </c>
      <c r="L66" s="47">
        <f t="shared" si="3"/>
        <v>2.5500000000000003</v>
      </c>
      <c r="M66" s="16"/>
      <c r="W66" s="58"/>
      <c r="AH66" s="75"/>
    </row>
    <row r="67" spans="1:34" x14ac:dyDescent="0.2">
      <c r="A67" s="78">
        <v>800</v>
      </c>
      <c r="B67" s="73">
        <v>1302</v>
      </c>
      <c r="C67" s="73">
        <v>345</v>
      </c>
      <c r="E67" s="47">
        <v>620</v>
      </c>
      <c r="F67" s="47">
        <f t="shared" si="5"/>
        <v>1421</v>
      </c>
      <c r="G67" s="47">
        <f t="shared" si="5"/>
        <v>276</v>
      </c>
      <c r="H67" s="26"/>
      <c r="I67" s="47">
        <f t="shared" si="1"/>
        <v>6.2</v>
      </c>
      <c r="J67" s="47">
        <f t="shared" si="4"/>
        <v>1672.37</v>
      </c>
      <c r="K67" s="47">
        <f t="shared" si="2"/>
        <v>78.075163398692794</v>
      </c>
      <c r="L67" s="47">
        <f t="shared" si="3"/>
        <v>2.7600000000000002</v>
      </c>
      <c r="M67" s="16"/>
      <c r="W67" s="58"/>
      <c r="AH67" s="75"/>
    </row>
    <row r="68" spans="1:34" x14ac:dyDescent="0.2">
      <c r="A68" s="78">
        <v>820</v>
      </c>
      <c r="B68" s="73">
        <v>1421</v>
      </c>
      <c r="C68" s="73">
        <v>343</v>
      </c>
      <c r="E68" s="47">
        <v>640</v>
      </c>
      <c r="F68" s="47">
        <f t="shared" si="5"/>
        <v>1401</v>
      </c>
      <c r="G68" s="47">
        <f t="shared" si="5"/>
        <v>285</v>
      </c>
      <c r="H68" s="26"/>
      <c r="I68" s="47">
        <f t="shared" si="1"/>
        <v>6.4</v>
      </c>
      <c r="J68" s="47">
        <f t="shared" si="4"/>
        <v>1649.1699999999998</v>
      </c>
      <c r="K68" s="47">
        <f t="shared" si="2"/>
        <v>76.99206349206348</v>
      </c>
      <c r="L68" s="47">
        <f t="shared" si="3"/>
        <v>2.85</v>
      </c>
      <c r="M68" s="16"/>
      <c r="W68" s="58"/>
      <c r="AH68" s="75"/>
    </row>
    <row r="69" spans="1:34" x14ac:dyDescent="0.2">
      <c r="A69" s="78">
        <v>840</v>
      </c>
      <c r="B69" s="73">
        <v>1389</v>
      </c>
      <c r="C69" s="73">
        <v>359</v>
      </c>
      <c r="E69" s="47">
        <v>660</v>
      </c>
      <c r="F69" s="47">
        <f t="shared" si="5"/>
        <v>1321</v>
      </c>
      <c r="G69" s="47">
        <f t="shared" si="5"/>
        <v>298</v>
      </c>
      <c r="H69" s="26"/>
      <c r="I69" s="47">
        <f t="shared" si="1"/>
        <v>6.6000000000000005</v>
      </c>
      <c r="J69" s="47">
        <f t="shared" si="4"/>
        <v>1556.37</v>
      </c>
      <c r="K69" s="47">
        <f t="shared" si="2"/>
        <v>72.659663865546207</v>
      </c>
      <c r="L69" s="47">
        <f t="shared" si="3"/>
        <v>2.98</v>
      </c>
      <c r="M69" s="16"/>
      <c r="W69" s="58"/>
      <c r="AH69" s="75"/>
    </row>
    <row r="70" spans="1:34" x14ac:dyDescent="0.2">
      <c r="A70" s="78">
        <v>860</v>
      </c>
      <c r="B70" s="73">
        <v>1320</v>
      </c>
      <c r="C70" s="73">
        <v>370</v>
      </c>
      <c r="E70" s="47">
        <v>680</v>
      </c>
      <c r="F70" s="47">
        <f t="shared" si="5"/>
        <v>1377</v>
      </c>
      <c r="G70" s="47">
        <f t="shared" si="5"/>
        <v>281</v>
      </c>
      <c r="H70" s="26"/>
      <c r="I70" s="47">
        <f t="shared" si="1"/>
        <v>6.8</v>
      </c>
      <c r="J70" s="47">
        <f t="shared" si="4"/>
        <v>1621.33</v>
      </c>
      <c r="K70" s="47">
        <f t="shared" si="2"/>
        <v>75.692343604108302</v>
      </c>
      <c r="L70" s="47">
        <f t="shared" si="3"/>
        <v>2.81</v>
      </c>
      <c r="M70" s="16"/>
    </row>
    <row r="71" spans="1:34" x14ac:dyDescent="0.2">
      <c r="A71" s="78">
        <v>880</v>
      </c>
      <c r="B71" s="73">
        <v>1373</v>
      </c>
      <c r="C71" s="73">
        <v>372</v>
      </c>
      <c r="E71" s="47">
        <v>700</v>
      </c>
      <c r="F71" s="47">
        <f t="shared" si="5"/>
        <v>1296</v>
      </c>
      <c r="G71" s="47">
        <f t="shared" si="5"/>
        <v>292</v>
      </c>
      <c r="H71" s="26"/>
      <c r="I71" s="47">
        <f t="shared" si="1"/>
        <v>7</v>
      </c>
      <c r="J71" s="47">
        <f t="shared" si="4"/>
        <v>1527.37</v>
      </c>
      <c r="K71" s="47">
        <f t="shared" si="2"/>
        <v>71.305788982259557</v>
      </c>
      <c r="L71" s="47">
        <f t="shared" si="3"/>
        <v>2.92</v>
      </c>
      <c r="M71" s="16"/>
    </row>
    <row r="72" spans="1:34" x14ac:dyDescent="0.2">
      <c r="A72" s="78">
        <v>900</v>
      </c>
      <c r="B72" s="73">
        <v>1378</v>
      </c>
      <c r="C72" s="73">
        <v>384</v>
      </c>
      <c r="E72" s="47">
        <v>720</v>
      </c>
      <c r="F72" s="47">
        <f t="shared" si="5"/>
        <v>1305</v>
      </c>
      <c r="G72" s="47">
        <f t="shared" si="5"/>
        <v>300</v>
      </c>
      <c r="H72" s="26"/>
      <c r="I72" s="47">
        <f t="shared" si="1"/>
        <v>7.2</v>
      </c>
      <c r="J72" s="47">
        <f t="shared" si="4"/>
        <v>1537.81</v>
      </c>
      <c r="K72" s="47">
        <f t="shared" si="2"/>
        <v>71.793183940242756</v>
      </c>
      <c r="L72" s="47">
        <f t="shared" si="3"/>
        <v>3</v>
      </c>
      <c r="M72" s="16"/>
    </row>
    <row r="73" spans="1:34" x14ac:dyDescent="0.2">
      <c r="A73" s="78">
        <v>950</v>
      </c>
      <c r="B73" s="73">
        <v>1424</v>
      </c>
      <c r="C73" s="73">
        <v>399</v>
      </c>
      <c r="E73" s="47">
        <v>740</v>
      </c>
      <c r="F73" s="47">
        <f t="shared" si="5"/>
        <v>1276</v>
      </c>
      <c r="G73" s="47">
        <f t="shared" si="5"/>
        <v>314</v>
      </c>
      <c r="H73" s="26"/>
      <c r="I73" s="47">
        <f t="shared" si="1"/>
        <v>7.4</v>
      </c>
      <c r="J73" s="47">
        <f t="shared" si="4"/>
        <v>1504.1699999999998</v>
      </c>
      <c r="K73" s="47">
        <f t="shared" si="2"/>
        <v>70.222689075630242</v>
      </c>
      <c r="L73" s="47">
        <f t="shared" si="3"/>
        <v>3.14</v>
      </c>
      <c r="M73" s="16"/>
    </row>
    <row r="74" spans="1:34" x14ac:dyDescent="0.2">
      <c r="A74" s="78">
        <v>1000</v>
      </c>
      <c r="B74" s="73">
        <v>1366</v>
      </c>
      <c r="C74" s="73">
        <v>410</v>
      </c>
      <c r="E74" s="47">
        <v>760</v>
      </c>
      <c r="F74" s="47">
        <f t="shared" si="5"/>
        <v>1351</v>
      </c>
      <c r="G74" s="47">
        <f t="shared" si="5"/>
        <v>320</v>
      </c>
      <c r="H74" s="26"/>
      <c r="I74" s="47">
        <f t="shared" si="1"/>
        <v>7.6000000000000005</v>
      </c>
      <c r="J74" s="47">
        <f t="shared" si="4"/>
        <v>1591.1699999999998</v>
      </c>
      <c r="K74" s="47">
        <f t="shared" si="2"/>
        <v>74.284313725490179</v>
      </c>
      <c r="L74" s="47">
        <f t="shared" si="3"/>
        <v>3.2</v>
      </c>
      <c r="M74" s="16"/>
    </row>
    <row r="75" spans="1:34" x14ac:dyDescent="0.2">
      <c r="E75" s="47">
        <v>780</v>
      </c>
      <c r="F75" s="47">
        <f t="shared" si="5"/>
        <v>1308</v>
      </c>
      <c r="G75" s="47">
        <f t="shared" si="5"/>
        <v>335</v>
      </c>
      <c r="H75" s="26"/>
      <c r="I75" s="47">
        <f t="shared" si="1"/>
        <v>7.8</v>
      </c>
      <c r="J75" s="47">
        <f t="shared" si="4"/>
        <v>1541.29</v>
      </c>
      <c r="K75" s="47">
        <f t="shared" si="2"/>
        <v>71.95564892623716</v>
      </c>
      <c r="L75" s="47">
        <f t="shared" si="3"/>
        <v>3.35</v>
      </c>
      <c r="M75" s="16"/>
    </row>
    <row r="76" spans="1:34" x14ac:dyDescent="0.2">
      <c r="A76" s="53" t="s">
        <v>59</v>
      </c>
      <c r="C76" s="73"/>
      <c r="E76" s="47">
        <v>800</v>
      </c>
      <c r="F76" s="47">
        <f t="shared" si="5"/>
        <v>1302</v>
      </c>
      <c r="G76" s="47">
        <f t="shared" si="5"/>
        <v>345</v>
      </c>
      <c r="H76" s="26"/>
      <c r="I76" s="47">
        <f t="shared" si="1"/>
        <v>8</v>
      </c>
      <c r="J76" s="47">
        <f t="shared" si="4"/>
        <v>1534.33</v>
      </c>
      <c r="K76" s="47">
        <f t="shared" si="2"/>
        <v>71.630718954248351</v>
      </c>
      <c r="L76" s="47">
        <f t="shared" si="3"/>
        <v>3.45</v>
      </c>
      <c r="M76" s="16"/>
    </row>
    <row r="77" spans="1:34" x14ac:dyDescent="0.2">
      <c r="A77" s="54" t="s">
        <v>22</v>
      </c>
      <c r="B77" s="55" t="s">
        <v>24</v>
      </c>
      <c r="C77" s="54" t="s">
        <v>22</v>
      </c>
      <c r="E77" s="47">
        <v>820</v>
      </c>
      <c r="F77" s="47">
        <f t="shared" si="5"/>
        <v>1421</v>
      </c>
      <c r="G77" s="47">
        <f t="shared" si="5"/>
        <v>343</v>
      </c>
      <c r="H77" s="26"/>
      <c r="I77" s="47">
        <f t="shared" si="1"/>
        <v>8.1999999999999993</v>
      </c>
      <c r="J77" s="47">
        <f t="shared" si="4"/>
        <v>1672.37</v>
      </c>
      <c r="K77" s="47">
        <f t="shared" si="2"/>
        <v>78.075163398692794</v>
      </c>
      <c r="L77" s="47">
        <f t="shared" si="3"/>
        <v>3.43</v>
      </c>
      <c r="M77" s="16"/>
    </row>
    <row r="78" spans="1:34" x14ac:dyDescent="0.2">
      <c r="A78" s="56" t="s">
        <v>21</v>
      </c>
      <c r="B78" s="56" t="s">
        <v>20</v>
      </c>
      <c r="C78" s="56" t="s">
        <v>19</v>
      </c>
      <c r="E78" s="47">
        <v>840</v>
      </c>
      <c r="F78" s="47">
        <f t="shared" si="5"/>
        <v>1389</v>
      </c>
      <c r="G78" s="47">
        <f t="shared" si="5"/>
        <v>359</v>
      </c>
      <c r="H78" s="26"/>
      <c r="I78" s="47">
        <f t="shared" si="1"/>
        <v>8.4</v>
      </c>
      <c r="J78" s="47">
        <f t="shared" si="4"/>
        <v>1635.2499999999998</v>
      </c>
      <c r="K78" s="47">
        <f t="shared" si="2"/>
        <v>76.342203548085891</v>
      </c>
      <c r="L78" s="47">
        <f t="shared" si="3"/>
        <v>3.59</v>
      </c>
      <c r="M78" s="16"/>
    </row>
    <row r="79" spans="1:34" x14ac:dyDescent="0.2">
      <c r="A79" s="57" t="s">
        <v>18</v>
      </c>
      <c r="B79" s="57" t="s">
        <v>61</v>
      </c>
      <c r="C79" s="57" t="s">
        <v>18</v>
      </c>
      <c r="E79" s="47">
        <v>860</v>
      </c>
      <c r="F79" s="47">
        <f t="shared" si="5"/>
        <v>1320</v>
      </c>
      <c r="G79" s="47">
        <f t="shared" si="5"/>
        <v>370</v>
      </c>
      <c r="H79" s="26"/>
      <c r="I79" s="47">
        <f t="shared" si="1"/>
        <v>8.6</v>
      </c>
      <c r="J79" s="47">
        <f t="shared" si="4"/>
        <v>1555.2099999999998</v>
      </c>
      <c r="K79" s="47">
        <f t="shared" si="2"/>
        <v>72.605508870214734</v>
      </c>
      <c r="L79" s="47">
        <f t="shared" si="3"/>
        <v>3.7</v>
      </c>
      <c r="M79" s="16"/>
    </row>
    <row r="80" spans="1:34" x14ac:dyDescent="0.2">
      <c r="A80" s="78">
        <v>0</v>
      </c>
      <c r="B80" s="73"/>
      <c r="C80" s="73"/>
      <c r="E80" s="47">
        <v>880</v>
      </c>
      <c r="F80" s="47">
        <f t="shared" si="5"/>
        <v>1373</v>
      </c>
      <c r="G80" s="47">
        <f t="shared" si="5"/>
        <v>372</v>
      </c>
      <c r="H80" s="26"/>
      <c r="I80" s="47">
        <f t="shared" si="1"/>
        <v>8.8000000000000007</v>
      </c>
      <c r="J80" s="47">
        <f t="shared" si="4"/>
        <v>1616.6899999999998</v>
      </c>
      <c r="K80" s="47">
        <f t="shared" si="2"/>
        <v>75.475723622782439</v>
      </c>
      <c r="L80" s="47">
        <f t="shared" si="3"/>
        <v>3.72</v>
      </c>
      <c r="M80" s="16"/>
    </row>
    <row r="81" spans="1:13" x14ac:dyDescent="0.2">
      <c r="A81" s="78">
        <v>10</v>
      </c>
      <c r="B81" s="73"/>
      <c r="C81" s="73"/>
      <c r="E81" s="47">
        <v>900</v>
      </c>
      <c r="F81" s="47">
        <f t="shared" si="5"/>
        <v>1378</v>
      </c>
      <c r="G81" s="47">
        <f t="shared" si="5"/>
        <v>384</v>
      </c>
      <c r="H81" s="26"/>
      <c r="I81" s="47">
        <f t="shared" si="1"/>
        <v>9</v>
      </c>
      <c r="J81" s="47">
        <f t="shared" si="4"/>
        <v>1622.4899999999998</v>
      </c>
      <c r="K81" s="47">
        <f t="shared" si="2"/>
        <v>75.746498599439761</v>
      </c>
      <c r="L81" s="47">
        <f t="shared" si="3"/>
        <v>3.84</v>
      </c>
      <c r="M81" s="16"/>
    </row>
    <row r="82" spans="1:13" x14ac:dyDescent="0.2">
      <c r="A82" s="78">
        <v>20</v>
      </c>
      <c r="B82" s="73"/>
      <c r="C82" s="73"/>
      <c r="E82" s="47">
        <v>950</v>
      </c>
      <c r="F82" s="47">
        <f t="shared" si="5"/>
        <v>1424</v>
      </c>
      <c r="G82" s="47">
        <f t="shared" si="5"/>
        <v>399</v>
      </c>
      <c r="H82" s="26"/>
      <c r="I82" s="47">
        <f t="shared" si="1"/>
        <v>9.5</v>
      </c>
      <c r="J82" s="47">
        <f t="shared" si="4"/>
        <v>1675.85</v>
      </c>
      <c r="K82" s="47">
        <f t="shared" si="2"/>
        <v>78.237628384687198</v>
      </c>
      <c r="L82" s="47">
        <f t="shared" si="3"/>
        <v>3.99</v>
      </c>
      <c r="M82" s="16"/>
    </row>
    <row r="83" spans="1:13" x14ac:dyDescent="0.2">
      <c r="A83" s="78">
        <v>30</v>
      </c>
      <c r="B83" s="73"/>
      <c r="C83" s="73"/>
      <c r="E83" s="47">
        <v>1000</v>
      </c>
      <c r="F83" s="47">
        <f t="shared" si="5"/>
        <v>1366</v>
      </c>
      <c r="G83" s="47">
        <f t="shared" si="5"/>
        <v>410</v>
      </c>
      <c r="H83" s="26"/>
      <c r="I83" s="47">
        <f t="shared" si="1"/>
        <v>10</v>
      </c>
      <c r="J83" s="47">
        <f t="shared" si="4"/>
        <v>1608.57</v>
      </c>
      <c r="K83" s="47">
        <f t="shared" si="2"/>
        <v>75.096638655462172</v>
      </c>
      <c r="L83" s="47">
        <f t="shared" si="3"/>
        <v>4.0999999999999996</v>
      </c>
      <c r="M83" s="16"/>
    </row>
    <row r="84" spans="1:13" x14ac:dyDescent="0.2">
      <c r="A84" s="78">
        <v>40</v>
      </c>
      <c r="B84" s="73"/>
      <c r="C84" s="73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">
      <c r="A85" s="78">
        <v>50</v>
      </c>
      <c r="B85" s="73"/>
      <c r="C85" s="73"/>
      <c r="E85" s="52" t="s">
        <v>2</v>
      </c>
      <c r="F85" s="16"/>
      <c r="G85" s="16"/>
      <c r="H85" s="16"/>
      <c r="I85" s="16"/>
      <c r="J85" s="16"/>
      <c r="K85" s="16"/>
      <c r="L85" s="16"/>
      <c r="M85" s="16"/>
    </row>
    <row r="86" spans="1:13" x14ac:dyDescent="0.2">
      <c r="A86" s="78">
        <v>60</v>
      </c>
      <c r="B86" s="73"/>
      <c r="C86" s="73"/>
      <c r="E86" s="16" t="s">
        <v>57</v>
      </c>
      <c r="F86" s="16"/>
      <c r="G86" s="16"/>
      <c r="H86" s="16"/>
      <c r="I86" s="16"/>
      <c r="J86" s="16"/>
      <c r="K86" s="16"/>
      <c r="L86" s="16"/>
      <c r="M86" s="16"/>
    </row>
    <row r="87" spans="1:13" x14ac:dyDescent="0.2">
      <c r="A87" s="78">
        <v>70</v>
      </c>
      <c r="B87" s="73"/>
      <c r="C87" s="73"/>
      <c r="E87" s="16" t="s">
        <v>55</v>
      </c>
      <c r="F87" s="16"/>
      <c r="G87" s="16"/>
      <c r="H87" s="16"/>
      <c r="I87" s="16"/>
      <c r="J87" s="16"/>
      <c r="K87" s="16"/>
      <c r="L87" s="16"/>
      <c r="M87" s="16"/>
    </row>
    <row r="88" spans="1:13" x14ac:dyDescent="0.2">
      <c r="A88" s="78">
        <v>80</v>
      </c>
      <c r="B88" s="73"/>
      <c r="C88" s="73"/>
    </row>
    <row r="89" spans="1:13" x14ac:dyDescent="0.2">
      <c r="A89" s="78">
        <v>90</v>
      </c>
      <c r="B89" s="73"/>
      <c r="C89" s="73"/>
      <c r="E89" s="52" t="s">
        <v>78</v>
      </c>
    </row>
    <row r="90" spans="1:13" x14ac:dyDescent="0.2">
      <c r="A90" s="78">
        <v>100</v>
      </c>
      <c r="B90" s="73"/>
      <c r="C90" s="73"/>
      <c r="E90" s="16" t="s">
        <v>79</v>
      </c>
    </row>
    <row r="91" spans="1:13" x14ac:dyDescent="0.2">
      <c r="A91" s="78">
        <v>110</v>
      </c>
      <c r="B91" s="73"/>
      <c r="C91" s="73"/>
      <c r="E91" s="16" t="s">
        <v>80</v>
      </c>
    </row>
    <row r="92" spans="1:13" x14ac:dyDescent="0.2">
      <c r="A92" s="78">
        <v>120</v>
      </c>
      <c r="B92" s="73"/>
      <c r="C92" s="73"/>
      <c r="E92" s="53" t="s">
        <v>81</v>
      </c>
    </row>
    <row r="93" spans="1:13" x14ac:dyDescent="0.2">
      <c r="A93" s="78">
        <v>130</v>
      </c>
      <c r="B93" s="73"/>
      <c r="C93" s="73"/>
    </row>
    <row r="94" spans="1:13" x14ac:dyDescent="0.2">
      <c r="A94" s="78">
        <v>140</v>
      </c>
      <c r="B94" s="73"/>
      <c r="C94" s="73"/>
    </row>
    <row r="95" spans="1:13" x14ac:dyDescent="0.2">
      <c r="A95" s="78">
        <v>150</v>
      </c>
      <c r="B95" s="73"/>
      <c r="C95" s="73"/>
    </row>
    <row r="96" spans="1:13" x14ac:dyDescent="0.2">
      <c r="A96" s="78">
        <v>160</v>
      </c>
      <c r="B96" s="73"/>
      <c r="C96" s="73"/>
    </row>
    <row r="97" spans="1:12" x14ac:dyDescent="0.2">
      <c r="A97" s="78">
        <v>170</v>
      </c>
      <c r="B97" s="73"/>
      <c r="C97" s="73"/>
    </row>
    <row r="98" spans="1:12" x14ac:dyDescent="0.2">
      <c r="A98" s="78">
        <v>180</v>
      </c>
      <c r="B98" s="73"/>
      <c r="C98" s="73"/>
    </row>
    <row r="99" spans="1:12" x14ac:dyDescent="0.2">
      <c r="A99" s="78">
        <v>190</v>
      </c>
      <c r="B99" s="73"/>
      <c r="C99" s="73"/>
    </row>
    <row r="100" spans="1:12" x14ac:dyDescent="0.2">
      <c r="A100" s="78">
        <v>200</v>
      </c>
      <c r="B100" s="73"/>
      <c r="C100" s="73"/>
    </row>
    <row r="101" spans="1:12" x14ac:dyDescent="0.2">
      <c r="A101" s="78">
        <v>220</v>
      </c>
      <c r="B101" s="73"/>
      <c r="C101" s="73"/>
      <c r="E101" s="80"/>
      <c r="F101" s="81"/>
      <c r="G101" s="82"/>
      <c r="H101" s="82"/>
      <c r="I101" s="82"/>
      <c r="J101" s="82"/>
      <c r="K101" s="82"/>
      <c r="L101" s="82"/>
    </row>
    <row r="102" spans="1:12" x14ac:dyDescent="0.2">
      <c r="A102" s="78">
        <v>240</v>
      </c>
      <c r="B102" s="73"/>
      <c r="C102" s="73"/>
      <c r="E102" s="83"/>
      <c r="F102" s="84"/>
      <c r="G102" s="82"/>
      <c r="H102" s="82"/>
      <c r="I102" s="82"/>
      <c r="J102" s="82"/>
      <c r="K102" s="82"/>
      <c r="L102" s="82"/>
    </row>
    <row r="103" spans="1:12" x14ac:dyDescent="0.2">
      <c r="A103" s="78">
        <v>260</v>
      </c>
      <c r="B103" s="73"/>
      <c r="C103" s="73"/>
      <c r="E103" s="58"/>
      <c r="F103" s="58"/>
      <c r="G103" s="58"/>
      <c r="H103" s="58"/>
      <c r="I103" s="58"/>
      <c r="J103" s="58"/>
      <c r="K103" s="58"/>
      <c r="L103" s="58"/>
    </row>
    <row r="104" spans="1:12" x14ac:dyDescent="0.2">
      <c r="A104" s="78">
        <v>280</v>
      </c>
      <c r="B104" s="73"/>
      <c r="C104" s="73"/>
      <c r="E104" s="58"/>
      <c r="F104" s="58"/>
      <c r="G104" s="58"/>
      <c r="H104" s="58"/>
      <c r="I104" s="58"/>
      <c r="J104" s="58"/>
      <c r="K104" s="58"/>
      <c r="L104" s="58"/>
    </row>
    <row r="105" spans="1:12" x14ac:dyDescent="0.2">
      <c r="A105" s="78">
        <v>300</v>
      </c>
      <c r="B105" s="73"/>
      <c r="C105" s="73"/>
      <c r="E105" s="58"/>
      <c r="F105" s="58"/>
      <c r="G105" s="58"/>
      <c r="H105" s="58"/>
      <c r="I105" s="58"/>
      <c r="J105" s="58"/>
      <c r="K105" s="58"/>
      <c r="L105" s="58"/>
    </row>
    <row r="106" spans="1:12" x14ac:dyDescent="0.2">
      <c r="A106" s="78">
        <v>320</v>
      </c>
      <c r="B106" s="73"/>
      <c r="C106" s="73"/>
      <c r="E106" s="58"/>
      <c r="F106" s="58"/>
      <c r="G106" s="58"/>
      <c r="H106" s="58"/>
      <c r="I106" s="58"/>
      <c r="J106" s="58"/>
      <c r="K106" s="58"/>
      <c r="L106" s="58"/>
    </row>
    <row r="107" spans="1:12" x14ac:dyDescent="0.2">
      <c r="A107" s="78">
        <v>340</v>
      </c>
      <c r="B107" s="73"/>
      <c r="C107" s="73"/>
      <c r="E107" s="58"/>
      <c r="F107" s="58"/>
      <c r="G107" s="58"/>
      <c r="H107" s="58"/>
      <c r="I107" s="58"/>
      <c r="J107" s="58"/>
      <c r="K107" s="58"/>
      <c r="L107" s="58"/>
    </row>
    <row r="108" spans="1:12" x14ac:dyDescent="0.2">
      <c r="A108" s="78">
        <v>360</v>
      </c>
      <c r="B108" s="73"/>
      <c r="C108" s="73"/>
      <c r="E108" s="58"/>
      <c r="F108" s="58"/>
      <c r="G108" s="58"/>
      <c r="H108" s="58"/>
      <c r="I108" s="58"/>
      <c r="J108" s="58"/>
      <c r="K108" s="58"/>
      <c r="L108" s="58"/>
    </row>
    <row r="109" spans="1:12" x14ac:dyDescent="0.2">
      <c r="A109" s="78">
        <v>380</v>
      </c>
      <c r="B109" s="73"/>
      <c r="C109" s="73"/>
      <c r="E109" s="58"/>
      <c r="F109" s="58"/>
      <c r="G109" s="58"/>
      <c r="H109" s="58"/>
      <c r="I109" s="58"/>
      <c r="J109" s="58"/>
      <c r="K109" s="58"/>
      <c r="L109" s="58"/>
    </row>
    <row r="110" spans="1:12" x14ac:dyDescent="0.2">
      <c r="A110" s="78">
        <v>400</v>
      </c>
      <c r="B110" s="73"/>
      <c r="C110" s="73"/>
    </row>
    <row r="111" spans="1:12" x14ac:dyDescent="0.2">
      <c r="A111" s="78">
        <v>420</v>
      </c>
      <c r="B111" s="73"/>
      <c r="C111" s="73"/>
    </row>
    <row r="112" spans="1:12" x14ac:dyDescent="0.2">
      <c r="A112" s="78">
        <v>440</v>
      </c>
      <c r="B112" s="73"/>
      <c r="C112" s="73"/>
    </row>
    <row r="113" spans="1:3" x14ac:dyDescent="0.2">
      <c r="A113" s="78">
        <v>460</v>
      </c>
      <c r="B113" s="73"/>
      <c r="C113" s="73"/>
    </row>
    <row r="114" spans="1:3" x14ac:dyDescent="0.2">
      <c r="A114" s="78">
        <v>480</v>
      </c>
      <c r="B114" s="73"/>
      <c r="C114" s="73"/>
    </row>
    <row r="115" spans="1:3" x14ac:dyDescent="0.2">
      <c r="A115" s="78">
        <v>500</v>
      </c>
      <c r="B115" s="73"/>
      <c r="C115" s="73"/>
    </row>
    <row r="116" spans="1:3" x14ac:dyDescent="0.2">
      <c r="A116" s="78">
        <v>520</v>
      </c>
      <c r="B116" s="73"/>
      <c r="C116" s="73"/>
    </row>
    <row r="117" spans="1:3" x14ac:dyDescent="0.2">
      <c r="A117" s="78">
        <v>540</v>
      </c>
      <c r="B117" s="73"/>
      <c r="C117" s="73"/>
    </row>
    <row r="118" spans="1:3" x14ac:dyDescent="0.2">
      <c r="A118" s="78">
        <v>560</v>
      </c>
      <c r="B118" s="73"/>
      <c r="C118" s="73"/>
    </row>
    <row r="119" spans="1:3" x14ac:dyDescent="0.2">
      <c r="A119" s="78">
        <v>580</v>
      </c>
      <c r="B119" s="73"/>
      <c r="C119" s="73"/>
    </row>
    <row r="120" spans="1:3" x14ac:dyDescent="0.2">
      <c r="A120" s="78">
        <v>600</v>
      </c>
      <c r="B120" s="73"/>
      <c r="C120" s="73"/>
    </row>
    <row r="121" spans="1:3" x14ac:dyDescent="0.2">
      <c r="A121" s="78">
        <v>620</v>
      </c>
      <c r="B121" s="73"/>
      <c r="C121" s="73"/>
    </row>
    <row r="122" spans="1:3" x14ac:dyDescent="0.2">
      <c r="A122" s="78">
        <v>640</v>
      </c>
      <c r="B122" s="73"/>
      <c r="C122" s="73"/>
    </row>
    <row r="123" spans="1:3" x14ac:dyDescent="0.2">
      <c r="A123" s="78">
        <v>660</v>
      </c>
      <c r="B123" s="73"/>
      <c r="C123" s="73"/>
    </row>
    <row r="124" spans="1:3" x14ac:dyDescent="0.2">
      <c r="A124" s="78">
        <v>680</v>
      </c>
      <c r="B124" s="73"/>
      <c r="C124" s="73"/>
    </row>
    <row r="125" spans="1:3" x14ac:dyDescent="0.2">
      <c r="A125" s="78">
        <v>700</v>
      </c>
      <c r="B125" s="73"/>
      <c r="C125" s="73"/>
    </row>
    <row r="126" spans="1:3" x14ac:dyDescent="0.2">
      <c r="A126" s="78">
        <v>720</v>
      </c>
      <c r="B126" s="73"/>
      <c r="C126" s="73"/>
    </row>
    <row r="127" spans="1:3" x14ac:dyDescent="0.2">
      <c r="A127" s="78">
        <v>740</v>
      </c>
      <c r="B127" s="73"/>
      <c r="C127" s="73"/>
    </row>
    <row r="128" spans="1:3" x14ac:dyDescent="0.2">
      <c r="A128" s="78">
        <v>760</v>
      </c>
      <c r="B128" s="73"/>
      <c r="C128" s="73"/>
    </row>
    <row r="129" spans="1:3" x14ac:dyDescent="0.2">
      <c r="A129" s="78">
        <v>780</v>
      </c>
      <c r="B129" s="73"/>
      <c r="C129" s="73"/>
    </row>
    <row r="130" spans="1:3" x14ac:dyDescent="0.2">
      <c r="A130" s="78">
        <v>800</v>
      </c>
      <c r="B130" s="73"/>
      <c r="C130" s="73"/>
    </row>
    <row r="131" spans="1:3" x14ac:dyDescent="0.2">
      <c r="A131" s="78">
        <v>820</v>
      </c>
      <c r="B131" s="73"/>
      <c r="C131" s="73"/>
    </row>
    <row r="132" spans="1:3" x14ac:dyDescent="0.2">
      <c r="A132" s="78">
        <v>840</v>
      </c>
      <c r="B132" s="73"/>
      <c r="C132" s="73"/>
    </row>
    <row r="133" spans="1:3" x14ac:dyDescent="0.2">
      <c r="A133" s="78">
        <v>860</v>
      </c>
      <c r="B133" s="73"/>
      <c r="C133" s="73"/>
    </row>
    <row r="134" spans="1:3" x14ac:dyDescent="0.2">
      <c r="A134" s="78">
        <v>880</v>
      </c>
      <c r="B134" s="73"/>
      <c r="C134" s="73"/>
    </row>
    <row r="135" spans="1:3" x14ac:dyDescent="0.2">
      <c r="A135" s="78">
        <v>900</v>
      </c>
      <c r="B135" s="73"/>
      <c r="C135" s="73"/>
    </row>
    <row r="136" spans="1:3" x14ac:dyDescent="0.2">
      <c r="A136" s="78">
        <v>950</v>
      </c>
      <c r="B136" s="73"/>
      <c r="C136" s="73"/>
    </row>
    <row r="137" spans="1:3" x14ac:dyDescent="0.2">
      <c r="A137" s="78">
        <v>1000</v>
      </c>
      <c r="B137" s="73"/>
      <c r="C137" s="73"/>
    </row>
    <row r="139" spans="1:3" x14ac:dyDescent="0.2">
      <c r="A139" s="53" t="s">
        <v>59</v>
      </c>
      <c r="C139" s="73"/>
    </row>
    <row r="140" spans="1:3" x14ac:dyDescent="0.2">
      <c r="A140" s="54" t="s">
        <v>22</v>
      </c>
      <c r="B140" s="55" t="s">
        <v>24</v>
      </c>
      <c r="C140" s="54" t="s">
        <v>22</v>
      </c>
    </row>
    <row r="141" spans="1:3" x14ac:dyDescent="0.2">
      <c r="A141" s="56" t="s">
        <v>21</v>
      </c>
      <c r="B141" s="56" t="s">
        <v>20</v>
      </c>
      <c r="C141" s="56" t="s">
        <v>19</v>
      </c>
    </row>
    <row r="142" spans="1:3" x14ac:dyDescent="0.2">
      <c r="A142" s="57" t="s">
        <v>18</v>
      </c>
      <c r="B142" s="57" t="s">
        <v>61</v>
      </c>
      <c r="C142" s="57" t="s">
        <v>18</v>
      </c>
    </row>
    <row r="143" spans="1:3" x14ac:dyDescent="0.2">
      <c r="A143" s="78">
        <v>0</v>
      </c>
      <c r="B143" s="73"/>
      <c r="C143" s="73"/>
    </row>
    <row r="144" spans="1:3" x14ac:dyDescent="0.2">
      <c r="A144" s="78">
        <v>10</v>
      </c>
      <c r="B144" s="73"/>
      <c r="C144" s="73"/>
    </row>
    <row r="145" spans="1:3" x14ac:dyDescent="0.2">
      <c r="A145" s="78">
        <v>20</v>
      </c>
      <c r="B145" s="73"/>
      <c r="C145" s="73"/>
    </row>
    <row r="146" spans="1:3" x14ac:dyDescent="0.2">
      <c r="A146" s="78">
        <v>30</v>
      </c>
      <c r="B146" s="73"/>
      <c r="C146" s="73"/>
    </row>
    <row r="147" spans="1:3" x14ac:dyDescent="0.2">
      <c r="A147" s="78">
        <v>40</v>
      </c>
      <c r="B147" s="73"/>
      <c r="C147" s="73"/>
    </row>
    <row r="148" spans="1:3" x14ac:dyDescent="0.2">
      <c r="A148" s="78">
        <v>50</v>
      </c>
      <c r="B148" s="73"/>
      <c r="C148" s="73"/>
    </row>
    <row r="149" spans="1:3" x14ac:dyDescent="0.2">
      <c r="A149" s="78">
        <v>60</v>
      </c>
      <c r="B149" s="73"/>
      <c r="C149" s="73"/>
    </row>
    <row r="150" spans="1:3" x14ac:dyDescent="0.2">
      <c r="A150" s="78">
        <v>70</v>
      </c>
      <c r="B150" s="73"/>
      <c r="C150" s="73"/>
    </row>
    <row r="151" spans="1:3" x14ac:dyDescent="0.2">
      <c r="A151" s="78">
        <v>80</v>
      </c>
      <c r="B151" s="73"/>
      <c r="C151" s="73"/>
    </row>
    <row r="152" spans="1:3" x14ac:dyDescent="0.2">
      <c r="A152" s="78">
        <v>90</v>
      </c>
      <c r="B152" s="73"/>
      <c r="C152" s="73"/>
    </row>
    <row r="153" spans="1:3" x14ac:dyDescent="0.2">
      <c r="A153" s="78">
        <v>100</v>
      </c>
      <c r="B153" s="73"/>
      <c r="C153" s="73"/>
    </row>
    <row r="154" spans="1:3" x14ac:dyDescent="0.2">
      <c r="A154" s="78">
        <v>110</v>
      </c>
      <c r="B154" s="73"/>
      <c r="C154" s="73"/>
    </row>
    <row r="155" spans="1:3" x14ac:dyDescent="0.2">
      <c r="A155" s="78">
        <v>120</v>
      </c>
      <c r="B155" s="73"/>
      <c r="C155" s="73"/>
    </row>
    <row r="156" spans="1:3" x14ac:dyDescent="0.2">
      <c r="A156" s="78">
        <v>130</v>
      </c>
      <c r="B156" s="73"/>
      <c r="C156" s="73"/>
    </row>
    <row r="157" spans="1:3" x14ac:dyDescent="0.2">
      <c r="A157" s="78">
        <v>140</v>
      </c>
      <c r="B157" s="73"/>
      <c r="C157" s="73"/>
    </row>
    <row r="158" spans="1:3" x14ac:dyDescent="0.2">
      <c r="A158" s="78">
        <v>150</v>
      </c>
      <c r="B158" s="73"/>
      <c r="C158" s="73"/>
    </row>
    <row r="159" spans="1:3" x14ac:dyDescent="0.2">
      <c r="A159" s="78">
        <v>160</v>
      </c>
      <c r="B159" s="73"/>
      <c r="C159" s="73"/>
    </row>
    <row r="160" spans="1:3" x14ac:dyDescent="0.2">
      <c r="A160" s="78">
        <v>170</v>
      </c>
      <c r="B160" s="73"/>
      <c r="C160" s="73"/>
    </row>
    <row r="161" spans="1:3" x14ac:dyDescent="0.2">
      <c r="A161" s="78">
        <v>180</v>
      </c>
      <c r="B161" s="73"/>
      <c r="C161" s="73"/>
    </row>
    <row r="162" spans="1:3" x14ac:dyDescent="0.2">
      <c r="A162" s="78">
        <v>190</v>
      </c>
      <c r="B162" s="73"/>
      <c r="C162" s="73"/>
    </row>
    <row r="163" spans="1:3" x14ac:dyDescent="0.2">
      <c r="A163" s="78">
        <v>200</v>
      </c>
      <c r="B163" s="73"/>
      <c r="C163" s="73"/>
    </row>
    <row r="164" spans="1:3" x14ac:dyDescent="0.2">
      <c r="A164" s="78">
        <v>220</v>
      </c>
      <c r="B164" s="73"/>
      <c r="C164" s="73"/>
    </row>
    <row r="165" spans="1:3" x14ac:dyDescent="0.2">
      <c r="A165" s="78">
        <v>240</v>
      </c>
      <c r="B165" s="73"/>
      <c r="C165" s="73"/>
    </row>
    <row r="166" spans="1:3" x14ac:dyDescent="0.2">
      <c r="A166" s="78">
        <v>260</v>
      </c>
      <c r="B166" s="73"/>
      <c r="C166" s="73"/>
    </row>
    <row r="167" spans="1:3" x14ac:dyDescent="0.2">
      <c r="A167" s="78">
        <v>280</v>
      </c>
      <c r="B167" s="73"/>
      <c r="C167" s="73"/>
    </row>
    <row r="168" spans="1:3" x14ac:dyDescent="0.2">
      <c r="A168" s="78">
        <v>300</v>
      </c>
      <c r="B168" s="73"/>
      <c r="C168" s="73"/>
    </row>
    <row r="169" spans="1:3" x14ac:dyDescent="0.2">
      <c r="A169" s="78">
        <v>320</v>
      </c>
      <c r="B169" s="73"/>
      <c r="C169" s="73"/>
    </row>
    <row r="170" spans="1:3" x14ac:dyDescent="0.2">
      <c r="A170" s="78">
        <v>340</v>
      </c>
      <c r="B170" s="73"/>
      <c r="C170" s="73"/>
    </row>
    <row r="171" spans="1:3" x14ac:dyDescent="0.2">
      <c r="A171" s="78">
        <v>360</v>
      </c>
      <c r="B171" s="73"/>
      <c r="C171" s="73"/>
    </row>
    <row r="172" spans="1:3" x14ac:dyDescent="0.2">
      <c r="A172" s="78">
        <v>380</v>
      </c>
      <c r="B172" s="73"/>
      <c r="C172" s="73"/>
    </row>
    <row r="173" spans="1:3" x14ac:dyDescent="0.2">
      <c r="A173" s="78">
        <v>400</v>
      </c>
      <c r="B173" s="73"/>
      <c r="C173" s="73"/>
    </row>
    <row r="174" spans="1:3" x14ac:dyDescent="0.2">
      <c r="A174" s="78">
        <v>420</v>
      </c>
      <c r="B174" s="73"/>
      <c r="C174" s="73"/>
    </row>
    <row r="175" spans="1:3" x14ac:dyDescent="0.2">
      <c r="A175" s="78">
        <v>440</v>
      </c>
      <c r="B175" s="73"/>
      <c r="C175" s="73"/>
    </row>
    <row r="176" spans="1:3" x14ac:dyDescent="0.2">
      <c r="A176" s="78">
        <v>460</v>
      </c>
      <c r="B176" s="73"/>
      <c r="C176" s="73"/>
    </row>
    <row r="177" spans="1:3" x14ac:dyDescent="0.2">
      <c r="A177" s="78">
        <v>480</v>
      </c>
      <c r="B177" s="73"/>
      <c r="C177" s="73"/>
    </row>
    <row r="178" spans="1:3" x14ac:dyDescent="0.2">
      <c r="A178" s="78">
        <v>500</v>
      </c>
      <c r="B178" s="73"/>
      <c r="C178" s="73"/>
    </row>
    <row r="179" spans="1:3" x14ac:dyDescent="0.2">
      <c r="A179" s="78">
        <v>520</v>
      </c>
      <c r="B179" s="73"/>
      <c r="C179" s="73"/>
    </row>
    <row r="180" spans="1:3" x14ac:dyDescent="0.2">
      <c r="A180" s="78">
        <v>540</v>
      </c>
      <c r="B180" s="73"/>
      <c r="C180" s="73"/>
    </row>
    <row r="181" spans="1:3" x14ac:dyDescent="0.2">
      <c r="A181" s="78">
        <v>560</v>
      </c>
      <c r="B181" s="73"/>
      <c r="C181" s="73"/>
    </row>
    <row r="182" spans="1:3" x14ac:dyDescent="0.2">
      <c r="A182" s="78">
        <v>580</v>
      </c>
      <c r="B182" s="73"/>
      <c r="C182" s="73"/>
    </row>
    <row r="183" spans="1:3" x14ac:dyDescent="0.2">
      <c r="A183" s="78">
        <v>600</v>
      </c>
      <c r="B183" s="73"/>
      <c r="C183" s="73"/>
    </row>
    <row r="184" spans="1:3" x14ac:dyDescent="0.2">
      <c r="A184" s="78">
        <v>620</v>
      </c>
      <c r="B184" s="73"/>
      <c r="C184" s="73"/>
    </row>
    <row r="185" spans="1:3" x14ac:dyDescent="0.2">
      <c r="A185" s="78">
        <v>640</v>
      </c>
      <c r="B185" s="73"/>
      <c r="C185" s="73"/>
    </row>
    <row r="186" spans="1:3" x14ac:dyDescent="0.2">
      <c r="A186" s="78">
        <v>660</v>
      </c>
      <c r="B186" s="73"/>
      <c r="C186" s="73"/>
    </row>
    <row r="187" spans="1:3" x14ac:dyDescent="0.2">
      <c r="A187" s="78">
        <v>680</v>
      </c>
      <c r="B187" s="73"/>
      <c r="C187" s="73"/>
    </row>
    <row r="188" spans="1:3" x14ac:dyDescent="0.2">
      <c r="A188" s="78">
        <v>700</v>
      </c>
      <c r="B188" s="73"/>
      <c r="C188" s="73"/>
    </row>
    <row r="189" spans="1:3" x14ac:dyDescent="0.2">
      <c r="A189" s="78">
        <v>720</v>
      </c>
      <c r="B189" s="73"/>
      <c r="C189" s="73"/>
    </row>
    <row r="190" spans="1:3" x14ac:dyDescent="0.2">
      <c r="A190" s="78">
        <v>740</v>
      </c>
      <c r="B190" s="73"/>
      <c r="C190" s="73"/>
    </row>
    <row r="191" spans="1:3" x14ac:dyDescent="0.2">
      <c r="A191" s="78">
        <v>760</v>
      </c>
      <c r="B191" s="73"/>
      <c r="C191" s="73"/>
    </row>
    <row r="192" spans="1:3" x14ac:dyDescent="0.2">
      <c r="A192" s="78">
        <v>780</v>
      </c>
      <c r="B192" s="73"/>
      <c r="C192" s="73"/>
    </row>
    <row r="193" spans="1:3" x14ac:dyDescent="0.2">
      <c r="A193" s="78">
        <v>800</v>
      </c>
      <c r="B193" s="73"/>
      <c r="C193" s="73"/>
    </row>
    <row r="194" spans="1:3" x14ac:dyDescent="0.2">
      <c r="A194" s="78">
        <v>820</v>
      </c>
      <c r="B194" s="73"/>
      <c r="C194" s="73"/>
    </row>
    <row r="195" spans="1:3" x14ac:dyDescent="0.2">
      <c r="A195" s="78">
        <v>840</v>
      </c>
      <c r="B195" s="73"/>
      <c r="C195" s="73"/>
    </row>
    <row r="196" spans="1:3" x14ac:dyDescent="0.2">
      <c r="A196" s="78">
        <v>860</v>
      </c>
      <c r="B196" s="73"/>
      <c r="C196" s="73"/>
    </row>
    <row r="197" spans="1:3" x14ac:dyDescent="0.2">
      <c r="A197" s="78">
        <v>880</v>
      </c>
      <c r="B197" s="73"/>
      <c r="C197" s="73"/>
    </row>
    <row r="198" spans="1:3" x14ac:dyDescent="0.2">
      <c r="A198" s="78">
        <v>900</v>
      </c>
      <c r="B198" s="73"/>
      <c r="C198" s="73"/>
    </row>
    <row r="199" spans="1:3" x14ac:dyDescent="0.2">
      <c r="A199" s="78">
        <v>950</v>
      </c>
      <c r="B199" s="73"/>
      <c r="C199" s="73"/>
    </row>
    <row r="200" spans="1:3" x14ac:dyDescent="0.2">
      <c r="A200" s="78">
        <v>1000</v>
      </c>
      <c r="B200" s="73"/>
      <c r="C200" s="73"/>
    </row>
    <row r="254" spans="4:4" x14ac:dyDescent="0.2">
      <c r="D254" s="79"/>
    </row>
    <row r="255" spans="4:4" x14ac:dyDescent="0.2">
      <c r="D255" s="79"/>
    </row>
  </sheetData>
  <sheetProtection formatCells="0" formatColumns="0" formatRows="0"/>
  <mergeCells count="3">
    <mergeCell ref="E1:M1"/>
    <mergeCell ref="N1:U1"/>
    <mergeCell ref="V2:AI2"/>
  </mergeCells>
  <conditionalFormatting sqref="B5">
    <cfRule type="cellIs" dxfId="8" priority="9" operator="greaterThan">
      <formula>0</formula>
    </cfRule>
  </conditionalFormatting>
  <conditionalFormatting sqref="B6 B8:B11">
    <cfRule type="cellIs" dxfId="7" priority="8" operator="greaterThan">
      <formula>0</formula>
    </cfRule>
  </conditionalFormatting>
  <conditionalFormatting sqref="C13">
    <cfRule type="cellIs" dxfId="6" priority="7" operator="greaterThan">
      <formula>0</formula>
    </cfRule>
  </conditionalFormatting>
  <conditionalFormatting sqref="B17:C74">
    <cfRule type="cellIs" dxfId="5" priority="6" operator="greaterThan">
      <formula>0</formula>
    </cfRule>
  </conditionalFormatting>
  <conditionalFormatting sqref="C76">
    <cfRule type="cellIs" dxfId="4" priority="5" operator="greaterThan">
      <formula>0</formula>
    </cfRule>
  </conditionalFormatting>
  <conditionalFormatting sqref="B80:C137">
    <cfRule type="cellIs" dxfId="3" priority="4" operator="greaterThan">
      <formula>0</formula>
    </cfRule>
  </conditionalFormatting>
  <conditionalFormatting sqref="C139">
    <cfRule type="cellIs" dxfId="2" priority="3" operator="greaterThan">
      <formula>0</formula>
    </cfRule>
  </conditionalFormatting>
  <conditionalFormatting sqref="B143:C200">
    <cfRule type="cellIs" dxfId="1" priority="2" operator="greaterThan">
      <formula>0</formula>
    </cfRule>
  </conditionalFormatting>
  <conditionalFormatting sqref="B7">
    <cfRule type="cellIs" dxfId="0" priority="1" operator="greaterThan">
      <formula>0</formula>
    </cfRule>
  </conditionalFormatting>
  <printOptions horizontalCentered="1" verticalCentered="1"/>
  <pageMargins left="0.75" right="0.75" top="1" bottom="1" header="0" footer="0"/>
  <pageSetup paperSize="9" orientation="landscape" horizontalDpi="300" verticalDpi="300" r:id="rId1"/>
  <headerFooter alignWithMargins="0"/>
  <ignoredErrors>
    <ignoredError sqref="N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Ingreso Datos</vt:lpstr>
      <vt:lpstr>11</vt:lpstr>
      <vt:lpstr>12</vt:lpstr>
      <vt:lpstr>15</vt:lpstr>
      <vt:lpstr>41</vt:lpstr>
      <vt:lpstr>'11'!Área_de_impresión</vt:lpstr>
      <vt:lpstr>'12'!Área_de_impresión</vt:lpstr>
      <vt:lpstr>'15'!Área_de_impresión</vt:lpstr>
      <vt:lpstr>'41'!Área_de_impresión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2024-06-28T19:34:02Z</dcterms:modified>
</cp:coreProperties>
</file>