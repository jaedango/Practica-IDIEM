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slg-secc_laboratorio\2023\03. PROYECTOS\STRABAG SPA\CAMPAÑA DE SONDAJES\BH-LPE5-A-LP-S3-A-0+085-L (3285)\04 ENSAYOS\"/>
    </mc:Choice>
  </mc:AlternateContent>
  <bookViews>
    <workbookView xWindow="-120" yWindow="-120" windowWidth="20730" windowHeight="11160" tabRatio="858"/>
  </bookViews>
  <sheets>
    <sheet name="Ingreso Datos" sheetId="206" r:id="rId1"/>
    <sheet name="8" sheetId="207" r:id="rId2"/>
  </sheets>
  <externalReferences>
    <externalReference r:id="rId3"/>
  </externalReferences>
  <definedNames>
    <definedName name="__123Graph_A" hidden="1">'[1]Ensaye Carga Puntual'!#REF!</definedName>
    <definedName name="__123Graph_C" hidden="1">'[1]Ensaye Carga Puntual'!#REF!</definedName>
    <definedName name="__123Graph_D" hidden="1">'[1]Ensaye Carga Puntual'!#REF!</definedName>
    <definedName name="__123Graph_X" hidden="1">'[1]Ensaye Carga Puntual'!#REF!</definedName>
    <definedName name="_Key1" hidden="1">'[1]Ensaye Carga Puntual'!$A$8:$A$14</definedName>
    <definedName name="_Order1" hidden="1">0</definedName>
    <definedName name="_Regression_Out" hidden="1">'[1]Ensaye Carga Puntual'!#REF!</definedName>
    <definedName name="_Regression_X" hidden="1">'[1]Ensaye Carga Puntual'!#REF!</definedName>
    <definedName name="_Regression_Y" hidden="1">'[1]Ensaye Carga Puntual'!#REF!</definedName>
    <definedName name="_Sort" hidden="1">'[1]Ensaye Carga Puntual'!#REF!</definedName>
    <definedName name="_xlnm.Print_Area" localSheetId="1">'8'!$M$1:$T$68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207" l="1"/>
  <c r="N5" i="207"/>
  <c r="D19" i="207" l="1"/>
  <c r="D20" i="207"/>
  <c r="D18" i="207"/>
  <c r="U21" i="207" l="1"/>
  <c r="U20" i="207"/>
  <c r="N4" i="207" l="1"/>
  <c r="W2" i="207"/>
  <c r="AP5" i="207"/>
  <c r="N7" i="207"/>
  <c r="N8" i="207"/>
  <c r="N11" i="207"/>
  <c r="N12" i="207"/>
  <c r="N13" i="207"/>
  <c r="N14" i="207"/>
  <c r="F18" i="207"/>
  <c r="G18" i="207" s="1"/>
  <c r="E19" i="207"/>
  <c r="O21" i="207" s="1"/>
  <c r="F19" i="207"/>
  <c r="G19" i="207" s="1"/>
  <c r="E20" i="207"/>
  <c r="F20" i="207"/>
  <c r="G20" i="207" s="1"/>
  <c r="I20" i="207" s="1"/>
  <c r="M20" i="207"/>
  <c r="N20" i="207"/>
  <c r="M21" i="207"/>
  <c r="N21" i="207"/>
  <c r="P25" i="207"/>
  <c r="P20" i="207" l="1"/>
  <c r="H18" i="207"/>
  <c r="R20" i="207" s="1"/>
  <c r="H20" i="207"/>
  <c r="J20" i="207" s="1"/>
  <c r="E18" i="207"/>
  <c r="O20" i="207" s="1"/>
  <c r="AP4" i="207"/>
  <c r="I19" i="207"/>
  <c r="S21" i="207" s="1"/>
  <c r="Q21" i="207"/>
  <c r="I18" i="207"/>
  <c r="S20" i="207" s="1"/>
  <c r="Q20" i="207"/>
  <c r="P21" i="207"/>
  <c r="H19" i="207"/>
  <c r="J18" i="207" l="1"/>
  <c r="T20" i="207" s="1"/>
  <c r="R21" i="207"/>
  <c r="J19" i="207"/>
  <c r="T21" i="207" s="1"/>
  <c r="P26" i="207" l="1"/>
  <c r="P27" i="207" s="1"/>
</calcChain>
</file>

<file path=xl/sharedStrings.xml><?xml version="1.0" encoding="utf-8"?>
<sst xmlns="http://schemas.openxmlformats.org/spreadsheetml/2006/main" count="122" uniqueCount="81">
  <si>
    <t>Proyecto</t>
  </si>
  <si>
    <t>Muestra</t>
  </si>
  <si>
    <t>Orden de Trabajo</t>
  </si>
  <si>
    <t>Fecha de Inicio</t>
  </si>
  <si>
    <t>Fecha de Término</t>
  </si>
  <si>
    <t>Referencias</t>
  </si>
  <si>
    <t>Observaciones</t>
  </si>
  <si>
    <t>[Mpa]</t>
  </si>
  <si>
    <t>Tipo de Roca</t>
  </si>
  <si>
    <t>Fracturas / Vetillas</t>
  </si>
  <si>
    <t>Alteraciones</t>
  </si>
  <si>
    <t>FOTOGRAFÍAS</t>
  </si>
  <si>
    <t>[N]</t>
  </si>
  <si>
    <t>DATOS ENSAYO</t>
  </si>
  <si>
    <t>Nº INFORME</t>
  </si>
  <si>
    <t>CANTIDAD DE HOJAS (01 HASTA 30)</t>
  </si>
  <si>
    <t>Hoja Nº</t>
  </si>
  <si>
    <t>Nombre Hoja</t>
  </si>
  <si>
    <t>PROYECTO</t>
  </si>
  <si>
    <t>MUESTRA</t>
  </si>
  <si>
    <t>a. Muestras ensayadas en testigo de roca.</t>
  </si>
  <si>
    <t>2. Determinación de Humedad según SLG-PP-07 basado en ASTM D2216-05</t>
  </si>
  <si>
    <t>1. Determinación de Índice de Resistencia de Carga Puntual basada en ASTM D5731-16</t>
  </si>
  <si>
    <t>mayor a 10.0  [MPa] = Extremadamente Alta.</t>
  </si>
  <si>
    <t>3.0  a 10.0  [MPa] = Muy Alta.</t>
  </si>
  <si>
    <t>1.0  a  3.0  [MPa] = Alta.</t>
  </si>
  <si>
    <t xml:space="preserve"> 0,3  a  1,0  [MPa] = Media.</t>
  </si>
  <si>
    <t xml:space="preserve"> 0,1  a   0,3  [MPa] = Baja.</t>
  </si>
  <si>
    <t xml:space="preserve"> 0,03  a   0,1  [MPa] = Muy Baja.</t>
  </si>
  <si>
    <t>menor a   0,03  [MPa] = Extremadamente Baja.</t>
  </si>
  <si>
    <t>STANDARD TEST METHOD FOR DETERMINATION OF THE POINT LOAD STRENGTH INDEX OF ROCK AND APPLICATION TO ROCK STRENGTH CLASSIFICATIONS</t>
  </si>
  <si>
    <t>ASTM D 5731 - 08</t>
  </si>
  <si>
    <t>(*)Tabla de Clasificación de Resistencia</t>
  </si>
  <si>
    <t>Clasificación de Resistencia (*)</t>
  </si>
  <si>
    <t>Índice de  Resistencia para diámetro 50 mm, "Is (50)" [MPa]</t>
  </si>
  <si>
    <t>Contenido de Humedad [%]</t>
  </si>
  <si>
    <t>Resultados:</t>
  </si>
  <si>
    <t>[mm]</t>
  </si>
  <si>
    <t>[mm²]</t>
  </si>
  <si>
    <t>KN</t>
  </si>
  <si>
    <t>Puntual (Is50)</t>
  </si>
  <si>
    <t>Corrección (F)</t>
  </si>
  <si>
    <t>Puntual (Is)</t>
  </si>
  <si>
    <t>De</t>
  </si>
  <si>
    <t>De²</t>
  </si>
  <si>
    <t>de Ruptura</t>
  </si>
  <si>
    <t>entre puntas (D)</t>
  </si>
  <si>
    <t>Índice de Carga</t>
  </si>
  <si>
    <t>Factor de</t>
  </si>
  <si>
    <t>Fuerza</t>
  </si>
  <si>
    <t>Ancho</t>
  </si>
  <si>
    <t>Distancia</t>
  </si>
  <si>
    <t>Manométrica</t>
  </si>
  <si>
    <t>Presión</t>
  </si>
  <si>
    <t>HUMEDAD</t>
  </si>
  <si>
    <t>ALTERACIONES</t>
  </si>
  <si>
    <t>DESCRIPCIÓN MUESTRA</t>
  </si>
  <si>
    <t>FRAC./VETILL.</t>
  </si>
  <si>
    <t>TIPO DE ROCA</t>
  </si>
  <si>
    <t>FECHA termino</t>
  </si>
  <si>
    <t>FECHA inicio</t>
  </si>
  <si>
    <t>INFORME ENSAYO CARGA PUNTUAL AXIAL EN ROCA</t>
  </si>
  <si>
    <t>CAMBIAR SOLO LOS VALORES EN VERDE Y AGREGAR FOTOGRAFÍAS (50% VGA)</t>
  </si>
  <si>
    <t>[kN]</t>
  </si>
  <si>
    <t>[MPa]</t>
  </si>
  <si>
    <t>[PSI]</t>
  </si>
  <si>
    <t>Falla por</t>
  </si>
  <si>
    <t>-</t>
  </si>
  <si>
    <t>Matriz (Válida)</t>
  </si>
  <si>
    <t>Matriz (No válida)</t>
  </si>
  <si>
    <t>Mixta (Válida)</t>
  </si>
  <si>
    <t>Mixta (No válida)</t>
  </si>
  <si>
    <t>Estructura (Válida)</t>
  </si>
  <si>
    <t>Estructura (No válida)</t>
  </si>
  <si>
    <t>BH-LPE5-A-LP-S3-A-0+085-L</t>
  </si>
  <si>
    <t>1.914.637-C</t>
  </si>
  <si>
    <t>Andesita afanítica</t>
  </si>
  <si>
    <t>No presenta</t>
  </si>
  <si>
    <t>Cloritización y zeolitización</t>
  </si>
  <si>
    <t>N° Informe</t>
  </si>
  <si>
    <t>BH-LPE5-A-LP-S3-A-0+085-L (06,35-06,50)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</si>
</sst>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_)"/>
    <numFmt numFmtId="165" formatCode="0.000"/>
    <numFmt numFmtId="166" formatCode="0_)"/>
    <numFmt numFmtId="167" formatCode="0.0_)"/>
    <numFmt numFmtId="168" formatCode="0.000_)"/>
    <numFmt numFmtId="169" formatCode="0.0"/>
    <numFmt numFmtId="170" formatCode="dd/mm/yyyy;@"/>
  </numFmts>
  <fonts count="17" x14ac:knownFonts="1">
    <font>
      <sz val="10"/>
      <name val="Courier"/>
    </font>
    <font>
      <b/>
      <sz val="9"/>
      <name val="Arial"/>
      <family val="2"/>
    </font>
    <font>
      <sz val="9"/>
      <name val="Arial"/>
      <family val="2"/>
    </font>
    <font>
      <b/>
      <u/>
      <sz val="9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sz val="8.5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9"/>
      <color indexed="48"/>
      <name val="Arial"/>
      <family val="2"/>
    </font>
    <font>
      <sz val="8"/>
      <name val="Arial"/>
      <family val="2"/>
    </font>
    <font>
      <b/>
      <u/>
      <sz val="8"/>
      <name val="Arial"/>
      <family val="2"/>
    </font>
    <font>
      <i/>
      <sz val="9"/>
      <name val="Arial"/>
      <family val="2"/>
    </font>
    <font>
      <i/>
      <sz val="8"/>
      <name val="Arial"/>
      <family val="2"/>
    </font>
    <font>
      <sz val="9"/>
      <color indexed="8"/>
      <name val="Arial"/>
      <family val="2"/>
    </font>
    <font>
      <b/>
      <sz val="8"/>
      <name val="Arial"/>
      <family val="2"/>
    </font>
    <font>
      <sz val="9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2" fillId="0" borderId="12" xfId="0" applyFont="1" applyFill="1" applyBorder="1" applyAlignment="1" applyProtection="1">
      <alignment horizontal="left" vertical="center"/>
    </xf>
    <xf numFmtId="0" fontId="6" fillId="2" borderId="4" xfId="0" applyNumberFormat="1" applyFont="1" applyFill="1" applyBorder="1" applyAlignment="1" applyProtection="1">
      <alignment vertical="center"/>
    </xf>
    <xf numFmtId="0" fontId="6" fillId="2" borderId="2" xfId="0" applyNumberFormat="1" applyFont="1" applyFill="1" applyBorder="1" applyAlignment="1" applyProtection="1">
      <alignment vertical="center"/>
    </xf>
    <xf numFmtId="0" fontId="6" fillId="2" borderId="3" xfId="0" applyNumberFormat="1" applyFont="1" applyFill="1" applyBorder="1" applyAlignment="1" applyProtection="1">
      <alignment vertical="center"/>
    </xf>
    <xf numFmtId="0" fontId="7" fillId="0" borderId="0" xfId="0" applyFont="1" applyAlignment="1">
      <alignment vertical="center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6" xfId="0" applyFont="1" applyFill="1" applyBorder="1" applyAlignment="1" applyProtection="1">
      <alignment horizontal="left" vertical="center"/>
    </xf>
    <xf numFmtId="0" fontId="8" fillId="0" borderId="6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 applyProtection="1">
      <alignment horizontal="left" vertical="center"/>
    </xf>
    <xf numFmtId="0" fontId="1" fillId="4" borderId="4" xfId="0" applyFont="1" applyFill="1" applyBorder="1" applyAlignment="1" applyProtection="1">
      <alignment horizontal="left" vertical="center"/>
    </xf>
    <xf numFmtId="0" fontId="2" fillId="4" borderId="0" xfId="0" applyFont="1" applyFill="1" applyBorder="1" applyAlignment="1" applyProtection="1">
      <alignment horizontal="left" vertical="center"/>
    </xf>
    <xf numFmtId="0" fontId="2" fillId="4" borderId="0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164" fontId="2" fillId="4" borderId="0" xfId="0" applyNumberFormat="1" applyFont="1" applyFill="1" applyBorder="1" applyAlignment="1" applyProtection="1">
      <alignment horizontal="left" vertical="center"/>
    </xf>
    <xf numFmtId="0" fontId="6" fillId="4" borderId="11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9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167" fontId="4" fillId="4" borderId="0" xfId="0" applyNumberFormat="1" applyFont="1" applyFill="1" applyBorder="1" applyAlignment="1" applyProtection="1">
      <alignment horizontal="center" vertical="center"/>
      <protection locked="0"/>
    </xf>
    <xf numFmtId="166" fontId="4" fillId="4" borderId="0" xfId="0" applyNumberFormat="1" applyFont="1" applyFill="1" applyBorder="1" applyAlignment="1" applyProtection="1">
      <alignment horizontal="center" vertical="center"/>
      <protection locked="0"/>
    </xf>
    <xf numFmtId="164" fontId="2" fillId="4" borderId="0" xfId="0" applyNumberFormat="1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 applyProtection="1">
      <alignment horizontal="center" vertical="center"/>
    </xf>
    <xf numFmtId="0" fontId="2" fillId="4" borderId="0" xfId="0" applyFont="1" applyFill="1" applyBorder="1" applyAlignment="1" applyProtection="1">
      <alignment vertical="center"/>
    </xf>
    <xf numFmtId="0" fontId="6" fillId="4" borderId="0" xfId="0" applyFont="1" applyFill="1" applyBorder="1" applyAlignment="1" applyProtection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</xf>
    <xf numFmtId="0" fontId="2" fillId="4" borderId="4" xfId="0" applyFont="1" applyFill="1" applyBorder="1" applyAlignment="1" applyProtection="1">
      <alignment horizontal="left" vertical="center" indent="1"/>
    </xf>
    <xf numFmtId="0" fontId="16" fillId="4" borderId="0" xfId="0" applyFont="1" applyFill="1" applyProtection="1">
      <protection locked="0"/>
    </xf>
    <xf numFmtId="0" fontId="16" fillId="0" borderId="0" xfId="0" applyFont="1" applyFill="1" applyProtection="1">
      <protection locked="0"/>
    </xf>
    <xf numFmtId="0" fontId="2" fillId="4" borderId="0" xfId="0" applyFont="1" applyFill="1" applyAlignment="1" applyProtection="1">
      <alignment vertical="center"/>
      <protection locked="0"/>
    </xf>
    <xf numFmtId="0" fontId="5" fillId="4" borderId="6" xfId="0" applyFont="1" applyFill="1" applyBorder="1" applyAlignment="1" applyProtection="1">
      <alignment vertical="center"/>
      <protection locked="0"/>
    </xf>
    <xf numFmtId="0" fontId="2" fillId="4" borderId="2" xfId="0" applyFont="1" applyFill="1" applyBorder="1" applyAlignment="1" applyProtection="1">
      <alignment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vertical="center"/>
      <protection locked="0"/>
    </xf>
    <xf numFmtId="0" fontId="15" fillId="4" borderId="0" xfId="0" applyFont="1" applyFill="1" applyBorder="1" applyAlignment="1" applyProtection="1">
      <alignment vertical="center"/>
      <protection locked="0"/>
    </xf>
    <xf numFmtId="0" fontId="1" fillId="4" borderId="0" xfId="0" applyFont="1" applyFill="1" applyAlignment="1" applyProtection="1">
      <alignment horizontal="left" vertical="center"/>
      <protection locked="0"/>
    </xf>
    <xf numFmtId="0" fontId="5" fillId="3" borderId="6" xfId="0" applyFont="1" applyFill="1" applyBorder="1" applyAlignment="1" applyProtection="1">
      <alignment horizontal="left" vertical="center"/>
      <protection locked="0"/>
    </xf>
    <xf numFmtId="0" fontId="2" fillId="4" borderId="0" xfId="0" applyFont="1" applyFill="1" applyAlignment="1" applyProtection="1">
      <alignment horizontal="left" vertical="center"/>
      <protection locked="0"/>
    </xf>
    <xf numFmtId="16" fontId="5" fillId="3" borderId="6" xfId="0" applyNumberFormat="1" applyFont="1" applyFill="1" applyBorder="1" applyAlignment="1" applyProtection="1">
      <alignment horizontal="left" vertical="center"/>
      <protection locked="0"/>
    </xf>
    <xf numFmtId="3" fontId="2" fillId="4" borderId="0" xfId="0" applyNumberFormat="1" applyFont="1" applyFill="1" applyAlignment="1" applyProtection="1">
      <alignment vertical="center"/>
      <protection locked="0"/>
    </xf>
    <xf numFmtId="0" fontId="2" fillId="4" borderId="0" xfId="0" applyFont="1" applyFill="1" applyBorder="1" applyAlignment="1" applyProtection="1">
      <alignment horizontal="left" vertical="center"/>
      <protection locked="0"/>
    </xf>
    <xf numFmtId="0" fontId="2" fillId="4" borderId="0" xfId="0" applyFont="1" applyFill="1" applyBorder="1" applyAlignment="1" applyProtection="1">
      <alignment horizontal="center" vertical="center"/>
      <protection locked="0"/>
    </xf>
    <xf numFmtId="0" fontId="2" fillId="4" borderId="5" xfId="0" applyFont="1" applyFill="1" applyBorder="1" applyAlignment="1" applyProtection="1">
      <alignment horizontal="center" vertical="center"/>
      <protection locked="0"/>
    </xf>
    <xf numFmtId="0" fontId="2" fillId="4" borderId="5" xfId="0" applyFont="1" applyFill="1" applyBorder="1" applyAlignment="1" applyProtection="1">
      <alignment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vertical="center"/>
      <protection locked="0"/>
    </xf>
    <xf numFmtId="0" fontId="6" fillId="4" borderId="9" xfId="0" applyFont="1" applyFill="1" applyBorder="1" applyAlignment="1" applyProtection="1">
      <alignment horizontal="center" vertical="center"/>
      <protection locked="0"/>
    </xf>
    <xf numFmtId="0" fontId="6" fillId="4" borderId="11" xfId="0" applyFont="1" applyFill="1" applyBorder="1" applyAlignment="1" applyProtection="1">
      <alignment horizontal="center" vertical="center"/>
      <protection locked="0"/>
    </xf>
    <xf numFmtId="0" fontId="6" fillId="4" borderId="11" xfId="0" applyFont="1" applyFill="1" applyBorder="1" applyAlignment="1" applyProtection="1">
      <alignment vertical="center"/>
      <protection locked="0"/>
    </xf>
    <xf numFmtId="2" fontId="14" fillId="4" borderId="6" xfId="0" applyNumberFormat="1" applyFont="1" applyFill="1" applyBorder="1" applyAlignment="1" applyProtection="1">
      <alignment horizontal="center" vertical="center"/>
      <protection locked="0"/>
    </xf>
    <xf numFmtId="2" fontId="16" fillId="4" borderId="6" xfId="0" applyNumberFormat="1" applyFont="1" applyFill="1" applyBorder="1" applyAlignment="1" applyProtection="1">
      <alignment horizontal="center" vertical="center"/>
      <protection locked="0"/>
    </xf>
    <xf numFmtId="0" fontId="10" fillId="4" borderId="0" xfId="0" applyFont="1" applyFill="1" applyAlignment="1" applyProtection="1">
      <alignment vertical="center"/>
      <protection locked="0"/>
    </xf>
    <xf numFmtId="1" fontId="4" fillId="4" borderId="0" xfId="0" applyNumberFormat="1" applyFont="1" applyFill="1" applyBorder="1" applyAlignment="1" applyProtection="1">
      <alignment horizontal="center" vertical="center"/>
      <protection locked="0"/>
    </xf>
    <xf numFmtId="2" fontId="14" fillId="4" borderId="0" xfId="0" applyNumberFormat="1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Border="1" applyAlignment="1" applyProtection="1">
      <alignment horizontal="center"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164" fontId="9" fillId="4" borderId="0" xfId="0" applyNumberFormat="1" applyFont="1" applyFill="1" applyBorder="1" applyAlignment="1" applyProtection="1">
      <alignment horizontal="center" vertical="center"/>
      <protection locked="0"/>
    </xf>
    <xf numFmtId="2" fontId="2" fillId="4" borderId="0" xfId="0" applyNumberFormat="1" applyFont="1" applyFill="1" applyBorder="1" applyAlignment="1" applyProtection="1">
      <alignment horizontal="center" vertical="center"/>
      <protection locked="0"/>
    </xf>
    <xf numFmtId="164" fontId="2" fillId="4" borderId="0" xfId="0" applyNumberFormat="1" applyFont="1" applyFill="1" applyBorder="1" applyAlignment="1" applyProtection="1">
      <alignment horizontal="center" vertical="center"/>
      <protection locked="0"/>
    </xf>
    <xf numFmtId="169" fontId="2" fillId="4" borderId="0" xfId="0" applyNumberFormat="1" applyFont="1" applyFill="1" applyBorder="1" applyAlignment="1" applyProtection="1">
      <alignment vertical="center"/>
      <protection locked="0"/>
    </xf>
    <xf numFmtId="2" fontId="4" fillId="4" borderId="0" xfId="0" applyNumberFormat="1" applyFont="1" applyFill="1" applyBorder="1" applyAlignment="1" applyProtection="1">
      <alignment horizontal="center" vertical="center"/>
      <protection locked="0"/>
    </xf>
    <xf numFmtId="164" fontId="4" fillId="4" borderId="0" xfId="0" applyNumberFormat="1" applyFont="1" applyFill="1" applyBorder="1" applyAlignment="1" applyProtection="1">
      <alignment horizontal="center" vertical="center"/>
      <protection locked="0"/>
    </xf>
    <xf numFmtId="165" fontId="4" fillId="4" borderId="0" xfId="0" applyNumberFormat="1" applyFont="1" applyFill="1" applyBorder="1" applyAlignment="1" applyProtection="1">
      <alignment horizontal="center" vertical="center"/>
      <protection locked="0"/>
    </xf>
    <xf numFmtId="168" fontId="4" fillId="4" borderId="0" xfId="0" applyNumberFormat="1" applyFont="1" applyFill="1" applyBorder="1" applyAlignment="1" applyProtection="1">
      <alignment horizontal="center" vertical="center"/>
      <protection locked="0"/>
    </xf>
    <xf numFmtId="2" fontId="2" fillId="4" borderId="0" xfId="0" applyNumberFormat="1" applyFont="1" applyFill="1" applyAlignment="1" applyProtection="1">
      <alignment vertical="center"/>
      <protection locked="0"/>
    </xf>
    <xf numFmtId="0" fontId="3" fillId="4" borderId="0" xfId="0" applyFont="1" applyFill="1" applyAlignment="1" applyProtection="1">
      <alignment vertical="center"/>
      <protection locked="0"/>
    </xf>
    <xf numFmtId="166" fontId="2" fillId="4" borderId="0" xfId="0" applyNumberFormat="1" applyFont="1" applyFill="1" applyBorder="1" applyAlignment="1" applyProtection="1">
      <alignment horizontal="center" vertical="center"/>
      <protection locked="0"/>
    </xf>
    <xf numFmtId="0" fontId="2" fillId="4" borderId="0" xfId="0" quotePrefix="1" applyFont="1" applyFill="1" applyBorder="1" applyAlignment="1" applyProtection="1">
      <alignment horizontal="center" vertical="center"/>
      <protection locked="0"/>
    </xf>
    <xf numFmtId="0" fontId="9" fillId="4" borderId="0" xfId="0" applyFont="1" applyFill="1" applyBorder="1" applyAlignment="1" applyProtection="1">
      <alignment horizontal="center" vertical="center"/>
      <protection locked="0"/>
    </xf>
    <xf numFmtId="165" fontId="2" fillId="4" borderId="0" xfId="0" applyNumberFormat="1" applyFont="1" applyFill="1" applyBorder="1" applyAlignment="1" applyProtection="1">
      <alignment horizontal="center" vertical="center"/>
      <protection locked="0"/>
    </xf>
    <xf numFmtId="0" fontId="16" fillId="4" borderId="0" xfId="0" applyFont="1" applyFill="1" applyAlignment="1" applyProtection="1">
      <alignment vertical="center"/>
      <protection locked="0"/>
    </xf>
    <xf numFmtId="164" fontId="2" fillId="4" borderId="0" xfId="0" applyNumberFormat="1" applyFont="1" applyFill="1" applyAlignment="1" applyProtection="1">
      <alignment vertical="center"/>
      <protection locked="0"/>
    </xf>
    <xf numFmtId="0" fontId="3" fillId="4" borderId="0" xfId="0" applyFont="1" applyFill="1" applyAlignment="1" applyProtection="1">
      <alignment horizontal="left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2" fillId="4" borderId="2" xfId="0" applyFont="1" applyFill="1" applyBorder="1" applyAlignment="1" applyProtection="1">
      <alignment vertical="center"/>
    </xf>
    <xf numFmtId="0" fontId="2" fillId="4" borderId="3" xfId="0" applyFont="1" applyFill="1" applyBorder="1" applyAlignment="1" applyProtection="1">
      <alignment vertical="center"/>
    </xf>
    <xf numFmtId="0" fontId="1" fillId="4" borderId="4" xfId="0" applyFont="1" applyFill="1" applyBorder="1" applyAlignment="1" applyProtection="1">
      <alignment vertical="center"/>
    </xf>
    <xf numFmtId="170" fontId="2" fillId="4" borderId="4" xfId="0" applyNumberFormat="1" applyFont="1" applyFill="1" applyBorder="1" applyAlignment="1" applyProtection="1">
      <alignment horizontal="left" vertical="center" indent="1"/>
    </xf>
    <xf numFmtId="0" fontId="1" fillId="4" borderId="7" xfId="0" applyFont="1" applyFill="1" applyBorder="1" applyAlignment="1" applyProtection="1">
      <alignment vertical="center"/>
    </xf>
    <xf numFmtId="0" fontId="2" fillId="4" borderId="0" xfId="0" applyFont="1" applyFill="1" applyAlignment="1" applyProtection="1">
      <alignment horizontal="center" vertical="center"/>
    </xf>
    <xf numFmtId="2" fontId="2" fillId="4" borderId="0" xfId="0" applyNumberFormat="1" applyFont="1" applyFill="1" applyBorder="1" applyAlignment="1" applyProtection="1">
      <alignment horizontal="center" vertical="center"/>
    </xf>
    <xf numFmtId="0" fontId="2" fillId="4" borderId="4" xfId="0" applyFont="1" applyFill="1" applyBorder="1" applyAlignment="1" applyProtection="1">
      <alignment vertical="center"/>
    </xf>
    <xf numFmtId="2" fontId="2" fillId="4" borderId="6" xfId="0" applyNumberFormat="1" applyFont="1" applyFill="1" applyBorder="1" applyAlignment="1" applyProtection="1">
      <alignment horizontal="center" vertical="center"/>
    </xf>
    <xf numFmtId="0" fontId="11" fillId="4" borderId="0" xfId="0" applyFont="1" applyFill="1" applyAlignment="1" applyProtection="1">
      <alignment vertical="center"/>
    </xf>
    <xf numFmtId="0" fontId="10" fillId="4" borderId="0" xfId="0" applyFont="1" applyFill="1" applyAlignment="1" applyProtection="1">
      <alignment vertical="center"/>
    </xf>
    <xf numFmtId="0" fontId="1" fillId="0" borderId="6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</xf>
    <xf numFmtId="0" fontId="2" fillId="4" borderId="3" xfId="0" applyFont="1" applyFill="1" applyBorder="1" applyAlignment="1" applyProtection="1">
      <alignment horizontal="center" vertical="center"/>
    </xf>
    <xf numFmtId="0" fontId="1" fillId="4" borderId="12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13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left" vertical="center"/>
      <protection locked="0"/>
    </xf>
    <xf numFmtId="0" fontId="12" fillId="4" borderId="8" xfId="0" applyFont="1" applyFill="1" applyBorder="1" applyAlignment="1" applyProtection="1">
      <alignment horizontal="center" vertical="center"/>
    </xf>
    <xf numFmtId="0" fontId="12" fillId="4" borderId="0" xfId="0" applyFont="1" applyFill="1" applyBorder="1" applyAlignment="1" applyProtection="1">
      <alignment horizontal="center" vertical="center"/>
    </xf>
    <xf numFmtId="0" fontId="12" fillId="4" borderId="10" xfId="0" applyFont="1" applyFill="1" applyBorder="1" applyAlignment="1" applyProtection="1">
      <alignment horizontal="center" vertical="center"/>
    </xf>
    <xf numFmtId="0" fontId="13" fillId="4" borderId="8" xfId="0" applyFont="1" applyFill="1" applyBorder="1" applyAlignment="1" applyProtection="1">
      <alignment horizontal="center" vertical="center" wrapText="1"/>
    </xf>
    <xf numFmtId="0" fontId="12" fillId="4" borderId="0" xfId="0" applyFont="1" applyFill="1" applyBorder="1" applyAlignment="1" applyProtection="1">
      <alignment horizontal="center" vertical="center" wrapText="1"/>
    </xf>
    <xf numFmtId="0" fontId="12" fillId="4" borderId="10" xfId="0" applyFont="1" applyFill="1" applyBorder="1" applyAlignment="1" applyProtection="1">
      <alignment horizontal="center" vertical="center" wrapText="1"/>
    </xf>
    <xf numFmtId="0" fontId="9" fillId="4" borderId="0" xfId="0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left" vertical="center"/>
    </xf>
    <xf numFmtId="0" fontId="2" fillId="4" borderId="2" xfId="0" applyFont="1" applyFill="1" applyBorder="1" applyAlignment="1" applyProtection="1">
      <alignment horizontal="left" vertical="center"/>
    </xf>
    <xf numFmtId="0" fontId="2" fillId="4" borderId="3" xfId="0" applyFont="1" applyFill="1" applyBorder="1" applyAlignment="1" applyProtection="1">
      <alignment horizontal="left" vertical="center"/>
    </xf>
    <xf numFmtId="164" fontId="2" fillId="4" borderId="4" xfId="0" applyNumberFormat="1" applyFont="1" applyFill="1" applyBorder="1" applyAlignment="1" applyProtection="1">
      <alignment horizontal="left" vertical="center" indent="1"/>
    </xf>
    <xf numFmtId="167" fontId="2" fillId="4" borderId="6" xfId="0" applyNumberFormat="1" applyFont="1" applyFill="1" applyBorder="1" applyAlignment="1" applyProtection="1">
      <alignment horizontal="center" vertical="center"/>
    </xf>
    <xf numFmtId="164" fontId="2" fillId="4" borderId="6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CL"/>
              <a:t>Gráfico Tensión - Deformación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Natural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D-4BC0-B63F-A9F5F1E31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669088"/>
        <c:axId val="1774663104"/>
      </c:scatterChart>
      <c:valAx>
        <c:axId val="17746690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Deformación Unitaria, [%]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74663104"/>
        <c:crosses val="autoZero"/>
        <c:crossBetween val="midCat"/>
      </c:valAx>
      <c:valAx>
        <c:axId val="17746631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Presión Axial,  [kg/cm2]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1774669088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3.5433070866141736" l="0.59055118110236227" r="0.59055118110236227" t="2.3622047244094491" header="0" footer="0"/>
    <c:pageSetup orientation="portrait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3175">
                <a:solidFill>
                  <a:srgbClr val="FF0000"/>
                </a:solidFill>
                <a:prstDash val="sysDash"/>
              </a:ln>
            </c:spPr>
            <c:trendlineType val="power"/>
            <c:dispRSqr val="1"/>
            <c:dispEq val="1"/>
            <c:trendlineLbl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800" b="0" i="0" u="none" strike="noStrike" baseline="0">
                      <a:solidFill>
                        <a:srgbClr val="000000"/>
                      </a:solidFill>
                      <a:latin typeface="Times New Roman"/>
                      <a:ea typeface="Times New Roman"/>
                      <a:cs typeface="Times New Roman"/>
                    </a:defRPr>
                  </a:pPr>
                  <a:endParaRPr lang="es-419"/>
                </a:p>
              </c:txPr>
            </c:trendlineLbl>
          </c:trendline>
          <c:xVal>
            <c:numLit>
              <c:formatCode>General</c:formatCode>
              <c:ptCount val="14"/>
              <c:pt idx="0">
                <c:v>4</c:v>
              </c:pt>
              <c:pt idx="1">
                <c:v>5.5</c:v>
              </c:pt>
              <c:pt idx="2">
                <c:v>4.5</c:v>
              </c:pt>
              <c:pt idx="3">
                <c:v>3.5</c:v>
              </c:pt>
              <c:pt idx="4">
                <c:v>5.4</c:v>
              </c:pt>
              <c:pt idx="5">
                <c:v>4.5999999999999996</c:v>
              </c:pt>
              <c:pt idx="6">
                <c:v>3.5</c:v>
              </c:pt>
              <c:pt idx="7">
                <c:v>2.2999999999999998</c:v>
              </c:pt>
              <c:pt idx="8">
                <c:v>1.9</c:v>
              </c:pt>
              <c:pt idx="9">
                <c:v>1.3</c:v>
              </c:pt>
              <c:pt idx="10">
                <c:v>3</c:v>
              </c:pt>
              <c:pt idx="11">
                <c:v>1.7</c:v>
              </c:pt>
              <c:pt idx="12">
                <c:v>2.8</c:v>
              </c:pt>
              <c:pt idx="13">
                <c:v>3</c:v>
              </c:pt>
            </c:numLit>
          </c:xVal>
          <c:yVal>
            <c:numLit>
              <c:formatCode>General</c:formatCode>
              <c:ptCount val="14"/>
              <c:pt idx="0">
                <c:v>39.671500000000002</c:v>
              </c:pt>
              <c:pt idx="1">
                <c:v>21.460165289256196</c:v>
              </c:pt>
              <c:pt idx="2">
                <c:v>32.057777777777773</c:v>
              </c:pt>
              <c:pt idx="3">
                <c:v>51.815836734693882</c:v>
              </c:pt>
              <c:pt idx="4">
                <c:v>28.693689986282575</c:v>
              </c:pt>
              <c:pt idx="5">
                <c:v>30.67911153119093</c:v>
              </c:pt>
              <c:pt idx="6">
                <c:v>35.328979591836735</c:v>
              </c:pt>
              <c:pt idx="7">
                <c:v>68.175803402646508</c:v>
              </c:pt>
              <c:pt idx="8">
                <c:v>91.910803324099732</c:v>
              </c:pt>
              <c:pt idx="9">
                <c:v>102.43313609467454</c:v>
              </c:pt>
              <c:pt idx="10">
                <c:v>44.88088888888889</c:v>
              </c:pt>
              <c:pt idx="11">
                <c:v>79.867128027681673</c:v>
              </c:pt>
              <c:pt idx="12">
                <c:v>47.841326530612257</c:v>
              </c:pt>
              <c:pt idx="13">
                <c:v>54.498222222222218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AB65-439D-888C-6B7B05919100}"/>
            </c:ext>
          </c:extLst>
        </c:ser>
        <c:ser>
          <c:idx val="1"/>
          <c:order val="1"/>
          <c:spPr>
            <a:ln w="317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Lit>
              <c:formatCode>General</c:formatCode>
              <c:ptCount val="3"/>
              <c:pt idx="0">
                <c:v>5</c:v>
              </c:pt>
              <c:pt idx="1">
                <c:v>5</c:v>
              </c:pt>
              <c:pt idx="2">
                <c:v>1</c:v>
              </c:pt>
            </c:numLit>
          </c:xVal>
          <c:yVal>
            <c:numLit>
              <c:formatCode>General</c:formatCode>
              <c:ptCount val="3"/>
              <c:pt idx="0">
                <c:v>1</c:v>
              </c:pt>
              <c:pt idx="1">
                <c:v>28.811497220990645</c:v>
              </c:pt>
              <c:pt idx="2">
                <c:v>28.811497220990645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AB65-439D-888C-6B7B05919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665280"/>
        <c:axId val="1774666912"/>
      </c:scatterChart>
      <c:valAx>
        <c:axId val="1774665280"/>
        <c:scaling>
          <c:logBase val="10"/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CL"/>
                  <a:t>Distancia entre Puntas, cm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774666912"/>
        <c:crosses val="autoZero"/>
        <c:crossBetween val="midCat"/>
      </c:valAx>
      <c:valAx>
        <c:axId val="1774666912"/>
        <c:scaling>
          <c:logBase val="10"/>
          <c:orientation val="minMax"/>
          <c:max val="1000"/>
          <c:min val="1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s-CL"/>
                  <a:t>Índice de Resistencia, kg/cm²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cross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s-419"/>
          </a:p>
        </c:txPr>
        <c:crossAx val="1774665280"/>
        <c:crosses val="autoZero"/>
        <c:crossBetween val="midCat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Times New Roman"/>
          <a:ea typeface="Times New Roman"/>
          <a:cs typeface="Times New Roman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4.jpeg"/><Relationship Id="rId5" Type="http://schemas.openxmlformats.org/officeDocument/2006/relationships/image" Target="../media/image3.jpeg"/><Relationship Id="rId4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7</xdr:row>
      <xdr:rowOff>85725</xdr:rowOff>
    </xdr:from>
    <xdr:to>
      <xdr:col>9</xdr:col>
      <xdr:colOff>304800</xdr:colOff>
      <xdr:row>11</xdr:row>
      <xdr:rowOff>142875</xdr:rowOff>
    </xdr:to>
    <xdr:sp macro="[0]!Módulo1.CrearHojas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315075" y="1219200"/>
          <a:ext cx="1600200" cy="704850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800" b="1" i="0"/>
            <a:t>CREAR HOJAS</a:t>
          </a:r>
        </a:p>
      </xdr:txBody>
    </xdr:sp>
    <xdr:clientData/>
  </xdr:twoCellAnchor>
  <xdr:twoCellAnchor>
    <xdr:from>
      <xdr:col>9</xdr:col>
      <xdr:colOff>714375</xdr:colOff>
      <xdr:row>7</xdr:row>
      <xdr:rowOff>80963</xdr:rowOff>
    </xdr:from>
    <xdr:to>
      <xdr:col>11</xdr:col>
      <xdr:colOff>600075</xdr:colOff>
      <xdr:row>11</xdr:row>
      <xdr:rowOff>147638</xdr:rowOff>
    </xdr:to>
    <xdr:sp macro="[0]!Módulo1.CambiaNombre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8324850" y="1214438"/>
          <a:ext cx="1562100" cy="714375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rtlCol="0" anchor="ctr"/>
        <a:lstStyle/>
        <a:p>
          <a:pPr algn="ctr"/>
          <a:r>
            <a:rPr lang="es-ES" sz="1600" b="1" i="1"/>
            <a:t>CAMBIAR</a:t>
          </a:r>
          <a:r>
            <a:rPr lang="es-ES" sz="1600" b="1" i="1" baseline="0"/>
            <a:t> NOMBRE HOJAS</a:t>
          </a:r>
          <a:endParaRPr lang="es-ES" sz="1600" b="1" i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64</xdr:row>
      <xdr:rowOff>0</xdr:rowOff>
    </xdr:from>
    <xdr:to>
      <xdr:col>19</xdr:col>
      <xdr:colOff>0</xdr:colOff>
      <xdr:row>64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40</xdr:row>
      <xdr:rowOff>0</xdr:rowOff>
    </xdr:from>
    <xdr:to>
      <xdr:col>0</xdr:col>
      <xdr:colOff>0</xdr:colOff>
      <xdr:row>57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723899</xdr:colOff>
      <xdr:row>22</xdr:row>
      <xdr:rowOff>10584</xdr:rowOff>
    </xdr:from>
    <xdr:to>
      <xdr:col>27</xdr:col>
      <xdr:colOff>789315</xdr:colOff>
      <xdr:row>22</xdr:row>
      <xdr:rowOff>191559</xdr:rowOff>
    </xdr:to>
    <xdr:sp macro="" textlink="">
      <xdr:nvSpPr>
        <xdr:cNvPr id="4" name="Text Box 4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18768482" y="4434417"/>
          <a:ext cx="41400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 antes de ensayo</a:t>
          </a:r>
        </a:p>
      </xdr:txBody>
    </xdr:sp>
    <xdr:clientData/>
  </xdr:twoCellAnchor>
  <xdr:twoCellAnchor>
    <xdr:from>
      <xdr:col>22</xdr:col>
      <xdr:colOff>714375</xdr:colOff>
      <xdr:row>39</xdr:row>
      <xdr:rowOff>91017</xdr:rowOff>
    </xdr:from>
    <xdr:to>
      <xdr:col>27</xdr:col>
      <xdr:colOff>779791</xdr:colOff>
      <xdr:row>40</xdr:row>
      <xdr:rowOff>135467</xdr:rowOff>
    </xdr:to>
    <xdr:sp macro="" textlink="">
      <xdr:nvSpPr>
        <xdr:cNvPr id="5" name="Text Box 4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18758958" y="8166100"/>
          <a:ext cx="414000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después de ensayo</a:t>
          </a:r>
        </a:p>
      </xdr:txBody>
    </xdr:sp>
    <xdr:clientData/>
  </xdr:twoCellAnchor>
  <xdr:twoCellAnchor>
    <xdr:from>
      <xdr:col>22</xdr:col>
      <xdr:colOff>723899</xdr:colOff>
      <xdr:row>6</xdr:row>
      <xdr:rowOff>152400</xdr:rowOff>
    </xdr:from>
    <xdr:to>
      <xdr:col>27</xdr:col>
      <xdr:colOff>789315</xdr:colOff>
      <xdr:row>21</xdr:row>
      <xdr:rowOff>196150</xdr:rowOff>
    </xdr:to>
    <xdr:sp macro="" textlink="">
      <xdr:nvSpPr>
        <xdr:cNvPr id="6" name="Rectangle 4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18768482" y="1358900"/>
          <a:ext cx="4140000" cy="306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723899</xdr:colOff>
      <xdr:row>4</xdr:row>
      <xdr:rowOff>171449</xdr:rowOff>
    </xdr:from>
    <xdr:to>
      <xdr:col>27</xdr:col>
      <xdr:colOff>789315</xdr:colOff>
      <xdr:row>6</xdr:row>
      <xdr:rowOff>21282</xdr:rowOff>
    </xdr:to>
    <xdr:sp macro="" textlink="$AP$4">
      <xdr:nvSpPr>
        <xdr:cNvPr id="10" name="40 CuadroText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 bwMode="auto">
        <a:xfrm>
          <a:off x="18768482" y="975782"/>
          <a:ext cx="4140000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21F46FF-8BC1-4790-A1D4-2CCEB1DC49B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BH-LPE5-A-LP-S3-A-0+085-L</a:t>
          </a:fld>
          <a:endParaRPr lang="es-ES" sz="800"/>
        </a:p>
      </xdr:txBody>
    </xdr:sp>
    <xdr:clientData/>
  </xdr:twoCellAnchor>
  <xdr:twoCellAnchor>
    <xdr:from>
      <xdr:col>22</xdr:col>
      <xdr:colOff>723899</xdr:colOff>
      <xdr:row>5</xdr:row>
      <xdr:rowOff>133350</xdr:rowOff>
    </xdr:from>
    <xdr:to>
      <xdr:col>27</xdr:col>
      <xdr:colOff>789315</xdr:colOff>
      <xdr:row>6</xdr:row>
      <xdr:rowOff>142875</xdr:rowOff>
    </xdr:to>
    <xdr:sp macro="" textlink="$AP$5">
      <xdr:nvSpPr>
        <xdr:cNvPr id="11" name="41 CuadroTexto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 bwMode="auto">
        <a:xfrm>
          <a:off x="18768482" y="1138767"/>
          <a:ext cx="4140000" cy="210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2F57E9F-70FD-45B5-A9F6-144DEB1E01E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BH-LPE5-A-LP-S3-A-0+085-L (06,35-06,50)</a:t>
          </a:fld>
          <a:endParaRPr lang="es-ES" sz="800"/>
        </a:p>
      </xdr:txBody>
    </xdr:sp>
    <xdr:clientData/>
  </xdr:twoCellAnchor>
  <xdr:twoCellAnchor>
    <xdr:from>
      <xdr:col>22</xdr:col>
      <xdr:colOff>714375</xdr:colOff>
      <xdr:row>25</xdr:row>
      <xdr:rowOff>76199</xdr:rowOff>
    </xdr:from>
    <xdr:to>
      <xdr:col>27</xdr:col>
      <xdr:colOff>779791</xdr:colOff>
      <xdr:row>39</xdr:row>
      <xdr:rowOff>88199</xdr:rowOff>
    </xdr:to>
    <xdr:sp macro="" textlink="">
      <xdr:nvSpPr>
        <xdr:cNvPr id="12" name="Rectangle 43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>
          <a:spLocks noChangeArrowheads="1"/>
        </xdr:cNvSpPr>
      </xdr:nvSpPr>
      <xdr:spPr bwMode="auto">
        <a:xfrm>
          <a:off x="18758958" y="5103282"/>
          <a:ext cx="4140000" cy="306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561975</xdr:colOff>
      <xdr:row>39</xdr:row>
      <xdr:rowOff>97368</xdr:rowOff>
    </xdr:from>
    <xdr:to>
      <xdr:col>35</xdr:col>
      <xdr:colOff>55891</xdr:colOff>
      <xdr:row>40</xdr:row>
      <xdr:rowOff>141818</xdr:rowOff>
    </xdr:to>
    <xdr:sp macro="" textlink="">
      <xdr:nvSpPr>
        <xdr:cNvPr id="13" name="Text Box 4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>
          <a:spLocks noChangeArrowheads="1"/>
        </xdr:cNvSpPr>
      </xdr:nvSpPr>
      <xdr:spPr bwMode="auto">
        <a:xfrm>
          <a:off x="23496058" y="8172451"/>
          <a:ext cx="4140000" cy="203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después de ensayo</a:t>
          </a:r>
        </a:p>
      </xdr:txBody>
    </xdr:sp>
    <xdr:clientData/>
  </xdr:twoCellAnchor>
  <xdr:twoCellAnchor>
    <xdr:from>
      <xdr:col>28</xdr:col>
      <xdr:colOff>557729</xdr:colOff>
      <xdr:row>6</xdr:row>
      <xdr:rowOff>152399</xdr:rowOff>
    </xdr:from>
    <xdr:to>
      <xdr:col>35</xdr:col>
      <xdr:colOff>51645</xdr:colOff>
      <xdr:row>21</xdr:row>
      <xdr:rowOff>196149</xdr:rowOff>
    </xdr:to>
    <xdr:sp macro="" textlink="">
      <xdr:nvSpPr>
        <xdr:cNvPr id="14" name="Rectangle 4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>
          <a:spLocks noChangeArrowheads="1"/>
        </xdr:cNvSpPr>
      </xdr:nvSpPr>
      <xdr:spPr bwMode="auto">
        <a:xfrm>
          <a:off x="23491812" y="1358899"/>
          <a:ext cx="4140000" cy="306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561975</xdr:colOff>
      <xdr:row>25</xdr:row>
      <xdr:rowOff>76199</xdr:rowOff>
    </xdr:from>
    <xdr:to>
      <xdr:col>35</xdr:col>
      <xdr:colOff>55891</xdr:colOff>
      <xdr:row>39</xdr:row>
      <xdr:rowOff>88199</xdr:rowOff>
    </xdr:to>
    <xdr:sp macro="" textlink="">
      <xdr:nvSpPr>
        <xdr:cNvPr id="18" name="Rectangle 43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>
          <a:spLocks noChangeArrowheads="1"/>
        </xdr:cNvSpPr>
      </xdr:nvSpPr>
      <xdr:spPr bwMode="auto">
        <a:xfrm>
          <a:off x="23496058" y="5103282"/>
          <a:ext cx="4140000" cy="3060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557729</xdr:colOff>
      <xdr:row>4</xdr:row>
      <xdr:rowOff>167217</xdr:rowOff>
    </xdr:from>
    <xdr:to>
      <xdr:col>35</xdr:col>
      <xdr:colOff>51645</xdr:colOff>
      <xdr:row>5</xdr:row>
      <xdr:rowOff>176742</xdr:rowOff>
    </xdr:to>
    <xdr:sp macro="" textlink="$AP$4">
      <xdr:nvSpPr>
        <xdr:cNvPr id="19" name="40 CuadroText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 bwMode="auto">
        <a:xfrm>
          <a:off x="23491812" y="971550"/>
          <a:ext cx="4140000" cy="2106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132FAEBB-CC55-477C-ACAC-25998C4614CF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BH-LPE5-A-LP-S3-A-0+085-L</a:t>
          </a:fld>
          <a:endParaRPr lang="es-ES" sz="800"/>
        </a:p>
      </xdr:txBody>
    </xdr:sp>
    <xdr:clientData/>
  </xdr:twoCellAnchor>
  <xdr:twoCellAnchor>
    <xdr:from>
      <xdr:col>28</xdr:col>
      <xdr:colOff>557729</xdr:colOff>
      <xdr:row>5</xdr:row>
      <xdr:rowOff>129117</xdr:rowOff>
    </xdr:from>
    <xdr:to>
      <xdr:col>35</xdr:col>
      <xdr:colOff>51645</xdr:colOff>
      <xdr:row>6</xdr:row>
      <xdr:rowOff>138642</xdr:rowOff>
    </xdr:to>
    <xdr:sp macro="" textlink="$AP$5">
      <xdr:nvSpPr>
        <xdr:cNvPr id="20" name="41 CuadroText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 bwMode="auto">
        <a:xfrm>
          <a:off x="23491812" y="1134534"/>
          <a:ext cx="4140000" cy="210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E14D34F9-8DAB-4F7F-BC7B-D21A9B76602E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BH-LPE5-A-LP-S3-A-0+085-L (06,35-06,50)</a:t>
          </a:fld>
          <a:endParaRPr lang="es-ES" sz="800"/>
        </a:p>
      </xdr:txBody>
    </xdr:sp>
    <xdr:clientData/>
  </xdr:twoCellAnchor>
  <xdr:twoCellAnchor>
    <xdr:from>
      <xdr:col>28</xdr:col>
      <xdr:colOff>557729</xdr:colOff>
      <xdr:row>22</xdr:row>
      <xdr:rowOff>8467</xdr:rowOff>
    </xdr:from>
    <xdr:to>
      <xdr:col>35</xdr:col>
      <xdr:colOff>51645</xdr:colOff>
      <xdr:row>22</xdr:row>
      <xdr:rowOff>189442</xdr:rowOff>
    </xdr:to>
    <xdr:sp macro="" textlink="">
      <xdr:nvSpPr>
        <xdr:cNvPr id="21" name="Text Box 4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>
          <a:spLocks noChangeArrowheads="1"/>
        </xdr:cNvSpPr>
      </xdr:nvSpPr>
      <xdr:spPr bwMode="auto">
        <a:xfrm>
          <a:off x="23491812" y="4432300"/>
          <a:ext cx="41400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CL" sz="800" b="0" i="0" strike="noStrike">
              <a:solidFill>
                <a:srgbClr val="000000"/>
              </a:solidFill>
              <a:latin typeface="Arial"/>
              <a:cs typeface="Arial"/>
            </a:rPr>
            <a:t>Fotografía  antes de ensayo</a:t>
          </a:r>
        </a:p>
      </xdr:txBody>
    </xdr:sp>
    <xdr:clientData/>
  </xdr:twoCellAnchor>
  <xdr:twoCellAnchor>
    <xdr:from>
      <xdr:col>22</xdr:col>
      <xdr:colOff>714375</xdr:colOff>
      <xdr:row>23</xdr:row>
      <xdr:rowOff>69848</xdr:rowOff>
    </xdr:from>
    <xdr:to>
      <xdr:col>27</xdr:col>
      <xdr:colOff>770266</xdr:colOff>
      <xdr:row>24</xdr:row>
      <xdr:rowOff>120765</xdr:rowOff>
    </xdr:to>
    <xdr:sp macro="" textlink="$AP$4">
      <xdr:nvSpPr>
        <xdr:cNvPr id="22" name="40 CuadroTexto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 bwMode="auto">
        <a:xfrm>
          <a:off x="18758958" y="4694765"/>
          <a:ext cx="4130475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21F46FF-8BC1-4790-A1D4-2CCEB1DC49B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BH-LPE5-A-LP-S3-A-0+085-L</a:t>
          </a:fld>
          <a:endParaRPr lang="es-ES" sz="800"/>
        </a:p>
      </xdr:txBody>
    </xdr:sp>
    <xdr:clientData/>
  </xdr:twoCellAnchor>
  <xdr:twoCellAnchor>
    <xdr:from>
      <xdr:col>22</xdr:col>
      <xdr:colOff>714375</xdr:colOff>
      <xdr:row>24</xdr:row>
      <xdr:rowOff>63499</xdr:rowOff>
    </xdr:from>
    <xdr:to>
      <xdr:col>27</xdr:col>
      <xdr:colOff>770266</xdr:colOff>
      <xdr:row>25</xdr:row>
      <xdr:rowOff>73024</xdr:rowOff>
    </xdr:to>
    <xdr:sp macro="" textlink="$AP$5">
      <xdr:nvSpPr>
        <xdr:cNvPr id="23" name="41 CuadroTexto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 bwMode="auto">
        <a:xfrm>
          <a:off x="18758958" y="4889499"/>
          <a:ext cx="4130475" cy="210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2F57E9F-70FD-45B5-A9F6-144DEB1E01E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BH-LPE5-A-LP-S3-A-0+085-L (06,35-06,50)</a:t>
          </a:fld>
          <a:endParaRPr lang="es-ES" sz="800"/>
        </a:p>
      </xdr:txBody>
    </xdr:sp>
    <xdr:clientData/>
  </xdr:twoCellAnchor>
  <xdr:twoCellAnchor>
    <xdr:from>
      <xdr:col>28</xdr:col>
      <xdr:colOff>561975</xdr:colOff>
      <xdr:row>23</xdr:row>
      <xdr:rowOff>69848</xdr:rowOff>
    </xdr:from>
    <xdr:to>
      <xdr:col>35</xdr:col>
      <xdr:colOff>46366</xdr:colOff>
      <xdr:row>24</xdr:row>
      <xdr:rowOff>120765</xdr:rowOff>
    </xdr:to>
    <xdr:sp macro="" textlink="$AP$4">
      <xdr:nvSpPr>
        <xdr:cNvPr id="24" name="40 CuadroTexto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 bwMode="auto">
        <a:xfrm>
          <a:off x="23496058" y="4694765"/>
          <a:ext cx="4130475" cy="25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221F46FF-8BC1-4790-A1D4-2CCEB1DC49B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PROYECTO  :  BH-LPE5-A-LP-S3-A-0+085-L</a:t>
          </a:fld>
          <a:endParaRPr lang="es-ES" sz="800"/>
        </a:p>
      </xdr:txBody>
    </xdr:sp>
    <xdr:clientData/>
  </xdr:twoCellAnchor>
  <xdr:twoCellAnchor>
    <xdr:from>
      <xdr:col>28</xdr:col>
      <xdr:colOff>561975</xdr:colOff>
      <xdr:row>24</xdr:row>
      <xdr:rowOff>63499</xdr:rowOff>
    </xdr:from>
    <xdr:to>
      <xdr:col>35</xdr:col>
      <xdr:colOff>46366</xdr:colOff>
      <xdr:row>25</xdr:row>
      <xdr:rowOff>73024</xdr:rowOff>
    </xdr:to>
    <xdr:sp macro="" textlink="$AP$5">
      <xdr:nvSpPr>
        <xdr:cNvPr id="25" name="41 CuadroTexto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 bwMode="auto">
        <a:xfrm>
          <a:off x="23496058" y="4889499"/>
          <a:ext cx="4130475" cy="2106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2F57E9F-70FD-45B5-A9F6-144DEB1E01E8}" type="TxLink">
            <a:rPr lang="en-US" sz="800" b="1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MUESTRA  :  BH-LPE5-A-LP-S3-A-0+085-L (06,35-06,50)</a:t>
          </a:fld>
          <a:endParaRPr lang="es-ES" sz="800"/>
        </a:p>
      </xdr:txBody>
    </xdr:sp>
    <xdr:clientData/>
  </xdr:twoCellAnchor>
  <xdr:twoCellAnchor editAs="oneCell">
    <xdr:from>
      <xdr:col>28</xdr:col>
      <xdr:colOff>566531</xdr:colOff>
      <xdr:row>6</xdr:row>
      <xdr:rowOff>152400</xdr:rowOff>
    </xdr:from>
    <xdr:to>
      <xdr:col>35</xdr:col>
      <xdr:colOff>47625</xdr:colOff>
      <xdr:row>22</xdr:row>
      <xdr:rowOff>4970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70687522-1330-45C2-9C99-2485F8A053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5264856" y="1352550"/>
          <a:ext cx="4138819" cy="3052970"/>
        </a:xfrm>
        <a:prstGeom prst="rect">
          <a:avLst/>
        </a:prstGeom>
      </xdr:spPr>
    </xdr:pic>
    <xdr:clientData/>
  </xdr:twoCellAnchor>
  <xdr:twoCellAnchor editAs="oneCell">
    <xdr:from>
      <xdr:col>22</xdr:col>
      <xdr:colOff>737155</xdr:colOff>
      <xdr:row>6</xdr:row>
      <xdr:rowOff>152761</xdr:rowOff>
    </xdr:from>
    <xdr:to>
      <xdr:col>27</xdr:col>
      <xdr:colOff>790576</xdr:colOff>
      <xdr:row>21</xdr:row>
      <xdr:rowOff>195469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7AA7011D-50BE-4C04-8DD7-630A23EEBEC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77730" y="1352911"/>
          <a:ext cx="4101546" cy="3043083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571500</xdr:colOff>
      <xdr:row>25</xdr:row>
      <xdr:rowOff>76200</xdr:rowOff>
    </xdr:from>
    <xdr:to>
      <xdr:col>35</xdr:col>
      <xdr:colOff>66675</xdr:colOff>
      <xdr:row>39</xdr:row>
      <xdr:rowOff>95249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D1F84CB-FF0D-42E7-A5B2-AC32F9AB9E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5269825" y="5076825"/>
          <a:ext cx="4152900" cy="3057524"/>
        </a:xfrm>
        <a:prstGeom prst="rect">
          <a:avLst/>
        </a:prstGeom>
      </xdr:spPr>
    </xdr:pic>
    <xdr:clientData/>
  </xdr:twoCellAnchor>
  <xdr:twoCellAnchor editAs="oneCell">
    <xdr:from>
      <xdr:col>22</xdr:col>
      <xdr:colOff>723900</xdr:colOff>
      <xdr:row>25</xdr:row>
      <xdr:rowOff>85725</xdr:rowOff>
    </xdr:from>
    <xdr:to>
      <xdr:col>27</xdr:col>
      <xdr:colOff>781050</xdr:colOff>
      <xdr:row>39</xdr:row>
      <xdr:rowOff>92850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286DB9C3-3EC8-4CE8-9725-0395E8AEB2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20564475" y="5086350"/>
          <a:ext cx="4105275" cy="3045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17.83.33\seccion%20laboratorio\Documents%20and%20Settings\geo\Escritorio\Laboratorio\MERVAL4\Carga%20Puntu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saye Carga Puntual"/>
    </sheetNames>
    <sheetDataSet>
      <sheetData sheetId="0">
        <row r="8">
          <cell r="A8">
            <v>4</v>
          </cell>
        </row>
        <row r="9">
          <cell r="A9">
            <v>5.5</v>
          </cell>
        </row>
        <row r="10">
          <cell r="A10">
            <v>4.5</v>
          </cell>
        </row>
        <row r="11">
          <cell r="A11">
            <v>3.5</v>
          </cell>
        </row>
        <row r="12">
          <cell r="A12">
            <v>5.4</v>
          </cell>
        </row>
        <row r="13">
          <cell r="A13">
            <v>4.5999999999999996</v>
          </cell>
        </row>
        <row r="14">
          <cell r="A14">
            <v>3.5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2:H12"/>
  <sheetViews>
    <sheetView showGridLines="0" tabSelected="1" workbookViewId="0">
      <selection activeCell="H20" sqref="H20"/>
    </sheetView>
  </sheetViews>
  <sheetFormatPr baseColWidth="10" defaultRowHeight="12.75" x14ac:dyDescent="0.15"/>
  <cols>
    <col min="1" max="1" width="6.125" style="5" customWidth="1"/>
    <col min="2" max="2" width="12.875" style="5" bestFit="1" customWidth="1"/>
    <col min="3" max="3" width="12.375" style="5" customWidth="1"/>
    <col min="4" max="8" width="11.5" style="5" customWidth="1"/>
    <col min="9" max="16384" width="11" style="5"/>
  </cols>
  <sheetData>
    <row r="2" spans="2:8" ht="12.75" customHeight="1" x14ac:dyDescent="0.15">
      <c r="B2" s="1" t="s">
        <v>0</v>
      </c>
      <c r="C2" s="2" t="s">
        <v>74</v>
      </c>
      <c r="D2" s="3"/>
      <c r="E2" s="3"/>
      <c r="F2" s="3"/>
      <c r="G2" s="3"/>
      <c r="H2" s="4"/>
    </row>
    <row r="3" spans="2:8" x14ac:dyDescent="0.15">
      <c r="B3" s="6" t="s">
        <v>14</v>
      </c>
      <c r="C3" s="2" t="s">
        <v>75</v>
      </c>
      <c r="D3" s="3"/>
      <c r="E3" s="3"/>
      <c r="F3" s="3"/>
      <c r="G3" s="3"/>
      <c r="H3" s="4"/>
    </row>
    <row r="4" spans="2:8" x14ac:dyDescent="0.15">
      <c r="B4" s="7" t="s">
        <v>2</v>
      </c>
      <c r="C4" s="2" t="s">
        <v>67</v>
      </c>
      <c r="D4" s="3"/>
      <c r="E4" s="3"/>
      <c r="F4" s="3"/>
      <c r="G4" s="3"/>
      <c r="H4" s="4"/>
    </row>
    <row r="6" spans="2:8" x14ac:dyDescent="0.15">
      <c r="B6" s="91" t="s">
        <v>15</v>
      </c>
      <c r="C6" s="91"/>
      <c r="D6" s="91"/>
    </row>
    <row r="7" spans="2:8" x14ac:dyDescent="0.15">
      <c r="B7" s="92">
        <v>1</v>
      </c>
      <c r="C7" s="92"/>
      <c r="D7" s="92"/>
    </row>
    <row r="10" spans="2:8" x14ac:dyDescent="0.15">
      <c r="B10" s="8" t="s">
        <v>16</v>
      </c>
      <c r="C10" s="8" t="s">
        <v>17</v>
      </c>
    </row>
    <row r="11" spans="2:8" x14ac:dyDescent="0.15">
      <c r="B11" s="9">
        <v>1</v>
      </c>
      <c r="C11" s="10">
        <v>8</v>
      </c>
    </row>
    <row r="12" spans="2:8" x14ac:dyDescent="0.15">
      <c r="B12" s="11"/>
      <c r="C12" s="12"/>
    </row>
  </sheetData>
  <sheetProtection algorithmName="SHA-512" hashValue="3eI80x8VDczl2+WGILHnDODnvj9MZ41sYVN8gKlfRAFTm38jXH/7O825wmNzXCb9fOmUgkIgH1aRi2dSMTZ7UQ==" saltValue="q2wFXh7f/NBEBkY8Dkqe1Q==" spinCount="100000" sheet="1" formatCells="0" formatColumns="0" formatRows="0"/>
  <protectedRanges>
    <protectedRange sqref="C2:H4 B7 B10:D11 G10:H22 B41:H114 D12:D22 D23:H40 B12:C40" name="Rango1"/>
  </protectedRanges>
  <mergeCells count="2">
    <mergeCell ref="B6:D6"/>
    <mergeCell ref="B7:D7"/>
  </mergeCells>
  <dataValidations count="1">
    <dataValidation type="whole" allowBlank="1" showInputMessage="1" showErrorMessage="1" error="ELEGIR ENTRE 01 A 20 HOJAS" promptTitle="CANTIDAD DE ENSAYOS" prompt="INGRESAR LA CANTIDAD DE HOJAS DE CÁLCULO" sqref="B7:D7">
      <formula1>1</formula1>
      <formula2>30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92D050"/>
  </sheetPr>
  <dimension ref="A1:AV102"/>
  <sheetViews>
    <sheetView topLeftCell="V1" zoomScaleNormal="100" workbookViewId="0">
      <selection activeCell="AJ11" sqref="AJ11"/>
    </sheetView>
  </sheetViews>
  <sheetFormatPr baseColWidth="10" defaultColWidth="9.625" defaultRowHeight="12" x14ac:dyDescent="0.15"/>
  <cols>
    <col min="1" max="1" width="12.625" style="34" customWidth="1"/>
    <col min="2" max="10" width="11.375" style="34" customWidth="1"/>
    <col min="11" max="11" width="12.5" style="34" bestFit="1" customWidth="1"/>
    <col min="12" max="12" width="9.625" style="34"/>
    <col min="13" max="13" width="16" style="34" customWidth="1"/>
    <col min="14" max="15" width="13.375" style="34" customWidth="1"/>
    <col min="16" max="16" width="12.625" style="34" customWidth="1"/>
    <col min="17" max="18" width="12.625" style="60" customWidth="1"/>
    <col min="19" max="21" width="12.625" style="34" customWidth="1"/>
    <col min="22" max="22" width="4.75" style="34" customWidth="1"/>
    <col min="23" max="28" width="10.625" style="34" customWidth="1"/>
    <col min="29" max="29" width="9.625" style="34"/>
    <col min="30" max="30" width="11.125" style="34" customWidth="1"/>
    <col min="31" max="31" width="1.875" style="34" customWidth="1"/>
    <col min="32" max="40" width="9.625" style="34"/>
    <col min="41" max="46" width="0" style="34" hidden="1" customWidth="1"/>
    <col min="47" max="16384" width="9.625" style="34"/>
  </cols>
  <sheetData>
    <row r="1" spans="1:48" ht="15.75" customHeight="1" x14ac:dyDescent="0.15">
      <c r="M1" s="77" t="s">
        <v>61</v>
      </c>
      <c r="N1" s="78"/>
      <c r="O1" s="78"/>
      <c r="P1" s="78"/>
      <c r="Q1" s="79"/>
      <c r="R1" s="79"/>
      <c r="S1" s="79"/>
      <c r="T1" s="79"/>
      <c r="U1" s="79"/>
    </row>
    <row r="2" spans="1:48" ht="15.75" customHeight="1" x14ac:dyDescent="0.15">
      <c r="M2" s="77"/>
      <c r="N2" s="78"/>
      <c r="O2" s="78"/>
      <c r="P2" s="78"/>
      <c r="Q2" s="79"/>
      <c r="R2" s="79"/>
      <c r="S2" s="79"/>
      <c r="T2" s="79"/>
      <c r="U2" s="79"/>
      <c r="W2" s="93" t="str">
        <f>+M1</f>
        <v>INFORME ENSAYO CARGA PUNTUAL AXIAL EN ROCA</v>
      </c>
      <c r="X2" s="93"/>
      <c r="Y2" s="93"/>
      <c r="Z2" s="93"/>
      <c r="AA2" s="93"/>
      <c r="AB2" s="93"/>
      <c r="AC2" s="93"/>
      <c r="AD2" s="93"/>
      <c r="AE2" s="93"/>
      <c r="AF2" s="93"/>
      <c r="AG2" s="93"/>
      <c r="AH2" s="93"/>
      <c r="AI2" s="93"/>
      <c r="AJ2" s="93"/>
    </row>
    <row r="3" spans="1:48" ht="15.75" customHeight="1" x14ac:dyDescent="0.15">
      <c r="A3" s="35" t="s">
        <v>62</v>
      </c>
      <c r="B3" s="36"/>
      <c r="C3" s="37"/>
      <c r="D3" s="36"/>
      <c r="E3" s="36"/>
      <c r="F3" s="37"/>
      <c r="G3" s="38"/>
      <c r="M3" s="79"/>
      <c r="N3" s="79"/>
      <c r="O3" s="79"/>
      <c r="P3" s="79"/>
      <c r="Q3" s="79"/>
      <c r="R3" s="79"/>
      <c r="S3" s="79"/>
      <c r="T3" s="79"/>
      <c r="U3" s="79"/>
    </row>
    <row r="4" spans="1:48" ht="15.75" customHeight="1" x14ac:dyDescent="0.15">
      <c r="M4" s="13" t="s">
        <v>0</v>
      </c>
      <c r="N4" s="31" t="str">
        <f>B5</f>
        <v>BH-LPE5-A-LP-S3-A-0+085-L</v>
      </c>
      <c r="O4" s="80"/>
      <c r="P4" s="80"/>
      <c r="Q4" s="80"/>
      <c r="R4" s="80"/>
      <c r="S4" s="80"/>
      <c r="T4" s="80"/>
      <c r="U4" s="81"/>
      <c r="X4" s="93" t="s">
        <v>11</v>
      </c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O4" s="39"/>
      <c r="AP4" s="39" t="str">
        <f>+CONCATENATE(A5,"  ",":","  ",B5)</f>
        <v>PROYECTO  :  BH-LPE5-A-LP-S3-A-0+085-L</v>
      </c>
      <c r="AQ4" s="39"/>
      <c r="AR4" s="39"/>
      <c r="AS4" s="39"/>
      <c r="AT4" s="39"/>
      <c r="AU4" s="39"/>
      <c r="AV4" s="39"/>
    </row>
    <row r="5" spans="1:48" ht="15.75" customHeight="1" x14ac:dyDescent="0.15">
      <c r="A5" s="40" t="s">
        <v>18</v>
      </c>
      <c r="B5" s="41" t="str">
        <f>'Ingreso Datos'!C2</f>
        <v>BH-LPE5-A-LP-S3-A-0+085-L</v>
      </c>
      <c r="M5" s="14" t="s">
        <v>79</v>
      </c>
      <c r="N5" s="31" t="str">
        <f>'Ingreso Datos'!C3</f>
        <v>1.914.637-C</v>
      </c>
      <c r="O5" s="80"/>
      <c r="P5" s="80"/>
      <c r="Q5" s="80"/>
      <c r="R5" s="80"/>
      <c r="S5" s="80"/>
      <c r="T5" s="80"/>
      <c r="U5" s="81"/>
      <c r="AO5" s="39"/>
      <c r="AP5" s="39" t="str">
        <f>+CONCATENATE(A8,"  ",":","  ",B8)</f>
        <v>MUESTRA  :  BH-LPE5-A-LP-S3-A-0+085-L (06,35-06,50)</v>
      </c>
      <c r="AQ5" s="39"/>
      <c r="AR5" s="39"/>
      <c r="AS5" s="39"/>
      <c r="AT5" s="39"/>
      <c r="AU5" s="39"/>
      <c r="AV5" s="39"/>
    </row>
    <row r="6" spans="1:48" ht="15.75" customHeight="1" x14ac:dyDescent="0.15">
      <c r="A6" s="42" t="s">
        <v>60</v>
      </c>
      <c r="B6" s="43">
        <v>45440</v>
      </c>
      <c r="M6" s="13" t="s">
        <v>2</v>
      </c>
      <c r="N6" s="31" t="s">
        <v>67</v>
      </c>
      <c r="O6" s="80"/>
      <c r="P6" s="80"/>
      <c r="Q6" s="80"/>
      <c r="R6" s="80"/>
      <c r="S6" s="80"/>
      <c r="T6" s="80"/>
      <c r="U6" s="81"/>
      <c r="AE6" s="100"/>
      <c r="AF6" s="100"/>
      <c r="AG6" s="100"/>
      <c r="AH6" s="100"/>
      <c r="AI6" s="100"/>
      <c r="AJ6" s="100"/>
      <c r="AK6" s="100"/>
      <c r="AL6" s="100"/>
      <c r="AM6" s="100"/>
    </row>
    <row r="7" spans="1:48" ht="15.75" customHeight="1" x14ac:dyDescent="0.15">
      <c r="A7" s="42" t="s">
        <v>59</v>
      </c>
      <c r="B7" s="43">
        <v>45440</v>
      </c>
      <c r="E7" s="44"/>
      <c r="M7" s="82" t="s">
        <v>3</v>
      </c>
      <c r="N7" s="83">
        <f>B6</f>
        <v>45440</v>
      </c>
      <c r="O7" s="80"/>
      <c r="P7" s="80"/>
      <c r="Q7" s="80"/>
      <c r="R7" s="80"/>
      <c r="S7" s="80"/>
      <c r="T7" s="80"/>
      <c r="U7" s="81"/>
    </row>
    <row r="8" spans="1:48" ht="15.75" customHeight="1" x14ac:dyDescent="0.15">
      <c r="A8" s="40" t="s">
        <v>19</v>
      </c>
      <c r="B8" s="41" t="s">
        <v>80</v>
      </c>
      <c r="M8" s="84" t="s">
        <v>4</v>
      </c>
      <c r="N8" s="83">
        <f>B7</f>
        <v>45440</v>
      </c>
      <c r="O8" s="80"/>
      <c r="P8" s="80"/>
      <c r="Q8" s="80"/>
      <c r="R8" s="80"/>
      <c r="S8" s="80"/>
      <c r="T8" s="80"/>
      <c r="U8" s="81"/>
    </row>
    <row r="9" spans="1:48" ht="15.75" customHeight="1" x14ac:dyDescent="0.15">
      <c r="A9" s="42" t="s">
        <v>58</v>
      </c>
      <c r="B9" s="41" t="s">
        <v>76</v>
      </c>
      <c r="M9" s="79"/>
      <c r="N9" s="15"/>
      <c r="O9" s="28"/>
      <c r="P9" s="28"/>
      <c r="Q9" s="16"/>
      <c r="R9" s="16"/>
      <c r="S9" s="28"/>
      <c r="T9" s="28"/>
      <c r="U9" s="28"/>
    </row>
    <row r="10" spans="1:48" ht="15.75" customHeight="1" x14ac:dyDescent="0.15">
      <c r="A10" s="42" t="s">
        <v>57</v>
      </c>
      <c r="B10" s="41" t="s">
        <v>77</v>
      </c>
      <c r="M10" s="78" t="s">
        <v>56</v>
      </c>
      <c r="N10" s="15"/>
      <c r="O10" s="28"/>
      <c r="P10" s="28"/>
      <c r="Q10" s="16"/>
      <c r="R10" s="16"/>
      <c r="S10" s="28"/>
      <c r="T10" s="28"/>
      <c r="U10" s="28"/>
      <c r="AN10" s="38"/>
      <c r="AO10" s="38"/>
      <c r="AP10" s="38"/>
    </row>
    <row r="11" spans="1:48" ht="15.75" customHeight="1" x14ac:dyDescent="0.15">
      <c r="A11" s="45" t="s">
        <v>55</v>
      </c>
      <c r="B11" s="41" t="s">
        <v>78</v>
      </c>
      <c r="C11" s="46"/>
      <c r="D11" s="46"/>
      <c r="E11" s="46"/>
      <c r="F11" s="38"/>
      <c r="G11" s="38"/>
      <c r="H11" s="46"/>
      <c r="I11" s="46"/>
      <c r="J11" s="46"/>
      <c r="K11" s="46"/>
      <c r="M11" s="14" t="s">
        <v>1</v>
      </c>
      <c r="N11" s="111" t="str">
        <f>B8</f>
        <v>BH-LPE5-A-LP-S3-A-0+085-L (06,35-06,50)</v>
      </c>
      <c r="O11" s="80"/>
      <c r="P11" s="80"/>
      <c r="Q11" s="80"/>
      <c r="R11" s="80"/>
      <c r="S11" s="80"/>
      <c r="T11" s="80"/>
      <c r="U11" s="81"/>
      <c r="AN11" s="38"/>
      <c r="AO11" s="38"/>
      <c r="AP11" s="38"/>
    </row>
    <row r="12" spans="1:48" ht="15.75" customHeight="1" x14ac:dyDescent="0.15">
      <c r="A12" s="45" t="s">
        <v>54</v>
      </c>
      <c r="B12" s="41">
        <v>0.1</v>
      </c>
      <c r="C12" s="46"/>
      <c r="D12" s="46"/>
      <c r="E12" s="46"/>
      <c r="F12" s="38"/>
      <c r="G12" s="38"/>
      <c r="H12" s="46"/>
      <c r="I12" s="46"/>
      <c r="J12" s="46"/>
      <c r="K12" s="46"/>
      <c r="M12" s="14" t="s">
        <v>8</v>
      </c>
      <c r="N12" s="111" t="str">
        <f>B9</f>
        <v>Andesita afanítica</v>
      </c>
      <c r="O12" s="80"/>
      <c r="P12" s="80"/>
      <c r="Q12" s="80"/>
      <c r="R12" s="80"/>
      <c r="S12" s="80"/>
      <c r="T12" s="80"/>
      <c r="U12" s="81"/>
      <c r="AN12" s="38"/>
      <c r="AO12" s="38"/>
      <c r="AP12" s="38"/>
    </row>
    <row r="13" spans="1:48" ht="15.75" customHeight="1" x14ac:dyDescent="0.15">
      <c r="A13" s="46"/>
      <c r="B13" s="46"/>
      <c r="C13" s="46"/>
      <c r="D13" s="46"/>
      <c r="E13" s="46"/>
      <c r="F13" s="38"/>
      <c r="G13" s="38"/>
      <c r="H13" s="46"/>
      <c r="I13" s="46"/>
      <c r="J13" s="46"/>
      <c r="K13" s="46"/>
      <c r="M13" s="82" t="s">
        <v>9</v>
      </c>
      <c r="N13" s="111" t="str">
        <f>B10</f>
        <v>No presenta</v>
      </c>
      <c r="O13" s="80"/>
      <c r="P13" s="80"/>
      <c r="Q13" s="80"/>
      <c r="R13" s="80"/>
      <c r="S13" s="80"/>
      <c r="T13" s="80"/>
      <c r="U13" s="81"/>
      <c r="AN13" s="38"/>
      <c r="AO13" s="38"/>
      <c r="AP13" s="38"/>
    </row>
    <row r="14" spans="1:48" ht="15.75" customHeight="1" x14ac:dyDescent="0.15">
      <c r="A14" s="47"/>
      <c r="B14" s="47"/>
      <c r="C14" s="47"/>
      <c r="D14" s="47"/>
      <c r="E14" s="47"/>
      <c r="F14" s="48"/>
      <c r="G14" s="48"/>
      <c r="H14" s="47"/>
      <c r="I14" s="47"/>
      <c r="J14" s="47"/>
      <c r="K14" s="46"/>
      <c r="M14" s="82" t="s">
        <v>10</v>
      </c>
      <c r="N14" s="111" t="str">
        <f>B11</f>
        <v>Cloritización y zeolitización</v>
      </c>
      <c r="O14" s="80"/>
      <c r="P14" s="80"/>
      <c r="Q14" s="80"/>
      <c r="R14" s="80"/>
      <c r="S14" s="80"/>
      <c r="T14" s="80"/>
      <c r="U14" s="81"/>
      <c r="AN14" s="38"/>
      <c r="AO14" s="38"/>
      <c r="AP14" s="38"/>
    </row>
    <row r="15" spans="1:48" ht="15.75" customHeight="1" x14ac:dyDescent="0.15">
      <c r="A15" s="49" t="s">
        <v>51</v>
      </c>
      <c r="B15" s="49" t="s">
        <v>50</v>
      </c>
      <c r="C15" s="49" t="s">
        <v>53</v>
      </c>
      <c r="D15" s="49" t="s">
        <v>49</v>
      </c>
      <c r="E15" s="49" t="s">
        <v>49</v>
      </c>
      <c r="F15" s="50"/>
      <c r="G15" s="50"/>
      <c r="H15" s="49" t="s">
        <v>47</v>
      </c>
      <c r="I15" s="49" t="s">
        <v>48</v>
      </c>
      <c r="J15" s="49" t="s">
        <v>47</v>
      </c>
      <c r="K15" s="51"/>
      <c r="M15" s="15"/>
      <c r="N15" s="18"/>
      <c r="O15" s="28"/>
      <c r="P15" s="28"/>
      <c r="Q15" s="28"/>
      <c r="R15" s="28"/>
      <c r="S15" s="28"/>
      <c r="T15" s="28"/>
      <c r="U15" s="28"/>
      <c r="AN15" s="38"/>
      <c r="AO15" s="38"/>
      <c r="AP15" s="38"/>
    </row>
    <row r="16" spans="1:48" ht="15.75" customHeight="1" x14ac:dyDescent="0.15">
      <c r="A16" s="49" t="s">
        <v>46</v>
      </c>
      <c r="B16" s="49"/>
      <c r="C16" s="49" t="s">
        <v>52</v>
      </c>
      <c r="D16" s="49" t="s">
        <v>45</v>
      </c>
      <c r="E16" s="49" t="s">
        <v>45</v>
      </c>
      <c r="F16" s="49" t="s">
        <v>44</v>
      </c>
      <c r="G16" s="49" t="s">
        <v>43</v>
      </c>
      <c r="H16" s="49" t="s">
        <v>42</v>
      </c>
      <c r="I16" s="49" t="s">
        <v>41</v>
      </c>
      <c r="J16" s="49" t="s">
        <v>40</v>
      </c>
      <c r="K16" s="49" t="s">
        <v>1</v>
      </c>
      <c r="M16" s="78" t="s">
        <v>13</v>
      </c>
      <c r="N16" s="79"/>
      <c r="O16" s="79"/>
      <c r="P16" s="79"/>
      <c r="Q16" s="79"/>
      <c r="R16" s="79"/>
      <c r="S16" s="79"/>
      <c r="T16" s="79"/>
      <c r="U16" s="79"/>
      <c r="AN16" s="38"/>
      <c r="AO16" s="38"/>
      <c r="AP16" s="38"/>
    </row>
    <row r="17" spans="1:42" ht="15.75" customHeight="1" x14ac:dyDescent="0.15">
      <c r="A17" s="52" t="s">
        <v>37</v>
      </c>
      <c r="B17" s="52" t="s">
        <v>37</v>
      </c>
      <c r="C17" s="52" t="s">
        <v>65</v>
      </c>
      <c r="D17" s="52" t="s">
        <v>12</v>
      </c>
      <c r="E17" s="52" t="s">
        <v>39</v>
      </c>
      <c r="F17" s="52" t="s">
        <v>38</v>
      </c>
      <c r="G17" s="52" t="s">
        <v>37</v>
      </c>
      <c r="H17" s="52" t="s">
        <v>7</v>
      </c>
      <c r="I17" s="53"/>
      <c r="J17" s="52" t="s">
        <v>7</v>
      </c>
      <c r="K17" s="52" t="s">
        <v>66</v>
      </c>
      <c r="M17" s="20" t="s">
        <v>51</v>
      </c>
      <c r="N17" s="21" t="s">
        <v>50</v>
      </c>
      <c r="O17" s="21" t="s">
        <v>49</v>
      </c>
      <c r="P17" s="21"/>
      <c r="Q17" s="21"/>
      <c r="R17" s="21" t="s">
        <v>47</v>
      </c>
      <c r="S17" s="21" t="s">
        <v>48</v>
      </c>
      <c r="T17" s="30" t="s">
        <v>47</v>
      </c>
      <c r="U17" s="21"/>
      <c r="AN17" s="38"/>
      <c r="AO17" s="38"/>
      <c r="AP17" s="38"/>
    </row>
    <row r="18" spans="1:42" ht="15.75" customHeight="1" x14ac:dyDescent="0.15">
      <c r="A18" s="41">
        <v>32.03</v>
      </c>
      <c r="B18" s="41">
        <v>47.15</v>
      </c>
      <c r="C18" s="41">
        <v>820</v>
      </c>
      <c r="D18" s="54">
        <f>IF(C18&lt;1200,(C18*0.024+0.3522)*1000,(C18*0.0239+0.356)*1000)</f>
        <v>20032.2</v>
      </c>
      <c r="E18" s="54">
        <f>D18/1000</f>
        <v>20.0322</v>
      </c>
      <c r="F18" s="54">
        <f>((A18*B18)*4)/PI()</f>
        <v>1922.8648224324415</v>
      </c>
      <c r="G18" s="54">
        <f>SQRT(F18)</f>
        <v>43.850482579242403</v>
      </c>
      <c r="H18" s="54">
        <f>D18/F18</f>
        <v>10.417893013747625</v>
      </c>
      <c r="I18" s="54">
        <f>(G18/50)^0.45</f>
        <v>0.94265324694500296</v>
      </c>
      <c r="J18" s="54">
        <f>H18*I18</f>
        <v>9.8204606757348607</v>
      </c>
      <c r="K18" s="55" t="s">
        <v>68</v>
      </c>
      <c r="M18" s="22" t="s">
        <v>46</v>
      </c>
      <c r="N18" s="17"/>
      <c r="O18" s="17" t="s">
        <v>45</v>
      </c>
      <c r="P18" s="17" t="s">
        <v>44</v>
      </c>
      <c r="Q18" s="17" t="s">
        <v>43</v>
      </c>
      <c r="R18" s="17" t="s">
        <v>42</v>
      </c>
      <c r="S18" s="17" t="s">
        <v>41</v>
      </c>
      <c r="T18" s="29" t="s">
        <v>40</v>
      </c>
      <c r="U18" s="17" t="s">
        <v>1</v>
      </c>
      <c r="AN18" s="38"/>
      <c r="AO18" s="38"/>
      <c r="AP18" s="38"/>
    </row>
    <row r="19" spans="1:42" ht="15.75" customHeight="1" x14ac:dyDescent="0.15">
      <c r="A19" s="41">
        <v>32.54</v>
      </c>
      <c r="B19" s="41">
        <v>47.29</v>
      </c>
      <c r="C19" s="41">
        <v>994</v>
      </c>
      <c r="D19" s="54">
        <f t="shared" ref="D19:D20" si="0">IF(C19&lt;1200,(C19*0.024+0.3522)*1000,(C19*0.0239+0.356)*1000)</f>
        <v>24208.2</v>
      </c>
      <c r="E19" s="54">
        <f>D19/1000</f>
        <v>24.208200000000001</v>
      </c>
      <c r="F19" s="54">
        <f>((A19*B19)*4)/PI()</f>
        <v>1959.2821472149108</v>
      </c>
      <c r="G19" s="54">
        <f>SQRT(F19)</f>
        <v>44.263779179086264</v>
      </c>
      <c r="H19" s="54">
        <f>D19/F19</f>
        <v>12.355647722514892</v>
      </c>
      <c r="I19" s="54">
        <f>(G19/50)^0.45</f>
        <v>0.9466410186320755</v>
      </c>
      <c r="J19" s="54">
        <f>H19*I19</f>
        <v>11.696362945900582</v>
      </c>
      <c r="K19" s="55" t="s">
        <v>68</v>
      </c>
      <c r="M19" s="23" t="s">
        <v>37</v>
      </c>
      <c r="N19" s="19" t="s">
        <v>37</v>
      </c>
      <c r="O19" s="19" t="s">
        <v>63</v>
      </c>
      <c r="P19" s="19" t="s">
        <v>38</v>
      </c>
      <c r="Q19" s="19" t="s">
        <v>37</v>
      </c>
      <c r="R19" s="19" t="s">
        <v>64</v>
      </c>
      <c r="S19" s="19"/>
      <c r="T19" s="23" t="s">
        <v>64</v>
      </c>
      <c r="U19" s="19" t="s">
        <v>66</v>
      </c>
      <c r="W19" s="56"/>
      <c r="X19" s="56"/>
      <c r="Y19" s="56"/>
      <c r="Z19" s="56"/>
      <c r="AA19" s="56"/>
      <c r="AB19" s="56"/>
      <c r="AN19" s="38"/>
      <c r="AO19" s="38"/>
      <c r="AP19" s="38"/>
    </row>
    <row r="20" spans="1:42" ht="15.75" customHeight="1" x14ac:dyDescent="0.15">
      <c r="A20" s="41"/>
      <c r="B20" s="41"/>
      <c r="C20" s="41"/>
      <c r="D20" s="54">
        <f t="shared" si="0"/>
        <v>352.2</v>
      </c>
      <c r="E20" s="54">
        <f>D20/1000</f>
        <v>0.35220000000000001</v>
      </c>
      <c r="F20" s="54">
        <f>((A20*B20)*4)/PI()</f>
        <v>0</v>
      </c>
      <c r="G20" s="54">
        <f>SQRT(F20)</f>
        <v>0</v>
      </c>
      <c r="H20" s="54" t="e">
        <f>D20/F20</f>
        <v>#DIV/0!</v>
      </c>
      <c r="I20" s="54">
        <f>(G20/50)^0.45</f>
        <v>0</v>
      </c>
      <c r="J20" s="54" t="e">
        <f>H20*I20</f>
        <v>#DIV/0!</v>
      </c>
      <c r="K20" s="55"/>
      <c r="M20" s="112">
        <f t="shared" ref="M20:N22" si="1">A18</f>
        <v>32.03</v>
      </c>
      <c r="N20" s="88">
        <f t="shared" si="1"/>
        <v>47.15</v>
      </c>
      <c r="O20" s="113">
        <f t="shared" ref="O20:U20" si="2">E18</f>
        <v>20.0322</v>
      </c>
      <c r="P20" s="88">
        <f t="shared" si="2"/>
        <v>1922.8648224324415</v>
      </c>
      <c r="Q20" s="88">
        <f t="shared" si="2"/>
        <v>43.850482579242403</v>
      </c>
      <c r="R20" s="88">
        <f t="shared" si="2"/>
        <v>10.417893013747625</v>
      </c>
      <c r="S20" s="88">
        <f t="shared" si="2"/>
        <v>0.94265324694500296</v>
      </c>
      <c r="T20" s="113">
        <f t="shared" si="2"/>
        <v>9.8204606757348607</v>
      </c>
      <c r="U20" s="88" t="str">
        <f t="shared" si="2"/>
        <v>Matriz (Válida)</v>
      </c>
      <c r="W20" s="57"/>
      <c r="X20" s="58"/>
      <c r="Y20" s="58"/>
      <c r="Z20" s="58"/>
      <c r="AA20" s="58"/>
      <c r="AB20" s="58"/>
      <c r="AN20" s="38"/>
      <c r="AO20" s="38"/>
      <c r="AP20" s="38"/>
    </row>
    <row r="21" spans="1:42" ht="15.75" customHeight="1" x14ac:dyDescent="0.15">
      <c r="M21" s="112">
        <f t="shared" si="1"/>
        <v>32.54</v>
      </c>
      <c r="N21" s="88">
        <f t="shared" si="1"/>
        <v>47.29</v>
      </c>
      <c r="O21" s="113">
        <f t="shared" ref="O21:T22" si="3">E19</f>
        <v>24.208200000000001</v>
      </c>
      <c r="P21" s="88">
        <f t="shared" si="3"/>
        <v>1959.2821472149108</v>
      </c>
      <c r="Q21" s="88">
        <f t="shared" si="3"/>
        <v>44.263779179086264</v>
      </c>
      <c r="R21" s="88">
        <f t="shared" si="3"/>
        <v>12.355647722514892</v>
      </c>
      <c r="S21" s="88">
        <f t="shared" si="3"/>
        <v>0.9466410186320755</v>
      </c>
      <c r="T21" s="113">
        <f t="shared" si="3"/>
        <v>11.696362945900582</v>
      </c>
      <c r="U21" s="88" t="str">
        <f t="shared" ref="U21:U22" si="4">K19</f>
        <v>Matriz (Válida)</v>
      </c>
      <c r="AD21" s="59"/>
      <c r="AE21" s="59"/>
      <c r="AF21" s="57"/>
      <c r="AG21" s="58"/>
      <c r="AH21" s="58"/>
      <c r="AI21" s="58"/>
      <c r="AJ21" s="58"/>
      <c r="AK21" s="58"/>
      <c r="AL21" s="58"/>
      <c r="AM21" s="58"/>
      <c r="AN21" s="38"/>
      <c r="AO21" s="38"/>
      <c r="AP21" s="38"/>
    </row>
    <row r="22" spans="1:42" ht="15.75" customHeight="1" x14ac:dyDescent="0.15">
      <c r="M22" s="112" t="s">
        <v>67</v>
      </c>
      <c r="N22" s="112" t="s">
        <v>67</v>
      </c>
      <c r="O22" s="112" t="s">
        <v>67</v>
      </c>
      <c r="P22" s="112" t="s">
        <v>67</v>
      </c>
      <c r="Q22" s="112" t="s">
        <v>67</v>
      </c>
      <c r="R22" s="112" t="s">
        <v>67</v>
      </c>
      <c r="S22" s="112" t="s">
        <v>67</v>
      </c>
      <c r="T22" s="112" t="s">
        <v>67</v>
      </c>
      <c r="U22" s="112" t="s">
        <v>67</v>
      </c>
      <c r="AD22" s="59"/>
      <c r="AE22" s="59"/>
      <c r="AF22" s="59"/>
      <c r="AG22" s="58"/>
      <c r="AH22" s="58"/>
      <c r="AI22" s="58"/>
      <c r="AJ22" s="58"/>
      <c r="AK22" s="58"/>
      <c r="AL22" s="58"/>
      <c r="AM22" s="58"/>
      <c r="AN22" s="38"/>
      <c r="AO22" s="38"/>
      <c r="AP22" s="38"/>
    </row>
    <row r="23" spans="1:42" ht="15.75" customHeight="1" x14ac:dyDescent="0.15">
      <c r="M23" s="79"/>
      <c r="N23" s="79"/>
      <c r="O23" s="79"/>
      <c r="P23" s="79"/>
      <c r="Q23" s="85"/>
      <c r="R23" s="85"/>
      <c r="S23" s="79"/>
      <c r="T23" s="79"/>
      <c r="U23" s="79"/>
      <c r="AD23" s="24"/>
      <c r="AE23" s="25"/>
      <c r="AF23" s="25"/>
      <c r="AG23" s="58"/>
      <c r="AH23" s="58"/>
      <c r="AI23" s="58"/>
      <c r="AJ23" s="58"/>
      <c r="AK23" s="58"/>
      <c r="AL23" s="58"/>
      <c r="AM23" s="58"/>
      <c r="AN23" s="61"/>
      <c r="AO23" s="38"/>
      <c r="AP23" s="38"/>
    </row>
    <row r="24" spans="1:42" ht="15.75" customHeight="1" x14ac:dyDescent="0.15">
      <c r="M24" s="78" t="s">
        <v>36</v>
      </c>
      <c r="N24" s="79"/>
      <c r="O24" s="79"/>
      <c r="P24" s="79"/>
      <c r="Q24" s="86"/>
      <c r="R24" s="86"/>
      <c r="S24" s="86"/>
      <c r="T24" s="26"/>
      <c r="U24" s="26"/>
      <c r="AD24" s="24"/>
      <c r="AE24" s="25"/>
      <c r="AF24" s="25"/>
      <c r="AG24" s="25"/>
      <c r="AH24" s="38"/>
      <c r="AI24" s="64"/>
      <c r="AJ24" s="38"/>
      <c r="AK24" s="38"/>
      <c r="AL24" s="65"/>
      <c r="AM24" s="59"/>
      <c r="AN24" s="61"/>
      <c r="AO24" s="38"/>
      <c r="AP24" s="38"/>
    </row>
    <row r="25" spans="1:42" ht="15.75" customHeight="1" x14ac:dyDescent="0.15">
      <c r="M25" s="87" t="s">
        <v>35</v>
      </c>
      <c r="N25" s="80"/>
      <c r="O25" s="81"/>
      <c r="P25" s="88">
        <f>B12</f>
        <v>0.1</v>
      </c>
      <c r="Q25" s="86"/>
      <c r="R25" s="86"/>
      <c r="S25" s="86"/>
      <c r="T25" s="26"/>
      <c r="U25" s="26"/>
      <c r="AD25" s="24"/>
      <c r="AE25" s="25"/>
      <c r="AF25" s="25"/>
      <c r="AG25" s="25"/>
      <c r="AH25" s="25"/>
      <c r="AI25" s="25"/>
      <c r="AJ25" s="66"/>
      <c r="AK25" s="67"/>
      <c r="AL25" s="65"/>
      <c r="AM25" s="59"/>
      <c r="AN25" s="61"/>
      <c r="AO25" s="38"/>
      <c r="AP25" s="38"/>
    </row>
    <row r="26" spans="1:42" ht="15.75" customHeight="1" x14ac:dyDescent="0.15">
      <c r="M26" s="108" t="s">
        <v>34</v>
      </c>
      <c r="N26" s="109"/>
      <c r="O26" s="110"/>
      <c r="P26" s="88">
        <f>AVERAGE(T20:T22)</f>
        <v>10.758411810817721</v>
      </c>
      <c r="Q26" s="79"/>
      <c r="R26" s="79"/>
      <c r="S26" s="79"/>
      <c r="T26" s="79"/>
      <c r="U26" s="79"/>
      <c r="AD26" s="24"/>
      <c r="AE26" s="25"/>
      <c r="AF26" s="25"/>
      <c r="AG26" s="25"/>
      <c r="AH26" s="68"/>
      <c r="AI26" s="25"/>
      <c r="AJ26" s="66"/>
      <c r="AK26" s="57"/>
      <c r="AL26" s="65"/>
      <c r="AM26" s="59"/>
      <c r="AN26" s="61"/>
      <c r="AO26" s="38"/>
      <c r="AP26" s="38"/>
    </row>
    <row r="27" spans="1:42" ht="15.75" customHeight="1" x14ac:dyDescent="0.15">
      <c r="M27" s="108" t="s">
        <v>33</v>
      </c>
      <c r="N27" s="109"/>
      <c r="O27" s="110"/>
      <c r="P27" s="27" t="str">
        <f>IF(P26&lt;0.03,"Extrem. Baja",IF(P26&lt;0.1,"Muy Baja",IF(P26&lt;0.3,"Baja",IF(P26&lt;1,"Media",IF(P26&lt;3,"Alta",IF(P26&lt;10,"Muy Alta",IF(P26&gt;10,"Extrem. Alta")))))))</f>
        <v>Extrem. Alta</v>
      </c>
      <c r="Q27" s="79"/>
      <c r="R27" s="79"/>
      <c r="S27" s="79"/>
      <c r="T27" s="79"/>
      <c r="U27" s="79"/>
      <c r="AD27" s="24"/>
      <c r="AE27" s="25"/>
      <c r="AF27" s="25"/>
      <c r="AG27" s="25"/>
      <c r="AH27" s="68"/>
      <c r="AI27" s="25"/>
      <c r="AJ27" s="66"/>
      <c r="AK27" s="57"/>
      <c r="AL27" s="65"/>
      <c r="AM27" s="59"/>
      <c r="AN27" s="61"/>
      <c r="AO27" s="38"/>
      <c r="AP27" s="38"/>
    </row>
    <row r="28" spans="1:42" ht="15.75" customHeight="1" x14ac:dyDescent="0.15">
      <c r="M28" s="79"/>
      <c r="N28" s="79"/>
      <c r="O28" s="79"/>
      <c r="P28" s="79"/>
      <c r="Q28" s="79"/>
      <c r="R28" s="79"/>
      <c r="S28" s="79"/>
      <c r="T28" s="79"/>
      <c r="U28" s="79"/>
      <c r="AD28" s="24"/>
      <c r="AE28" s="25"/>
      <c r="AF28" s="25"/>
      <c r="AG28" s="25"/>
      <c r="AH28" s="68"/>
      <c r="AI28" s="25"/>
      <c r="AJ28" s="66"/>
      <c r="AK28" s="57"/>
      <c r="AL28" s="65"/>
      <c r="AM28" s="59"/>
      <c r="AN28" s="61"/>
      <c r="AO28" s="38"/>
      <c r="AP28" s="38"/>
    </row>
    <row r="29" spans="1:42" ht="15.75" customHeight="1" x14ac:dyDescent="0.15">
      <c r="M29" s="97" t="s">
        <v>32</v>
      </c>
      <c r="N29" s="98"/>
      <c r="O29" s="98"/>
      <c r="P29" s="99"/>
      <c r="Q29" s="79"/>
      <c r="R29" s="79"/>
      <c r="S29" s="79"/>
      <c r="T29" s="79"/>
      <c r="U29" s="79"/>
      <c r="AD29" s="24"/>
      <c r="AE29" s="25"/>
      <c r="AF29" s="25"/>
      <c r="AG29" s="25"/>
      <c r="AH29" s="68"/>
      <c r="AI29" s="25"/>
      <c r="AJ29" s="66"/>
      <c r="AK29" s="57"/>
      <c r="AL29" s="65"/>
      <c r="AM29" s="59"/>
      <c r="AN29" s="61"/>
      <c r="AO29" s="38"/>
      <c r="AP29" s="38"/>
    </row>
    <row r="30" spans="1:42" ht="15.75" customHeight="1" x14ac:dyDescent="0.15">
      <c r="M30" s="101" t="s">
        <v>31</v>
      </c>
      <c r="N30" s="102"/>
      <c r="O30" s="102"/>
      <c r="P30" s="103"/>
      <c r="Q30" s="79"/>
      <c r="R30" s="79"/>
      <c r="S30" s="79"/>
      <c r="T30" s="79"/>
      <c r="U30" s="79"/>
      <c r="AD30" s="24"/>
      <c r="AE30" s="25"/>
      <c r="AF30" s="25"/>
      <c r="AG30" s="25"/>
      <c r="AH30" s="68"/>
      <c r="AI30" s="25"/>
      <c r="AJ30" s="66"/>
      <c r="AK30" s="57"/>
      <c r="AL30" s="65"/>
      <c r="AM30" s="59"/>
      <c r="AN30" s="61"/>
      <c r="AO30" s="38"/>
      <c r="AP30" s="38"/>
    </row>
    <row r="31" spans="1:42" ht="34.5" customHeight="1" x14ac:dyDescent="0.15">
      <c r="M31" s="104" t="s">
        <v>30</v>
      </c>
      <c r="N31" s="105"/>
      <c r="O31" s="105"/>
      <c r="P31" s="106"/>
      <c r="Q31" s="79"/>
      <c r="R31" s="79"/>
      <c r="S31" s="79"/>
      <c r="T31" s="79"/>
      <c r="U31" s="79"/>
      <c r="W31" s="56"/>
      <c r="X31" s="56"/>
      <c r="Y31" s="56"/>
      <c r="Z31" s="56"/>
      <c r="AA31" s="56"/>
      <c r="AB31" s="56"/>
      <c r="AD31" s="24"/>
      <c r="AE31" s="25"/>
      <c r="AF31" s="25"/>
      <c r="AG31" s="25"/>
      <c r="AH31" s="25"/>
      <c r="AI31" s="25"/>
      <c r="AJ31" s="66"/>
      <c r="AK31" s="67"/>
      <c r="AL31" s="65"/>
      <c r="AM31" s="59"/>
      <c r="AN31" s="66"/>
      <c r="AO31" s="38"/>
      <c r="AP31" s="38"/>
    </row>
    <row r="32" spans="1:42" ht="15.75" customHeight="1" x14ac:dyDescent="0.15">
      <c r="M32" s="94" t="s">
        <v>29</v>
      </c>
      <c r="N32" s="95"/>
      <c r="O32" s="95"/>
      <c r="P32" s="96"/>
      <c r="Q32" s="79"/>
      <c r="R32" s="79"/>
      <c r="S32" s="79"/>
      <c r="T32" s="79"/>
      <c r="U32" s="79"/>
      <c r="W32" s="38"/>
      <c r="X32" s="38"/>
      <c r="Y32" s="38"/>
      <c r="Z32" s="38"/>
      <c r="AA32" s="38"/>
      <c r="AB32" s="38"/>
      <c r="AD32" s="24"/>
      <c r="AE32" s="25"/>
      <c r="AF32" s="25"/>
      <c r="AG32" s="25"/>
      <c r="AH32" s="25"/>
      <c r="AI32" s="25"/>
      <c r="AJ32" s="66"/>
      <c r="AK32" s="67"/>
      <c r="AL32" s="65"/>
      <c r="AM32" s="59"/>
      <c r="AN32" s="66"/>
      <c r="AO32" s="38"/>
      <c r="AP32" s="38"/>
    </row>
    <row r="33" spans="13:42" ht="15.75" customHeight="1" x14ac:dyDescent="0.15">
      <c r="M33" s="94" t="s">
        <v>28</v>
      </c>
      <c r="N33" s="95"/>
      <c r="O33" s="95"/>
      <c r="P33" s="96"/>
      <c r="Q33" s="79"/>
      <c r="R33" s="79"/>
      <c r="S33" s="79"/>
      <c r="T33" s="79"/>
      <c r="U33" s="79"/>
      <c r="W33" s="38"/>
      <c r="X33" s="38"/>
      <c r="Y33" s="38"/>
      <c r="Z33" s="38"/>
      <c r="AA33" s="38"/>
      <c r="AB33" s="38"/>
      <c r="AD33" s="24"/>
      <c r="AE33" s="25"/>
      <c r="AF33" s="25"/>
      <c r="AG33" s="25"/>
      <c r="AH33" s="25"/>
      <c r="AI33" s="25"/>
      <c r="AJ33" s="66"/>
      <c r="AK33" s="67"/>
      <c r="AL33" s="65"/>
      <c r="AM33" s="59"/>
      <c r="AN33" s="66"/>
      <c r="AO33" s="38"/>
      <c r="AP33" s="38"/>
    </row>
    <row r="34" spans="13:42" ht="15.75" customHeight="1" x14ac:dyDescent="0.15">
      <c r="M34" s="94" t="s">
        <v>27</v>
      </c>
      <c r="N34" s="95"/>
      <c r="O34" s="95"/>
      <c r="P34" s="96"/>
      <c r="Q34" s="79"/>
      <c r="R34" s="79"/>
      <c r="S34" s="79"/>
      <c r="T34" s="79"/>
      <c r="U34" s="79"/>
      <c r="W34" s="56"/>
      <c r="X34" s="56"/>
      <c r="Y34" s="56"/>
      <c r="Z34" s="56"/>
      <c r="AA34" s="56"/>
      <c r="AB34" s="56"/>
      <c r="AD34" s="24"/>
      <c r="AE34" s="25"/>
      <c r="AF34" s="25"/>
      <c r="AG34" s="25"/>
      <c r="AH34" s="25"/>
      <c r="AI34" s="25"/>
      <c r="AJ34" s="66"/>
      <c r="AK34" s="67"/>
      <c r="AL34" s="65"/>
      <c r="AM34" s="59"/>
      <c r="AN34" s="66"/>
      <c r="AO34" s="38"/>
      <c r="AP34" s="38"/>
    </row>
    <row r="35" spans="13:42" ht="15.75" customHeight="1" x14ac:dyDescent="0.15">
      <c r="M35" s="94" t="s">
        <v>26</v>
      </c>
      <c r="N35" s="95"/>
      <c r="O35" s="95"/>
      <c r="P35" s="96"/>
      <c r="Q35" s="79"/>
      <c r="R35" s="79"/>
      <c r="S35" s="79"/>
      <c r="T35" s="79"/>
      <c r="U35" s="79"/>
      <c r="AD35" s="24"/>
      <c r="AE35" s="25"/>
      <c r="AF35" s="25"/>
      <c r="AG35" s="25"/>
      <c r="AH35" s="25"/>
      <c r="AI35" s="25"/>
      <c r="AJ35" s="66"/>
      <c r="AK35" s="67"/>
      <c r="AL35" s="65"/>
      <c r="AM35" s="59"/>
      <c r="AN35" s="66"/>
      <c r="AO35" s="38"/>
      <c r="AP35" s="38"/>
    </row>
    <row r="36" spans="13:42" ht="15.75" customHeight="1" x14ac:dyDescent="0.15">
      <c r="M36" s="94" t="s">
        <v>25</v>
      </c>
      <c r="N36" s="95"/>
      <c r="O36" s="95"/>
      <c r="P36" s="96"/>
      <c r="Q36" s="79"/>
      <c r="R36" s="79"/>
      <c r="S36" s="79"/>
      <c r="T36" s="79"/>
      <c r="U36" s="79"/>
      <c r="AD36" s="24"/>
      <c r="AE36" s="25"/>
      <c r="AF36" s="25"/>
      <c r="AG36" s="25"/>
      <c r="AH36" s="25"/>
      <c r="AI36" s="25"/>
      <c r="AJ36" s="66"/>
      <c r="AK36" s="67"/>
      <c r="AL36" s="65"/>
      <c r="AM36" s="59"/>
      <c r="AN36" s="66"/>
      <c r="AO36" s="38"/>
      <c r="AP36" s="38"/>
    </row>
    <row r="37" spans="13:42" ht="15.75" customHeight="1" x14ac:dyDescent="0.15">
      <c r="M37" s="94" t="s">
        <v>24</v>
      </c>
      <c r="N37" s="95"/>
      <c r="O37" s="95"/>
      <c r="P37" s="96"/>
      <c r="Q37" s="79"/>
      <c r="R37" s="79"/>
      <c r="S37" s="79"/>
      <c r="T37" s="79"/>
      <c r="U37" s="7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38"/>
      <c r="AO37" s="38"/>
      <c r="AP37" s="38"/>
    </row>
    <row r="38" spans="13:42" ht="15.75" customHeight="1" x14ac:dyDescent="0.15">
      <c r="M38" s="94" t="s">
        <v>23</v>
      </c>
      <c r="N38" s="95"/>
      <c r="O38" s="95"/>
      <c r="P38" s="96"/>
      <c r="Q38" s="79"/>
      <c r="R38" s="79"/>
      <c r="S38" s="79"/>
      <c r="T38" s="79"/>
      <c r="U38" s="79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</row>
    <row r="39" spans="13:42" ht="15.75" customHeight="1" x14ac:dyDescent="0.15">
      <c r="M39" s="79"/>
      <c r="N39" s="79"/>
      <c r="O39" s="79"/>
      <c r="P39" s="79"/>
      <c r="Q39" s="16"/>
      <c r="R39" s="79"/>
      <c r="S39" s="79"/>
      <c r="T39" s="79"/>
      <c r="U39" s="79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</row>
    <row r="40" spans="13:42" ht="12.75" customHeight="1" x14ac:dyDescent="0.15">
      <c r="M40" s="89" t="s">
        <v>5</v>
      </c>
      <c r="N40" s="79"/>
      <c r="O40" s="79"/>
      <c r="P40" s="79"/>
      <c r="Q40" s="79"/>
      <c r="R40" s="79"/>
      <c r="S40" s="79"/>
      <c r="T40" s="79"/>
      <c r="U40" s="79"/>
    </row>
    <row r="41" spans="13:42" ht="12.75" customHeight="1" x14ac:dyDescent="0.15">
      <c r="M41" s="90" t="s">
        <v>22</v>
      </c>
      <c r="N41" s="79"/>
      <c r="O41" s="79"/>
      <c r="P41" s="79"/>
      <c r="Q41" s="79"/>
      <c r="R41" s="79"/>
      <c r="S41" s="79"/>
      <c r="T41" s="79"/>
      <c r="U41" s="79"/>
    </row>
    <row r="42" spans="13:42" ht="12.75" customHeight="1" x14ac:dyDescent="0.15">
      <c r="M42" s="90" t="s">
        <v>21</v>
      </c>
      <c r="N42" s="79"/>
      <c r="O42" s="79"/>
      <c r="P42" s="79"/>
      <c r="Q42" s="79"/>
      <c r="R42" s="79"/>
      <c r="S42" s="79"/>
      <c r="T42" s="79"/>
      <c r="U42" s="79"/>
      <c r="AN42" s="69"/>
    </row>
    <row r="43" spans="13:42" ht="12.75" customHeight="1" x14ac:dyDescent="0.15">
      <c r="M43" s="79"/>
      <c r="N43" s="79"/>
      <c r="O43" s="79"/>
      <c r="P43" s="79"/>
      <c r="Q43" s="79"/>
      <c r="R43" s="79"/>
      <c r="S43" s="79"/>
      <c r="T43" s="79"/>
      <c r="U43" s="79"/>
    </row>
    <row r="44" spans="13:42" ht="12.75" customHeight="1" x14ac:dyDescent="0.15">
      <c r="M44" s="89" t="s">
        <v>6</v>
      </c>
      <c r="N44" s="79"/>
      <c r="O44" s="79"/>
      <c r="P44" s="79"/>
      <c r="Q44" s="79"/>
      <c r="R44" s="79"/>
      <c r="S44" s="79"/>
      <c r="T44" s="79"/>
      <c r="U44" s="79"/>
    </row>
    <row r="45" spans="13:42" ht="12.75" customHeight="1" x14ac:dyDescent="0.15">
      <c r="M45" s="90" t="s">
        <v>20</v>
      </c>
      <c r="N45" s="79"/>
      <c r="O45" s="79"/>
      <c r="P45" s="79"/>
      <c r="Q45" s="79"/>
      <c r="R45" s="79"/>
      <c r="S45" s="79"/>
      <c r="T45" s="79"/>
      <c r="U45" s="79"/>
    </row>
    <row r="46" spans="13:42" ht="15.75" customHeight="1" x14ac:dyDescent="0.15">
      <c r="Q46" s="34"/>
      <c r="R46" s="34"/>
    </row>
    <row r="47" spans="13:42" ht="15.75" customHeight="1" x14ac:dyDescent="0.15">
      <c r="Q47" s="34"/>
      <c r="R47" s="34"/>
      <c r="V47" s="69"/>
      <c r="AC47" s="69"/>
      <c r="AD47" s="69"/>
    </row>
    <row r="48" spans="13:42" ht="15.75" customHeight="1" x14ac:dyDescent="0.15">
      <c r="Q48" s="34"/>
      <c r="R48" s="34"/>
      <c r="V48" s="69"/>
      <c r="W48" s="46"/>
      <c r="X48" s="46"/>
      <c r="Y48" s="46"/>
      <c r="Z48" s="46"/>
      <c r="AA48" s="46"/>
      <c r="AB48" s="46"/>
      <c r="AC48" s="69"/>
      <c r="AD48" s="69"/>
    </row>
    <row r="49" spans="1:40" ht="15.75" customHeight="1" x14ac:dyDescent="0.15">
      <c r="Q49" s="34"/>
      <c r="R49" s="34"/>
      <c r="V49" s="69"/>
      <c r="W49" s="46"/>
      <c r="X49" s="46"/>
      <c r="Y49" s="46"/>
      <c r="Z49" s="46"/>
      <c r="AA49" s="46"/>
      <c r="AB49" s="46"/>
      <c r="AC49" s="69"/>
      <c r="AD49" s="69"/>
    </row>
    <row r="50" spans="1:40" ht="15.75" customHeight="1" x14ac:dyDescent="0.15">
      <c r="M50" s="70"/>
      <c r="Q50" s="34"/>
      <c r="R50" s="34"/>
      <c r="W50" s="46"/>
      <c r="X50" s="46"/>
      <c r="Y50" s="46"/>
      <c r="Z50" s="46"/>
      <c r="AA50" s="46"/>
      <c r="AB50" s="46"/>
    </row>
    <row r="51" spans="1:40" ht="15.75" customHeight="1" x14ac:dyDescent="0.15">
      <c r="Q51" s="34"/>
      <c r="R51" s="34"/>
      <c r="W51" s="25"/>
      <c r="X51" s="25"/>
      <c r="Y51" s="25"/>
      <c r="Z51" s="25"/>
      <c r="AA51" s="25"/>
      <c r="AB51" s="71"/>
    </row>
    <row r="52" spans="1:40" ht="15.75" customHeight="1" x14ac:dyDescent="0.15">
      <c r="Q52" s="34"/>
      <c r="R52" s="34"/>
      <c r="T52" s="69"/>
      <c r="U52" s="69"/>
      <c r="W52" s="25"/>
      <c r="X52" s="25"/>
      <c r="Y52" s="25"/>
      <c r="Z52" s="25"/>
      <c r="AA52" s="25"/>
      <c r="AB52" s="71"/>
    </row>
    <row r="53" spans="1:40" ht="15.75" customHeight="1" x14ac:dyDescent="0.15">
      <c r="Q53" s="34"/>
      <c r="R53" s="34"/>
      <c r="W53" s="25"/>
      <c r="X53" s="25"/>
      <c r="Y53" s="25"/>
      <c r="Z53" s="25"/>
      <c r="AA53" s="25"/>
      <c r="AB53" s="71"/>
    </row>
    <row r="54" spans="1:40" ht="15.75" customHeight="1" x14ac:dyDescent="0.15">
      <c r="Q54" s="34"/>
      <c r="R54" s="34"/>
      <c r="AD54" s="46"/>
      <c r="AE54" s="46"/>
      <c r="AF54" s="46"/>
      <c r="AG54" s="46"/>
      <c r="AH54" s="46"/>
      <c r="AI54" s="46"/>
      <c r="AJ54" s="46"/>
      <c r="AK54" s="46"/>
      <c r="AL54" s="46"/>
      <c r="AM54" s="107"/>
      <c r="AN54" s="107"/>
    </row>
    <row r="55" spans="1:40" ht="15.75" customHeight="1" x14ac:dyDescent="0.15">
      <c r="Q55" s="34"/>
      <c r="R55" s="34"/>
      <c r="AD55" s="46"/>
      <c r="AE55" s="46"/>
      <c r="AF55" s="46"/>
      <c r="AG55" s="46"/>
      <c r="AH55" s="46"/>
      <c r="AI55" s="46"/>
      <c r="AJ55" s="72"/>
      <c r="AK55" s="46"/>
      <c r="AL55" s="46"/>
      <c r="AM55" s="73"/>
      <c r="AN55" s="73"/>
    </row>
    <row r="56" spans="1:40" ht="15.75" customHeight="1" x14ac:dyDescent="0.15">
      <c r="Q56" s="34"/>
      <c r="R56" s="34"/>
      <c r="AD56" s="46"/>
      <c r="AE56" s="46"/>
      <c r="AF56" s="46"/>
      <c r="AG56" s="46"/>
      <c r="AH56" s="46"/>
      <c r="AI56" s="46"/>
      <c r="AJ56" s="46"/>
      <c r="AK56" s="38"/>
      <c r="AL56" s="46"/>
      <c r="AM56" s="73"/>
      <c r="AN56" s="73"/>
    </row>
    <row r="57" spans="1:40" ht="15.75" customHeight="1" x14ac:dyDescent="0.15">
      <c r="Q57" s="34"/>
      <c r="R57" s="34"/>
      <c r="AD57" s="24"/>
      <c r="AE57" s="25"/>
      <c r="AF57" s="25"/>
      <c r="AG57" s="25"/>
      <c r="AH57" s="71"/>
      <c r="AI57" s="71"/>
      <c r="AJ57" s="63"/>
      <c r="AK57" s="74"/>
      <c r="AL57" s="62"/>
      <c r="AM57" s="73"/>
      <c r="AN57" s="61"/>
    </row>
    <row r="58" spans="1:40" ht="15.75" customHeight="1" x14ac:dyDescent="0.15">
      <c r="Q58" s="34"/>
      <c r="R58" s="34"/>
      <c r="AD58" s="24"/>
      <c r="AE58" s="25"/>
      <c r="AF58" s="25"/>
      <c r="AG58" s="25"/>
      <c r="AH58" s="71"/>
      <c r="AI58" s="71"/>
      <c r="AJ58" s="63"/>
      <c r="AK58" s="74"/>
      <c r="AL58" s="62"/>
      <c r="AM58" s="73"/>
      <c r="AN58" s="61"/>
    </row>
    <row r="59" spans="1:40" ht="15.75" customHeight="1" x14ac:dyDescent="0.15">
      <c r="A59" s="75"/>
      <c r="Q59" s="34"/>
      <c r="R59" s="34"/>
      <c r="AD59" s="24"/>
      <c r="AE59" s="25"/>
      <c r="AF59" s="25"/>
      <c r="AG59" s="25"/>
      <c r="AH59" s="71"/>
      <c r="AI59" s="71"/>
      <c r="AJ59" s="63"/>
      <c r="AK59" s="74"/>
      <c r="AL59" s="62"/>
      <c r="AM59" s="73"/>
      <c r="AN59" s="61"/>
    </row>
    <row r="60" spans="1:40" ht="15.75" customHeight="1" x14ac:dyDescent="0.2">
      <c r="A60" s="32" t="s">
        <v>68</v>
      </c>
      <c r="Q60" s="34"/>
      <c r="R60" s="34"/>
    </row>
    <row r="61" spans="1:40" ht="15.75" customHeight="1" x14ac:dyDescent="0.2">
      <c r="A61" s="32" t="s">
        <v>69</v>
      </c>
      <c r="Q61" s="34"/>
      <c r="R61" s="34"/>
    </row>
    <row r="62" spans="1:40" ht="15.75" customHeight="1" x14ac:dyDescent="0.2">
      <c r="A62" s="32" t="s">
        <v>70</v>
      </c>
      <c r="Q62" s="34"/>
      <c r="R62" s="34"/>
    </row>
    <row r="63" spans="1:40" ht="15.75" customHeight="1" x14ac:dyDescent="0.2">
      <c r="A63" s="32" t="s">
        <v>71</v>
      </c>
      <c r="Q63" s="34"/>
      <c r="R63" s="34"/>
    </row>
    <row r="64" spans="1:40" ht="15.75" customHeight="1" x14ac:dyDescent="0.2">
      <c r="A64" s="32" t="s">
        <v>72</v>
      </c>
      <c r="N64" s="38"/>
      <c r="O64" s="38"/>
      <c r="P64" s="38"/>
      <c r="Q64" s="38"/>
      <c r="R64" s="38"/>
      <c r="S64" s="38"/>
      <c r="T64" s="38"/>
      <c r="U64" s="38"/>
    </row>
    <row r="65" spans="1:21" ht="15.75" customHeight="1" x14ac:dyDescent="0.2">
      <c r="A65" s="33" t="s">
        <v>73</v>
      </c>
      <c r="S65" s="76"/>
      <c r="T65" s="76"/>
      <c r="U65" s="76"/>
    </row>
    <row r="66" spans="1:21" ht="15.75" customHeight="1" x14ac:dyDescent="0.2">
      <c r="A66" s="33"/>
      <c r="Q66" s="34"/>
      <c r="S66" s="76"/>
      <c r="T66" s="76"/>
      <c r="U66" s="76"/>
    </row>
    <row r="67" spans="1:21" ht="15.75" customHeight="1" x14ac:dyDescent="0.15">
      <c r="A67" s="75"/>
      <c r="S67" s="76"/>
      <c r="T67" s="76"/>
      <c r="U67" s="76"/>
    </row>
    <row r="68" spans="1:21" ht="15.75" customHeight="1" x14ac:dyDescent="0.15">
      <c r="S68" s="76"/>
      <c r="T68" s="76"/>
      <c r="U68" s="76"/>
    </row>
    <row r="69" spans="1:21" ht="15.75" customHeight="1" x14ac:dyDescent="0.15">
      <c r="O69" s="76"/>
      <c r="P69" s="76"/>
    </row>
    <row r="70" spans="1:21" ht="15.75" customHeight="1" x14ac:dyDescent="0.15"/>
    <row r="71" spans="1:21" ht="15.75" customHeight="1" x14ac:dyDescent="0.15"/>
    <row r="72" spans="1:21" ht="15.75" customHeight="1" x14ac:dyDescent="0.15"/>
    <row r="73" spans="1:21" ht="15.75" customHeight="1" x14ac:dyDescent="0.15"/>
    <row r="74" spans="1:21" ht="15.75" customHeight="1" x14ac:dyDescent="0.15"/>
    <row r="75" spans="1:21" ht="15.75" customHeight="1" x14ac:dyDescent="0.15"/>
    <row r="76" spans="1:21" ht="15.75" customHeight="1" x14ac:dyDescent="0.15"/>
    <row r="77" spans="1:21" ht="15.75" customHeight="1" x14ac:dyDescent="0.15"/>
    <row r="78" spans="1:21" ht="15.75" customHeight="1" x14ac:dyDescent="0.15"/>
    <row r="99" s="34" customFormat="1" x14ac:dyDescent="0.15"/>
    <row r="100" s="34" customFormat="1" x14ac:dyDescent="0.15"/>
    <row r="101" s="34" customFormat="1" x14ac:dyDescent="0.15"/>
    <row r="102" s="34" customFormat="1" x14ac:dyDescent="0.15"/>
  </sheetData>
  <mergeCells count="16">
    <mergeCell ref="AM54:AN54"/>
    <mergeCell ref="M38:P38"/>
    <mergeCell ref="M26:O26"/>
    <mergeCell ref="M27:O27"/>
    <mergeCell ref="M37:P37"/>
    <mergeCell ref="W2:AJ2"/>
    <mergeCell ref="M36:P36"/>
    <mergeCell ref="M33:P33"/>
    <mergeCell ref="M34:P34"/>
    <mergeCell ref="M32:P32"/>
    <mergeCell ref="M29:P29"/>
    <mergeCell ref="X4:AI4"/>
    <mergeCell ref="AE6:AM6"/>
    <mergeCell ref="M30:P30"/>
    <mergeCell ref="M31:P31"/>
    <mergeCell ref="M35:P35"/>
  </mergeCells>
  <conditionalFormatting sqref="B5">
    <cfRule type="cellIs" dxfId="2" priority="3" operator="greaterThan">
      <formula>0</formula>
    </cfRule>
  </conditionalFormatting>
  <conditionalFormatting sqref="B6:B12">
    <cfRule type="cellIs" dxfId="1" priority="2" operator="greaterThan">
      <formula>0</formula>
    </cfRule>
  </conditionalFormatting>
  <conditionalFormatting sqref="A18:C20">
    <cfRule type="cellIs" dxfId="0" priority="1" operator="greaterThan">
      <formula>0</formula>
    </cfRule>
  </conditionalFormatting>
  <dataValidations count="1">
    <dataValidation type="list" allowBlank="1" showInputMessage="1" showErrorMessage="1" sqref="K18:K20">
      <formula1>$A$60:$A$65</formula1>
    </dataValidation>
  </dataValidations>
  <pageMargins left="0.78740157480314965" right="0.75" top="1.3779527559055118" bottom="1" header="0" footer="0"/>
  <pageSetup paperSize="9" orientation="portrait" horizontalDpi="300" verticalDpi="300" r:id="rId1"/>
  <headerFooter alignWithMargins="0"/>
  <ignoredErrors>
    <ignoredError sqref="W2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Ingreso Datos</vt:lpstr>
      <vt:lpstr>8</vt:lpstr>
      <vt:lpstr>'8'!Área_de_impresión</vt:lpstr>
    </vt:vector>
  </TitlesOfParts>
  <Company>Universidad De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POBLETE OLAVE</dc:creator>
  <cp:lastModifiedBy>Francisco Gonzalez</cp:lastModifiedBy>
  <cp:lastPrinted>2009-11-19T16:40:44Z</cp:lastPrinted>
  <dcterms:created xsi:type="dcterms:W3CDTF">1999-10-13T14:07:43Z</dcterms:created>
  <dcterms:modified xsi:type="dcterms:W3CDTF">2024-06-28T21:11:47Z</dcterms:modified>
</cp:coreProperties>
</file>