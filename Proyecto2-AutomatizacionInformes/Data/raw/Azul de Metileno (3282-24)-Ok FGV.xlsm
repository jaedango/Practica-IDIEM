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BH-LPE5-A-LP-S3-A-0+078-L (3282)\04 ENSAYOS\"/>
    </mc:Choice>
  </mc:AlternateContent>
  <bookViews>
    <workbookView xWindow="-120" yWindow="-120" windowWidth="20730" windowHeight="11160" tabRatio="858" activeTab="1"/>
  </bookViews>
  <sheets>
    <sheet name="Ingreso Datos" sheetId="206" r:id="rId1"/>
    <sheet name="24" sheetId="209" r:id="rId2"/>
  </sheets>
  <externalReferences>
    <externalReference r:id="rId3"/>
  </externalReferences>
  <definedNames>
    <definedName name="__123Graph_A" localSheetId="1" hidden="1">'[1]Ensaye Carga Puntual'!#REF!</definedName>
    <definedName name="__123Graph_A" hidden="1">'[1]Ensaye Carga Puntual'!#REF!</definedName>
    <definedName name="__123Graph_C" localSheetId="1" hidden="1">'[1]Ensaye Carga Puntual'!#REF!</definedName>
    <definedName name="__123Graph_C" hidden="1">'[1]Ensaye Carga Puntual'!#REF!</definedName>
    <definedName name="__123Graph_D" localSheetId="1" hidden="1">'[1]Ensaye Carga Puntual'!#REF!</definedName>
    <definedName name="__123Graph_D" hidden="1">'[1]Ensaye Carga Puntual'!#REF!</definedName>
    <definedName name="__123Graph_X" localSheetId="1" hidden="1">'[1]Ensaye Carga Puntual'!#REF!</definedName>
    <definedName name="__123Graph_X" hidden="1">'[1]Ensaye Carga Puntual'!#REF!</definedName>
    <definedName name="_Key1" hidden="1">'[1]Ensaye Carga Puntual'!$A$8:$A$14</definedName>
    <definedName name="_Order1" hidden="1">0</definedName>
    <definedName name="_Regression_Out" localSheetId="1" hidden="1">'[1]Ensaye Carga Puntual'!#REF!</definedName>
    <definedName name="_Regression_Out" hidden="1">'[1]Ensaye Carga Puntual'!#REF!</definedName>
    <definedName name="_Regression_X" localSheetId="1" hidden="1">'[1]Ensaye Carga Puntual'!#REF!</definedName>
    <definedName name="_Regression_X" hidden="1">'[1]Ensaye Carga Puntual'!#REF!</definedName>
    <definedName name="_Regression_Y" localSheetId="1" hidden="1">'[1]Ensaye Carga Puntual'!#REF!</definedName>
    <definedName name="_Regression_Y" hidden="1">'[1]Ensaye Carga Puntual'!#REF!</definedName>
    <definedName name="_Sort" localSheetId="1" hidden="1">'[1]Ensaye Carga Puntual'!#REF!</definedName>
    <definedName name="_Sort" hidden="1">'[1]Ensaye Carga Puntual'!#REF!</definedName>
    <definedName name="_xlnm.Print_Area" localSheetId="1">'24'!$H$1:$M$51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" i="209" l="1"/>
  <c r="F18" i="209"/>
  <c r="K21" i="209" s="1"/>
  <c r="K22" i="209" s="1"/>
  <c r="L17" i="209"/>
  <c r="K17" i="209"/>
  <c r="I17" i="209"/>
  <c r="H17" i="209"/>
  <c r="L16" i="209"/>
  <c r="K16" i="209"/>
  <c r="I16" i="209"/>
  <c r="H16" i="209"/>
  <c r="L15" i="209"/>
  <c r="K15" i="209"/>
  <c r="I15" i="209"/>
  <c r="H15" i="209"/>
  <c r="L14" i="209"/>
  <c r="K14" i="209"/>
  <c r="I14" i="209"/>
  <c r="H14" i="209"/>
  <c r="I10" i="209"/>
  <c r="I7" i="209"/>
  <c r="I6" i="209"/>
  <c r="AH5" i="209"/>
  <c r="I5" i="209"/>
  <c r="B5" i="209"/>
  <c r="AH4" i="209" s="1"/>
  <c r="I4" i="209"/>
  <c r="O2" i="209"/>
  <c r="I3" i="209" l="1"/>
</calcChain>
</file>

<file path=xl/sharedStrings.xml><?xml version="1.0" encoding="utf-8"?>
<sst xmlns="http://schemas.openxmlformats.org/spreadsheetml/2006/main" count="53" uniqueCount="45">
  <si>
    <t>Proyecto</t>
  </si>
  <si>
    <t>Muestra</t>
  </si>
  <si>
    <t>Orden de Trabajo</t>
  </si>
  <si>
    <t>Fecha de Inicio</t>
  </si>
  <si>
    <t>Fecha de Término</t>
  </si>
  <si>
    <t>Referencias</t>
  </si>
  <si>
    <t>Observaciones</t>
  </si>
  <si>
    <t>DATOS ENSAYO</t>
  </si>
  <si>
    <t>Nº INFORME</t>
  </si>
  <si>
    <t>CANTIDAD DE HOJAS (01 HASTA 30)</t>
  </si>
  <si>
    <t>Hoja Nº</t>
  </si>
  <si>
    <t>Nombre Hoja</t>
  </si>
  <si>
    <t>PROYECTO</t>
  </si>
  <si>
    <t>MUESTRA</t>
  </si>
  <si>
    <t>Resultados:</t>
  </si>
  <si>
    <t>DESCRIPCIÓN MUESTRA</t>
  </si>
  <si>
    <t>FECHA termino</t>
  </si>
  <si>
    <t>FECHA inicio</t>
  </si>
  <si>
    <t>CAMBIAR SOLO LOS VALORES EN VERDE Y AGREGAR FOTOGRAFÍAS (50% VGA)</t>
  </si>
  <si>
    <t>-</t>
  </si>
  <si>
    <t>Peso polvo</t>
  </si>
  <si>
    <t>Azul de Metileno</t>
  </si>
  <si>
    <t>Volumen agua</t>
  </si>
  <si>
    <t>destilada</t>
  </si>
  <si>
    <t>[ml]</t>
  </si>
  <si>
    <t>roca</t>
  </si>
  <si>
    <t>Total adicionado</t>
  </si>
  <si>
    <t>[cm]</t>
  </si>
  <si>
    <t>Solución Azul de Metileno</t>
  </si>
  <si>
    <t>Solución polvo de roca</t>
  </si>
  <si>
    <t>Concentración</t>
  </si>
  <si>
    <t>Solución MB</t>
  </si>
  <si>
    <t>(K)</t>
  </si>
  <si>
    <t>Total solución Azul de Metileno adicionada [ml]</t>
  </si>
  <si>
    <t>[g]</t>
  </si>
  <si>
    <t>Total Azul de Metileno adicionado [g]</t>
  </si>
  <si>
    <t>Valor de Azul de Metileno (MBV) [g/100g]</t>
  </si>
  <si>
    <t>1. Determinación de la capacidad de adsorción de azul de metileno basada en French Norme Francaise (ANFOR, 1993) NF P 94-068.</t>
  </si>
  <si>
    <t>a. Muestras ensayadas en polvo de roca bajo tamiz #200.</t>
  </si>
  <si>
    <t>FOTOGRAFÍA</t>
  </si>
  <si>
    <t>Nº Informe</t>
  </si>
  <si>
    <t>INFORME DETERMINACIÓN DE CAPACIDAD DE ADSORCIÓN MEDIANTE AZUL DE METILENO</t>
  </si>
  <si>
    <t>BH-LPE5-A-LP-S3-A-0+078-L</t>
  </si>
  <si>
    <t>BH-LPE5-A-LP-S3-A-0+078-L (14,92-15,10)</t>
  </si>
  <si>
    <t>1.914.635-E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</si>
</sst>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_)"/>
    <numFmt numFmtId="165" formatCode="0.000"/>
    <numFmt numFmtId="166" formatCode="0_)"/>
    <numFmt numFmtId="167" formatCode="0.0_)"/>
    <numFmt numFmtId="168" formatCode="0.000_)"/>
    <numFmt numFmtId="169" formatCode="0.0"/>
    <numFmt numFmtId="171" formatCode="dd/mm/yyyy;@"/>
  </numFmts>
  <fonts count="14" x14ac:knownFonts="1">
    <font>
      <sz val="10"/>
      <name val="Courier"/>
    </font>
    <font>
      <b/>
      <sz val="9"/>
      <name val="Arial"/>
      <family val="2"/>
    </font>
    <font>
      <sz val="9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Courier"/>
    </font>
    <font>
      <sz val="9"/>
      <name val="Open Sans Regular"/>
    </font>
    <font>
      <b/>
      <u/>
      <sz val="9"/>
      <name val="Open Sans Regular"/>
    </font>
    <font>
      <b/>
      <sz val="9"/>
      <name val="Open Sans Regular"/>
    </font>
    <font>
      <b/>
      <sz val="9"/>
      <color indexed="10"/>
      <name val="Open Sans Regular"/>
    </font>
    <font>
      <sz val="9"/>
      <color indexed="10"/>
      <name val="Open Sans Regular"/>
    </font>
    <font>
      <sz val="9"/>
      <color indexed="8"/>
      <name val="Open Sans Regular"/>
    </font>
    <font>
      <sz val="9"/>
      <color indexed="48"/>
      <name val="Open Sans Regular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7">
    <xf numFmtId="0" fontId="0" fillId="0" borderId="0" xfId="0"/>
    <xf numFmtId="0" fontId="2" fillId="0" borderId="10" xfId="0" applyFont="1" applyFill="1" applyBorder="1" applyAlignment="1" applyProtection="1">
      <alignment horizontal="left" vertical="center"/>
    </xf>
    <xf numFmtId="0" fontId="3" fillId="2" borderId="3" xfId="0" applyNumberFormat="1" applyFont="1" applyFill="1" applyBorder="1" applyAlignment="1" applyProtection="1">
      <alignment vertical="center"/>
    </xf>
    <xf numFmtId="0" fontId="3" fillId="2" borderId="1" xfId="0" applyNumberFormat="1" applyFont="1" applyFill="1" applyBorder="1" applyAlignment="1" applyProtection="1">
      <alignment vertical="center"/>
    </xf>
    <xf numFmtId="0" fontId="3" fillId="2" borderId="2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vertical="center"/>
    </xf>
    <xf numFmtId="0" fontId="2" fillId="0" borderId="3" xfId="0" applyFont="1" applyFill="1" applyBorder="1" applyAlignment="1" applyProtection="1">
      <alignment horizontal="left" vertical="center"/>
    </xf>
    <xf numFmtId="0" fontId="2" fillId="0" borderId="5" xfId="0" applyFont="1" applyFill="1" applyBorder="1" applyAlignment="1" applyProtection="1">
      <alignment horizontal="left" vertical="center"/>
    </xf>
    <xf numFmtId="0" fontId="5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/>
    </xf>
    <xf numFmtId="0" fontId="7" fillId="4" borderId="0" xfId="0" applyFont="1" applyFill="1" applyAlignment="1" applyProtection="1">
      <alignment vertical="center"/>
      <protection locked="0"/>
    </xf>
    <xf numFmtId="0" fontId="8" fillId="4" borderId="0" xfId="0" applyFont="1" applyFill="1" applyAlignment="1" applyProtection="1">
      <alignment horizontal="left" vertical="center"/>
    </xf>
    <xf numFmtId="0" fontId="9" fillId="4" borderId="0" xfId="0" applyFont="1" applyFill="1" applyAlignment="1" applyProtection="1">
      <alignment vertical="center"/>
    </xf>
    <xf numFmtId="0" fontId="7" fillId="4" borderId="0" xfId="0" applyFont="1" applyFill="1" applyAlignment="1" applyProtection="1">
      <alignment vertical="center"/>
    </xf>
    <xf numFmtId="0" fontId="10" fillId="4" borderId="5" xfId="0" applyFont="1" applyFill="1" applyBorder="1" applyAlignment="1" applyProtection="1">
      <alignment vertical="center"/>
      <protection locked="0"/>
    </xf>
    <xf numFmtId="0" fontId="7" fillId="4" borderId="1" xfId="0" applyFont="1" applyFill="1" applyBorder="1" applyAlignment="1" applyProtection="1">
      <alignment vertical="center"/>
      <protection locked="0"/>
    </xf>
    <xf numFmtId="0" fontId="7" fillId="4" borderId="2" xfId="0" applyFont="1" applyFill="1" applyBorder="1" applyAlignment="1" applyProtection="1">
      <alignment vertical="center"/>
      <protection locked="0"/>
    </xf>
    <xf numFmtId="0" fontId="7" fillId="4" borderId="0" xfId="0" applyFont="1" applyFill="1" applyBorder="1" applyAlignment="1" applyProtection="1">
      <alignment vertical="center"/>
      <protection locked="0"/>
    </xf>
    <xf numFmtId="0" fontId="9" fillId="4" borderId="10" xfId="0" applyFont="1" applyFill="1" applyBorder="1" applyAlignment="1" applyProtection="1">
      <alignment horizontal="left" vertical="center"/>
    </xf>
    <xf numFmtId="0" fontId="7" fillId="4" borderId="3" xfId="0" applyFont="1" applyFill="1" applyBorder="1" applyAlignment="1" applyProtection="1">
      <alignment horizontal="left" vertical="center" indent="1"/>
    </xf>
    <xf numFmtId="0" fontId="7" fillId="4" borderId="1" xfId="0" applyFont="1" applyFill="1" applyBorder="1" applyAlignment="1" applyProtection="1">
      <alignment vertical="center"/>
    </xf>
    <xf numFmtId="0" fontId="7" fillId="4" borderId="2" xfId="0" applyFont="1" applyFill="1" applyBorder="1" applyAlignment="1" applyProtection="1">
      <alignment vertical="center"/>
    </xf>
    <xf numFmtId="0" fontId="9" fillId="4" borderId="0" xfId="0" applyFont="1" applyFill="1" applyAlignment="1" applyProtection="1">
      <alignment horizontal="left" vertical="center"/>
      <protection locked="0"/>
    </xf>
    <xf numFmtId="0" fontId="10" fillId="3" borderId="5" xfId="0" applyFont="1" applyFill="1" applyBorder="1" applyAlignment="1" applyProtection="1">
      <alignment horizontal="left" vertical="center"/>
      <protection locked="0"/>
    </xf>
    <xf numFmtId="0" fontId="9" fillId="4" borderId="3" xfId="0" applyFont="1" applyFill="1" applyBorder="1" applyAlignment="1" applyProtection="1">
      <alignment horizontal="left" vertical="center"/>
    </xf>
    <xf numFmtId="0" fontId="7" fillId="4" borderId="0" xfId="0" applyFont="1" applyFill="1" applyAlignment="1" applyProtection="1">
      <alignment horizontal="left" vertical="center"/>
      <protection locked="0"/>
    </xf>
    <xf numFmtId="16" fontId="10" fillId="3" borderId="5" xfId="0" applyNumberFormat="1" applyFont="1" applyFill="1" applyBorder="1" applyAlignment="1" applyProtection="1">
      <alignment horizontal="left" vertical="center"/>
      <protection locked="0"/>
    </xf>
    <xf numFmtId="3" fontId="7" fillId="4" borderId="0" xfId="0" applyNumberFormat="1" applyFont="1" applyFill="1" applyAlignment="1" applyProtection="1">
      <alignment vertical="center"/>
      <protection locked="0"/>
    </xf>
    <xf numFmtId="0" fontId="9" fillId="4" borderId="3" xfId="0" applyFont="1" applyFill="1" applyBorder="1" applyAlignment="1" applyProtection="1">
      <alignment vertical="center"/>
    </xf>
    <xf numFmtId="0" fontId="9" fillId="4" borderId="6" xfId="0" applyFont="1" applyFill="1" applyBorder="1" applyAlignment="1" applyProtection="1">
      <alignment vertical="center"/>
    </xf>
    <xf numFmtId="0" fontId="7" fillId="4" borderId="0" xfId="0" applyFont="1" applyFill="1" applyBorder="1" applyAlignment="1" applyProtection="1">
      <alignment horizontal="left" vertical="center"/>
    </xf>
    <xf numFmtId="0" fontId="7" fillId="4" borderId="0" xfId="0" applyFont="1" applyFill="1" applyBorder="1" applyAlignment="1" applyProtection="1">
      <alignment vertical="center"/>
    </xf>
    <xf numFmtId="0" fontId="7" fillId="4" borderId="0" xfId="0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horizontal="center" vertical="center"/>
      <protection locked="0"/>
    </xf>
    <xf numFmtId="164" fontId="7" fillId="4" borderId="0" xfId="0" applyNumberFormat="1" applyFont="1" applyFill="1" applyBorder="1" applyAlignment="1" applyProtection="1">
      <alignment horizontal="left" vertical="center"/>
    </xf>
    <xf numFmtId="0" fontId="7" fillId="4" borderId="4" xfId="0" applyFont="1" applyFill="1" applyBorder="1" applyAlignment="1" applyProtection="1">
      <alignment horizontal="center" vertical="center"/>
      <protection locked="0"/>
    </xf>
    <xf numFmtId="0" fontId="7" fillId="4" borderId="4" xfId="0" applyFont="1" applyFill="1" applyBorder="1" applyAlignment="1" applyProtection="1">
      <alignment vertical="center"/>
      <protection locked="0"/>
    </xf>
    <xf numFmtId="2" fontId="10" fillId="3" borderId="5" xfId="0" applyNumberFormat="1" applyFont="1" applyFill="1" applyBorder="1" applyAlignment="1" applyProtection="1">
      <alignment horizontal="center" vertical="center"/>
      <protection locked="0"/>
    </xf>
    <xf numFmtId="9" fontId="10" fillId="3" borderId="5" xfId="1" applyFont="1" applyFill="1" applyBorder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9" fillId="4" borderId="0" xfId="0" applyFont="1" applyFill="1" applyAlignment="1" applyProtection="1">
      <alignment vertical="center"/>
      <protection locked="0"/>
    </xf>
    <xf numFmtId="2" fontId="7" fillId="4" borderId="0" xfId="0" applyNumberFormat="1" applyFont="1" applyFill="1" applyBorder="1" applyAlignment="1" applyProtection="1">
      <alignment horizontal="center" vertical="center"/>
      <protection locked="0"/>
    </xf>
    <xf numFmtId="1" fontId="11" fillId="4" borderId="0" xfId="0" applyNumberFormat="1" applyFont="1" applyFill="1" applyBorder="1" applyAlignment="1" applyProtection="1">
      <alignment horizontal="center" vertical="center"/>
      <protection locked="0"/>
    </xf>
    <xf numFmtId="2" fontId="12" fillId="4" borderId="0" xfId="0" applyNumberFormat="1" applyFont="1" applyFill="1" applyBorder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vertical="center"/>
    </xf>
    <xf numFmtId="169" fontId="7" fillId="4" borderId="5" xfId="0" applyNumberFormat="1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  <protection locked="0"/>
    </xf>
    <xf numFmtId="2" fontId="7" fillId="4" borderId="5" xfId="0" applyNumberFormat="1" applyFont="1" applyFill="1" applyBorder="1" applyAlignment="1" applyProtection="1">
      <alignment horizontal="center" vertical="center"/>
    </xf>
    <xf numFmtId="167" fontId="11" fillId="4" borderId="0" xfId="0" applyNumberFormat="1" applyFont="1" applyFill="1" applyBorder="1" applyAlignment="1" applyProtection="1">
      <alignment horizontal="center" vertical="center"/>
      <protection locked="0"/>
    </xf>
    <xf numFmtId="166" fontId="11" fillId="4" borderId="0" xfId="0" applyNumberFormat="1" applyFont="1" applyFill="1" applyBorder="1" applyAlignment="1" applyProtection="1">
      <alignment horizontal="center" vertical="center"/>
      <protection locked="0"/>
    </xf>
    <xf numFmtId="164" fontId="13" fillId="4" borderId="0" xfId="0" applyNumberFormat="1" applyFont="1" applyFill="1" applyBorder="1" applyAlignment="1" applyProtection="1">
      <alignment horizontal="center" vertical="center"/>
      <protection locked="0"/>
    </xf>
    <xf numFmtId="169" fontId="7" fillId="4" borderId="0" xfId="0" applyNumberFormat="1" applyFont="1" applyFill="1" applyBorder="1" applyAlignment="1" applyProtection="1">
      <alignment vertical="center"/>
      <protection locked="0"/>
    </xf>
    <xf numFmtId="2" fontId="11" fillId="4" borderId="0" xfId="0" applyNumberFormat="1" applyFont="1" applyFill="1" applyBorder="1" applyAlignment="1" applyProtection="1">
      <alignment horizontal="center" vertical="center"/>
      <protection locked="0"/>
    </xf>
    <xf numFmtId="164" fontId="11" fillId="4" borderId="0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Border="1" applyAlignment="1" applyProtection="1">
      <alignment horizontal="center" vertical="center"/>
      <protection locked="0"/>
    </xf>
    <xf numFmtId="168" fontId="11" fillId="4" borderId="0" xfId="0" applyNumberFormat="1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 applyProtection="1">
      <alignment vertical="center"/>
      <protection locked="0"/>
    </xf>
    <xf numFmtId="2" fontId="7" fillId="4" borderId="0" xfId="0" applyNumberFormat="1" applyFont="1" applyFill="1" applyAlignment="1" applyProtection="1">
      <alignment vertical="center"/>
      <protection locked="0"/>
    </xf>
    <xf numFmtId="166" fontId="7" fillId="4" borderId="0" xfId="0" applyNumberFormat="1" applyFont="1" applyFill="1" applyBorder="1" applyAlignment="1" applyProtection="1">
      <alignment horizontal="center" vertical="center"/>
      <protection locked="0"/>
    </xf>
    <xf numFmtId="164" fontId="7" fillId="4" borderId="0" xfId="0" applyNumberFormat="1" applyFont="1" applyFill="1" applyAlignment="1" applyProtection="1">
      <alignment vertical="center"/>
      <protection locked="0"/>
    </xf>
    <xf numFmtId="0" fontId="7" fillId="4" borderId="0" xfId="0" quotePrefix="1" applyFont="1" applyFill="1" applyBorder="1" applyAlignment="1" applyProtection="1">
      <alignment horizontal="center" vertical="center"/>
      <protection locked="0"/>
    </xf>
    <xf numFmtId="164" fontId="7" fillId="4" borderId="0" xfId="0" applyNumberFormat="1" applyFont="1" applyFill="1" applyBorder="1" applyAlignment="1" applyProtection="1">
      <alignment horizontal="center" vertical="center"/>
      <protection locked="0"/>
    </xf>
    <xf numFmtId="165" fontId="7" fillId="4" borderId="0" xfId="0" applyNumberFormat="1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Border="1" applyAlignment="1" applyProtection="1">
      <alignment vertical="center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/>
    </xf>
    <xf numFmtId="0" fontId="7" fillId="4" borderId="8" xfId="0" applyFont="1" applyFill="1" applyBorder="1" applyAlignment="1" applyProtection="1">
      <alignment horizontal="center" vertical="center"/>
    </xf>
    <xf numFmtId="0" fontId="7" fillId="4" borderId="7" xfId="0" applyFont="1" applyFill="1" applyBorder="1" applyAlignment="1" applyProtection="1">
      <alignment horizontal="center" vertical="center"/>
    </xf>
    <xf numFmtId="0" fontId="7" fillId="4" borderId="11" xfId="0" applyFont="1" applyFill="1" applyBorder="1" applyAlignment="1" applyProtection="1">
      <alignment horizontal="center" vertical="center"/>
    </xf>
    <xf numFmtId="0" fontId="7" fillId="4" borderId="9" xfId="0" applyFont="1" applyFill="1" applyBorder="1" applyAlignment="1" applyProtection="1">
      <alignment horizontal="center" vertical="center"/>
      <protection locked="0"/>
    </xf>
    <xf numFmtId="169" fontId="7" fillId="4" borderId="3" xfId="0" applyNumberFormat="1" applyFont="1" applyFill="1" applyBorder="1" applyAlignment="1" applyProtection="1">
      <alignment horizontal="center" vertical="center"/>
    </xf>
    <xf numFmtId="164" fontId="7" fillId="4" borderId="3" xfId="0" applyNumberFormat="1" applyFont="1" applyFill="1" applyBorder="1" applyAlignment="1" applyProtection="1">
      <alignment horizontal="left" vertical="center" indent="1"/>
    </xf>
    <xf numFmtId="0" fontId="13" fillId="4" borderId="0" xfId="0" applyFont="1" applyFill="1" applyBorder="1" applyAlignment="1" applyProtection="1">
      <alignment horizontal="center" vertical="center"/>
      <protection locked="0"/>
    </xf>
    <xf numFmtId="1" fontId="4" fillId="2" borderId="5" xfId="0" applyNumberFormat="1" applyFont="1" applyFill="1" applyBorder="1" applyAlignment="1">
      <alignment horizontal="center" vertical="center" wrapText="1"/>
    </xf>
    <xf numFmtId="0" fontId="1" fillId="0" borderId="5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7" fillId="4" borderId="3" xfId="0" applyFont="1" applyFill="1" applyBorder="1" applyAlignment="1" applyProtection="1">
      <alignment horizontal="left" vertical="center"/>
    </xf>
    <xf numFmtId="0" fontId="7" fillId="4" borderId="1" xfId="0" applyFont="1" applyFill="1" applyBorder="1" applyAlignment="1" applyProtection="1">
      <alignment horizontal="left" vertical="center"/>
    </xf>
    <xf numFmtId="0" fontId="7" fillId="4" borderId="2" xfId="0" applyFont="1" applyFill="1" applyBorder="1" applyAlignment="1" applyProtection="1">
      <alignment horizontal="left" vertical="center"/>
    </xf>
    <xf numFmtId="0" fontId="13" fillId="4" borderId="0" xfId="0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9" fillId="4" borderId="0" xfId="0" applyFont="1" applyFill="1" applyBorder="1" applyAlignment="1" applyProtection="1">
      <alignment horizontal="left" vertical="center"/>
      <protection locked="0"/>
    </xf>
    <xf numFmtId="0" fontId="7" fillId="4" borderId="3" xfId="0" applyFont="1" applyFill="1" applyBorder="1" applyAlignment="1" applyProtection="1">
      <alignment horizontal="center" vertical="center"/>
    </xf>
    <xf numFmtId="0" fontId="7" fillId="4" borderId="2" xfId="0" applyFont="1" applyFill="1" applyBorder="1" applyAlignment="1" applyProtection="1">
      <alignment horizontal="center" vertical="center"/>
    </xf>
    <xf numFmtId="171" fontId="7" fillId="4" borderId="3" xfId="0" applyNumberFormat="1" applyFont="1" applyFill="1" applyBorder="1" applyAlignment="1" applyProtection="1">
      <alignment horizontal="left" vertical="center" indent="1"/>
    </xf>
  </cellXfs>
  <cellStyles count="2">
    <cellStyle name="Normal" xfId="0" builtinId="0"/>
    <cellStyle name="Porcentaje" xfId="1" builtinId="5"/>
  </cellStyles>
  <dxfs count="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/>
              <a:t>Gráfico Tensión - Deformación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Natural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CA-4C69-916B-50A84EEA3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669088"/>
        <c:axId val="1774663104"/>
      </c:scatterChart>
      <c:valAx>
        <c:axId val="177466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Deformación Unitaria, [%]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74663104"/>
        <c:crosses val="autoZero"/>
        <c:crossBetween val="midCat"/>
      </c:valAx>
      <c:valAx>
        <c:axId val="17746631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Presión Axial,  [kg/cm2]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7466908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3.5433070866141736" l="0.59055118110236227" r="0.59055118110236227" t="2.3622047244094491" header="0" footer="0"/>
    <c:pageSetup orientation="portrait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FF0000"/>
                </a:solidFill>
                <a:prstDash val="sysDash"/>
              </a:ln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s-419"/>
                </a:p>
              </c:txPr>
            </c:trendlineLbl>
          </c:trendline>
          <c:xVal>
            <c:numLit>
              <c:formatCode>General</c:formatCode>
              <c:ptCount val="14"/>
              <c:pt idx="0">
                <c:v>4</c:v>
              </c:pt>
              <c:pt idx="1">
                <c:v>5.5</c:v>
              </c:pt>
              <c:pt idx="2">
                <c:v>4.5</c:v>
              </c:pt>
              <c:pt idx="3">
                <c:v>3.5</c:v>
              </c:pt>
              <c:pt idx="4">
                <c:v>5.4</c:v>
              </c:pt>
              <c:pt idx="5">
                <c:v>4.5999999999999996</c:v>
              </c:pt>
              <c:pt idx="6">
                <c:v>3.5</c:v>
              </c:pt>
              <c:pt idx="7">
                <c:v>2.2999999999999998</c:v>
              </c:pt>
              <c:pt idx="8">
                <c:v>1.9</c:v>
              </c:pt>
              <c:pt idx="9">
                <c:v>1.3</c:v>
              </c:pt>
              <c:pt idx="10">
                <c:v>3</c:v>
              </c:pt>
              <c:pt idx="11">
                <c:v>1.7</c:v>
              </c:pt>
              <c:pt idx="12">
                <c:v>2.8</c:v>
              </c:pt>
              <c:pt idx="13">
                <c:v>3</c:v>
              </c:pt>
            </c:numLit>
          </c:xVal>
          <c:yVal>
            <c:numLit>
              <c:formatCode>General</c:formatCode>
              <c:ptCount val="14"/>
              <c:pt idx="0">
                <c:v>39.671500000000002</c:v>
              </c:pt>
              <c:pt idx="1">
                <c:v>21.460165289256196</c:v>
              </c:pt>
              <c:pt idx="2">
                <c:v>32.057777777777773</c:v>
              </c:pt>
              <c:pt idx="3">
                <c:v>51.815836734693882</c:v>
              </c:pt>
              <c:pt idx="4">
                <c:v>28.693689986282575</c:v>
              </c:pt>
              <c:pt idx="5">
                <c:v>30.67911153119093</c:v>
              </c:pt>
              <c:pt idx="6">
                <c:v>35.328979591836735</c:v>
              </c:pt>
              <c:pt idx="7">
                <c:v>68.175803402646508</c:v>
              </c:pt>
              <c:pt idx="8">
                <c:v>91.910803324099732</c:v>
              </c:pt>
              <c:pt idx="9">
                <c:v>102.43313609467454</c:v>
              </c:pt>
              <c:pt idx="10">
                <c:v>44.88088888888889</c:v>
              </c:pt>
              <c:pt idx="11">
                <c:v>79.867128027681673</c:v>
              </c:pt>
              <c:pt idx="12">
                <c:v>47.841326530612257</c:v>
              </c:pt>
              <c:pt idx="13">
                <c:v>54.498222222222218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215-4E15-8468-C65773C79901}"/>
            </c:ext>
          </c:extLst>
        </c:ser>
        <c:ser>
          <c:idx val="1"/>
          <c:order val="1"/>
          <c:spPr>
            <a:ln w="317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5</c:v>
              </c:pt>
              <c:pt idx="1">
                <c:v>5</c:v>
              </c:pt>
              <c:pt idx="2">
                <c:v>1</c:v>
              </c:pt>
            </c:numLit>
          </c:xVal>
          <c:yVal>
            <c:numLit>
              <c:formatCode>General</c:formatCode>
              <c:ptCount val="3"/>
              <c:pt idx="0">
                <c:v>1</c:v>
              </c:pt>
              <c:pt idx="1">
                <c:v>28.811497220990645</c:v>
              </c:pt>
              <c:pt idx="2">
                <c:v>28.811497220990645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215-4E15-8468-C65773C79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665280"/>
        <c:axId val="1774666912"/>
      </c:scatterChart>
      <c:valAx>
        <c:axId val="1774665280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CL"/>
                  <a:t>Distancia entre Puntas, cm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cross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1774666912"/>
        <c:crosses val="autoZero"/>
        <c:crossBetween val="midCat"/>
      </c:valAx>
      <c:valAx>
        <c:axId val="1774666912"/>
        <c:scaling>
          <c:logBase val="10"/>
          <c:orientation val="minMax"/>
          <c:max val="1000"/>
          <c:min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CL"/>
                  <a:t>Índice de Resistencia, kg/cm²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cross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17746652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7</xdr:row>
      <xdr:rowOff>85725</xdr:rowOff>
    </xdr:from>
    <xdr:to>
      <xdr:col>9</xdr:col>
      <xdr:colOff>304800</xdr:colOff>
      <xdr:row>11</xdr:row>
      <xdr:rowOff>142875</xdr:rowOff>
    </xdr:to>
    <xdr:sp macro="[0]!Módulo1.CrearHojas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315075" y="1219200"/>
          <a:ext cx="1600200" cy="70485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9</xdr:col>
      <xdr:colOff>714375</xdr:colOff>
      <xdr:row>7</xdr:row>
      <xdr:rowOff>80963</xdr:rowOff>
    </xdr:from>
    <xdr:to>
      <xdr:col>11</xdr:col>
      <xdr:colOff>600075</xdr:colOff>
      <xdr:row>11</xdr:row>
      <xdr:rowOff>147638</xdr:rowOff>
    </xdr:to>
    <xdr:sp macro="[0]!Módulo1.CambiaNombre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324850" y="1214438"/>
          <a:ext cx="1562100" cy="7143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600" b="1" i="1"/>
            <a:t>CAMBIAR</a:t>
          </a:r>
          <a:r>
            <a:rPr lang="es-ES" sz="1600" b="1" i="1" baseline="0"/>
            <a:t> NOMBRE HOJAS</a:t>
          </a:r>
          <a:endParaRPr lang="es-ES" sz="16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152400</xdr:colOff>
      <xdr:row>47</xdr:row>
      <xdr:rowOff>0</xdr:rowOff>
    </xdr:from>
    <xdr:to>
      <xdr:col>13</xdr:col>
      <xdr:colOff>0</xdr:colOff>
      <xdr:row>47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0</xdr:col>
      <xdr:colOff>0</xdr:colOff>
      <xdr:row>57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800099</xdr:colOff>
      <xdr:row>26</xdr:row>
      <xdr:rowOff>29634</xdr:rowOff>
    </xdr:from>
    <xdr:to>
      <xdr:col>20</xdr:col>
      <xdr:colOff>65415</xdr:colOff>
      <xdr:row>27</xdr:row>
      <xdr:rowOff>20109</xdr:rowOff>
    </xdr:to>
    <xdr:sp macro="" textlink="">
      <xdr:nvSpPr>
        <xdr:cNvPr id="4" name="Text Box 4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14335124" y="4982634"/>
          <a:ext cx="4065916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</a:t>
          </a:r>
          <a:r>
            <a:rPr lang="es-CL" sz="800" b="0" i="0" strike="noStrike" baseline="0">
              <a:solidFill>
                <a:srgbClr val="000000"/>
              </a:solidFill>
              <a:latin typeface="Arial"/>
              <a:cs typeface="Arial"/>
            </a:rPr>
            <a:t> resultados en papel filtro</a:t>
          </a:r>
          <a:endParaRPr lang="es-CL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685799</xdr:colOff>
      <xdr:row>6</xdr:row>
      <xdr:rowOff>171449</xdr:rowOff>
    </xdr:from>
    <xdr:to>
      <xdr:col>20</xdr:col>
      <xdr:colOff>205199</xdr:colOff>
      <xdr:row>25</xdr:row>
      <xdr:rowOff>151949</xdr:rowOff>
    </xdr:to>
    <xdr:sp macro="" textlink="">
      <xdr:nvSpPr>
        <xdr:cNvPr id="5" name="Rectangle 4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14220824" y="1314449"/>
          <a:ext cx="4320000" cy="36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685799</xdr:colOff>
      <xdr:row>4</xdr:row>
      <xdr:rowOff>171449</xdr:rowOff>
    </xdr:from>
    <xdr:to>
      <xdr:col>20</xdr:col>
      <xdr:colOff>219075</xdr:colOff>
      <xdr:row>6</xdr:row>
      <xdr:rowOff>21282</xdr:rowOff>
    </xdr:to>
    <xdr:sp macro="" textlink="$AH$4">
      <xdr:nvSpPr>
        <xdr:cNvPr id="6" name="40 CuadroText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 bwMode="auto">
        <a:xfrm>
          <a:off x="14220824" y="933449"/>
          <a:ext cx="4333876" cy="230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21F46FF-8BC1-4790-A1D4-2CCEB1DC49B8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BH-LPE5-A-LP-S3-A-0+078-L</a:t>
          </a:fld>
          <a:endParaRPr lang="es-ES" sz="800"/>
        </a:p>
      </xdr:txBody>
    </xdr:sp>
    <xdr:clientData/>
  </xdr:twoCellAnchor>
  <xdr:twoCellAnchor>
    <xdr:from>
      <xdr:col>14</xdr:col>
      <xdr:colOff>685798</xdr:colOff>
      <xdr:row>5</xdr:row>
      <xdr:rowOff>133350</xdr:rowOff>
    </xdr:from>
    <xdr:to>
      <xdr:col>20</xdr:col>
      <xdr:colOff>209549</xdr:colOff>
      <xdr:row>6</xdr:row>
      <xdr:rowOff>142875</xdr:rowOff>
    </xdr:to>
    <xdr:sp macro="" textlink="$AH$5">
      <xdr:nvSpPr>
        <xdr:cNvPr id="7" name="41 CuadroText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 bwMode="auto">
        <a:xfrm>
          <a:off x="14220823" y="1085850"/>
          <a:ext cx="4324351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2F57E9F-70FD-45B5-A9F6-144DEB1E01E8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BH-LPE5-A-LP-S3-A-0+078-L (14,92-15,10)</a:t>
          </a:fld>
          <a:endParaRPr lang="es-ES" sz="800"/>
        </a:p>
      </xdr:txBody>
    </xdr:sp>
    <xdr:clientData/>
  </xdr:twoCellAnchor>
  <xdr:twoCellAnchor editAs="oneCell">
    <xdr:from>
      <xdr:col>14</xdr:col>
      <xdr:colOff>685800</xdr:colOff>
      <xdr:row>6</xdr:row>
      <xdr:rowOff>161925</xdr:rowOff>
    </xdr:from>
    <xdr:to>
      <xdr:col>20</xdr:col>
      <xdr:colOff>209550</xdr:colOff>
      <xdr:row>25</xdr:row>
      <xdr:rowOff>161925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4F2EDD-130D-4F21-9C72-FD46C156C9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4220825" y="1304925"/>
          <a:ext cx="4324350" cy="3619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7.83.33\seccion%20laboratorio\Documents%20and%20Settings\geo\Escritorio\Laboratorio\MERVAL4\Carga%20Puntu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saye Carga Puntual"/>
    </sheetNames>
    <sheetDataSet>
      <sheetData sheetId="0">
        <row r="8">
          <cell r="A8">
            <v>4</v>
          </cell>
        </row>
        <row r="9">
          <cell r="A9">
            <v>5.5</v>
          </cell>
        </row>
        <row r="10">
          <cell r="A10">
            <v>4.5</v>
          </cell>
        </row>
        <row r="11">
          <cell r="A11">
            <v>3.5</v>
          </cell>
        </row>
        <row r="12">
          <cell r="A12">
            <v>5.4</v>
          </cell>
        </row>
        <row r="13">
          <cell r="A13">
            <v>4.5999999999999996</v>
          </cell>
        </row>
        <row r="14">
          <cell r="A14">
            <v>3.5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13"/>
  <sheetViews>
    <sheetView showGridLines="0" workbookViewId="0">
      <selection activeCell="E14" sqref="E14"/>
    </sheetView>
  </sheetViews>
  <sheetFormatPr baseColWidth="10" defaultRowHeight="12.75" x14ac:dyDescent="0.15"/>
  <cols>
    <col min="1" max="1" width="6.125" style="5" customWidth="1"/>
    <col min="2" max="2" width="12.875" style="5" bestFit="1" customWidth="1"/>
    <col min="3" max="3" width="12.375" style="5" customWidth="1"/>
    <col min="4" max="8" width="11.5" style="5" customWidth="1"/>
    <col min="9" max="16384" width="11" style="5"/>
  </cols>
  <sheetData>
    <row r="2" spans="2:8" ht="12.75" customHeight="1" x14ac:dyDescent="0.15">
      <c r="B2" s="1" t="s">
        <v>0</v>
      </c>
      <c r="C2" s="2" t="s">
        <v>42</v>
      </c>
      <c r="D2" s="3"/>
      <c r="E2" s="3"/>
      <c r="F2" s="3"/>
      <c r="G2" s="3"/>
      <c r="H2" s="4"/>
    </row>
    <row r="3" spans="2:8" x14ac:dyDescent="0.15">
      <c r="B3" s="6" t="s">
        <v>8</v>
      </c>
      <c r="C3" s="2" t="s">
        <v>44</v>
      </c>
      <c r="D3" s="3"/>
      <c r="E3" s="3"/>
      <c r="F3" s="3"/>
      <c r="G3" s="3"/>
      <c r="H3" s="4"/>
    </row>
    <row r="4" spans="2:8" x14ac:dyDescent="0.15">
      <c r="B4" s="7" t="s">
        <v>2</v>
      </c>
      <c r="C4" s="2" t="s">
        <v>19</v>
      </c>
      <c r="D4" s="3"/>
      <c r="E4" s="3"/>
      <c r="F4" s="3"/>
      <c r="G4" s="3"/>
      <c r="H4" s="4"/>
    </row>
    <row r="6" spans="2:8" x14ac:dyDescent="0.15">
      <c r="B6" s="76" t="s">
        <v>9</v>
      </c>
      <c r="C6" s="76"/>
      <c r="D6" s="76"/>
    </row>
    <row r="7" spans="2:8" x14ac:dyDescent="0.15">
      <c r="B7" s="77">
        <v>3</v>
      </c>
      <c r="C7" s="77"/>
      <c r="D7" s="77"/>
    </row>
    <row r="10" spans="2:8" x14ac:dyDescent="0.15">
      <c r="B10" s="8" t="s">
        <v>10</v>
      </c>
      <c r="C10" s="8" t="s">
        <v>11</v>
      </c>
    </row>
    <row r="11" spans="2:8" x14ac:dyDescent="0.15">
      <c r="B11" s="9">
        <v>1</v>
      </c>
      <c r="C11" s="75">
        <v>1</v>
      </c>
    </row>
    <row r="12" spans="2:8" x14ac:dyDescent="0.15">
      <c r="B12" s="9">
        <v>2</v>
      </c>
      <c r="C12" s="10">
        <v>7</v>
      </c>
    </row>
    <row r="13" spans="2:8" x14ac:dyDescent="0.15">
      <c r="B13" s="9">
        <v>3</v>
      </c>
      <c r="C13" s="10">
        <v>24</v>
      </c>
    </row>
  </sheetData>
  <sheetProtection algorithmName="SHA-512" hashValue="NRFb0uCQiJFv1ti/GGgB9ZdA6aMJQSu9dq4aoFEBScksocbo7nBu8vgrXF1TTWqzrFI0tbQa2MYOMQRpfIYiWw==" saltValue="7BXNDoiGd3sNhLMsmVEXPw==" spinCount="100000" sheet="1" formatCells="0" formatColumns="0" formatRows="0"/>
  <protectedRanges>
    <protectedRange sqref="C2:H4 B7 B10:D11 G10:H22 B41:H114 D12:D22 D23:H40 B12:C40" name="Rango1"/>
  </protectedRanges>
  <mergeCells count="2">
    <mergeCell ref="B6:D6"/>
    <mergeCell ref="B7:D7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92D050"/>
  </sheetPr>
  <dimension ref="A1:AN94"/>
  <sheetViews>
    <sheetView tabSelected="1" topLeftCell="B1" zoomScaleNormal="100" workbookViewId="0">
      <selection activeCell="W20" sqref="W20"/>
    </sheetView>
  </sheetViews>
  <sheetFormatPr baseColWidth="10" defaultColWidth="9.625" defaultRowHeight="14.25" x14ac:dyDescent="0.15"/>
  <cols>
    <col min="1" max="1" width="12.625" style="11" customWidth="1"/>
    <col min="2" max="6" width="11.375" style="11" customWidth="1"/>
    <col min="7" max="7" width="9.625" style="11"/>
    <col min="8" max="11" width="15.625" style="11" customWidth="1"/>
    <col min="12" max="13" width="15.625" style="40" customWidth="1"/>
    <col min="14" max="14" width="4.75" style="11" customWidth="1"/>
    <col min="15" max="21" width="10.5" style="11" customWidth="1"/>
    <col min="22" max="22" width="11.125" style="11" customWidth="1"/>
    <col min="23" max="23" width="1.875" style="11" customWidth="1"/>
    <col min="24" max="32" width="9.625" style="11"/>
    <col min="33" max="38" width="0" style="11" hidden="1" customWidth="1"/>
    <col min="39" max="16384" width="9.625" style="11"/>
  </cols>
  <sheetData>
    <row r="1" spans="1:40" ht="15" customHeight="1" x14ac:dyDescent="0.15">
      <c r="H1" s="12" t="s">
        <v>41</v>
      </c>
      <c r="I1" s="13"/>
      <c r="J1" s="13"/>
      <c r="K1" s="13"/>
      <c r="L1" s="14"/>
      <c r="M1" s="14"/>
    </row>
    <row r="2" spans="1:40" ht="15" customHeight="1" x14ac:dyDescent="0.15">
      <c r="H2" s="14"/>
      <c r="I2" s="14"/>
      <c r="J2" s="14"/>
      <c r="K2" s="14"/>
      <c r="L2" s="14"/>
      <c r="M2" s="14"/>
      <c r="O2" s="82" t="str">
        <f>+H1</f>
        <v>INFORME DETERMINACIÓN DE CAPACIDAD DE ADSORCIÓN MEDIANTE AZUL DE METILENO</v>
      </c>
      <c r="P2" s="82"/>
      <c r="Q2" s="82"/>
      <c r="R2" s="82"/>
      <c r="S2" s="82"/>
      <c r="T2" s="82"/>
      <c r="U2" s="82"/>
      <c r="V2" s="41"/>
      <c r="W2" s="41"/>
      <c r="X2" s="41"/>
      <c r="Y2" s="41"/>
      <c r="Z2" s="41"/>
      <c r="AA2" s="41"/>
      <c r="AB2" s="41"/>
    </row>
    <row r="3" spans="1:40" ht="15" customHeight="1" x14ac:dyDescent="0.15">
      <c r="A3" s="15" t="s">
        <v>18</v>
      </c>
      <c r="B3" s="16"/>
      <c r="C3" s="16"/>
      <c r="D3" s="16"/>
      <c r="E3" s="17"/>
      <c r="F3" s="18"/>
      <c r="H3" s="19" t="s">
        <v>0</v>
      </c>
      <c r="I3" s="20" t="str">
        <f>'24'!B5</f>
        <v>BH-LPE5-A-LP-S3-A-0+078-L</v>
      </c>
      <c r="J3" s="21"/>
      <c r="K3" s="21"/>
      <c r="L3" s="21"/>
      <c r="M3" s="22"/>
    </row>
    <row r="4" spans="1:40" ht="15" customHeight="1" x14ac:dyDescent="0.15">
      <c r="H4" s="25" t="s">
        <v>40</v>
      </c>
      <c r="I4" s="20" t="str">
        <f>'Ingreso Datos'!C3</f>
        <v>1.914.635-E</v>
      </c>
      <c r="J4" s="21"/>
      <c r="K4" s="21"/>
      <c r="L4" s="21"/>
      <c r="M4" s="22"/>
      <c r="P4" s="82" t="s">
        <v>39</v>
      </c>
      <c r="Q4" s="82"/>
      <c r="R4" s="82"/>
      <c r="S4" s="82"/>
      <c r="T4" s="82"/>
      <c r="U4" s="41"/>
      <c r="V4" s="41"/>
      <c r="W4" s="41"/>
      <c r="X4" s="41"/>
      <c r="Y4" s="41"/>
      <c r="Z4" s="41"/>
      <c r="AA4" s="41"/>
      <c r="AG4" s="64"/>
      <c r="AH4" s="64" t="str">
        <f>+CONCATENATE(A5,"  ",":","  ",B5)</f>
        <v>PROYECTO  :  BH-LPE5-A-LP-S3-A-0+078-L</v>
      </c>
      <c r="AI4" s="64"/>
      <c r="AJ4" s="64"/>
      <c r="AK4" s="64"/>
      <c r="AL4" s="64"/>
      <c r="AM4" s="64"/>
      <c r="AN4" s="64"/>
    </row>
    <row r="5" spans="1:40" ht="15" customHeight="1" x14ac:dyDescent="0.15">
      <c r="A5" s="23" t="s">
        <v>12</v>
      </c>
      <c r="B5" s="24" t="str">
        <f>'Ingreso Datos'!C2</f>
        <v>BH-LPE5-A-LP-S3-A-0+078-L</v>
      </c>
      <c r="H5" s="19" t="s">
        <v>2</v>
      </c>
      <c r="I5" s="20" t="str">
        <f>'Ingreso Datos'!C4</f>
        <v>-</v>
      </c>
      <c r="J5" s="21"/>
      <c r="K5" s="21"/>
      <c r="L5" s="21"/>
      <c r="M5" s="22"/>
      <c r="AG5" s="64"/>
      <c r="AH5" s="64" t="str">
        <f>+CONCATENATE(A8,"  ",":","  ",B8)</f>
        <v>MUESTRA  :  BH-LPE5-A-LP-S3-A-0+078-L (14,92-15,10)</v>
      </c>
      <c r="AI5" s="64"/>
      <c r="AJ5" s="64"/>
      <c r="AK5" s="64"/>
      <c r="AL5" s="64"/>
      <c r="AM5" s="64"/>
      <c r="AN5" s="64"/>
    </row>
    <row r="6" spans="1:40" ht="15" customHeight="1" x14ac:dyDescent="0.15">
      <c r="A6" s="26" t="s">
        <v>17</v>
      </c>
      <c r="B6" s="27">
        <v>45467</v>
      </c>
      <c r="H6" s="29" t="s">
        <v>3</v>
      </c>
      <c r="I6" s="86">
        <f>B6</f>
        <v>45467</v>
      </c>
      <c r="J6" s="21"/>
      <c r="K6" s="21"/>
      <c r="L6" s="21"/>
      <c r="M6" s="22"/>
      <c r="W6" s="83"/>
      <c r="X6" s="83"/>
      <c r="Y6" s="83"/>
      <c r="Z6" s="83"/>
      <c r="AA6" s="83"/>
      <c r="AB6" s="83"/>
      <c r="AC6" s="83"/>
      <c r="AD6" s="83"/>
      <c r="AE6" s="83"/>
    </row>
    <row r="7" spans="1:40" ht="15" customHeight="1" x14ac:dyDescent="0.15">
      <c r="A7" s="26" t="s">
        <v>16</v>
      </c>
      <c r="B7" s="27">
        <v>45467</v>
      </c>
      <c r="D7" s="28"/>
      <c r="H7" s="30" t="s">
        <v>4</v>
      </c>
      <c r="I7" s="86">
        <f>B7</f>
        <v>45467</v>
      </c>
      <c r="J7" s="21"/>
      <c r="K7" s="21"/>
      <c r="L7" s="21"/>
      <c r="M7" s="22"/>
    </row>
    <row r="8" spans="1:40" ht="15" customHeight="1" x14ac:dyDescent="0.15">
      <c r="A8" s="23" t="s">
        <v>13</v>
      </c>
      <c r="B8" s="24" t="s">
        <v>43</v>
      </c>
      <c r="H8" s="14"/>
      <c r="I8" s="31"/>
      <c r="J8" s="32"/>
      <c r="K8" s="32"/>
      <c r="L8" s="33"/>
      <c r="M8" s="33"/>
    </row>
    <row r="9" spans="1:40" ht="15" customHeight="1" x14ac:dyDescent="0.15">
      <c r="H9" s="13" t="s">
        <v>15</v>
      </c>
      <c r="I9" s="31"/>
      <c r="J9" s="32"/>
      <c r="K9" s="32"/>
      <c r="L9" s="33"/>
      <c r="M9" s="33"/>
    </row>
    <row r="10" spans="1:40" ht="15" customHeight="1" x14ac:dyDescent="0.15">
      <c r="H10" s="25" t="s">
        <v>1</v>
      </c>
      <c r="I10" s="73" t="str">
        <f>B8</f>
        <v>BH-LPE5-A-LP-S3-A-0+078-L (14,92-15,10)</v>
      </c>
      <c r="J10" s="21"/>
      <c r="K10" s="21"/>
      <c r="L10" s="21"/>
      <c r="M10" s="22"/>
      <c r="AF10" s="18"/>
      <c r="AG10" s="18"/>
      <c r="AH10" s="18"/>
    </row>
    <row r="11" spans="1:40" ht="15" customHeight="1" x14ac:dyDescent="0.15">
      <c r="A11" s="34"/>
      <c r="B11" s="34"/>
      <c r="C11" s="34"/>
      <c r="D11" s="34"/>
      <c r="E11" s="18"/>
      <c r="F11" s="18"/>
      <c r="H11" s="31"/>
      <c r="I11" s="35"/>
      <c r="J11" s="32"/>
      <c r="K11" s="32"/>
      <c r="L11" s="32"/>
      <c r="M11" s="32"/>
      <c r="AF11" s="18"/>
      <c r="AG11" s="18"/>
      <c r="AH11" s="18"/>
    </row>
    <row r="12" spans="1:40" ht="15" customHeight="1" x14ac:dyDescent="0.15">
      <c r="A12" s="34"/>
      <c r="B12" s="34"/>
      <c r="C12" s="34"/>
      <c r="D12" s="34"/>
      <c r="E12" s="18"/>
      <c r="F12" s="18"/>
      <c r="H12" s="13" t="s">
        <v>7</v>
      </c>
      <c r="I12" s="35"/>
      <c r="J12" s="32"/>
      <c r="K12" s="32"/>
      <c r="L12" s="32"/>
      <c r="M12" s="32"/>
      <c r="AF12" s="18"/>
      <c r="AG12" s="18"/>
      <c r="AH12" s="18"/>
    </row>
    <row r="13" spans="1:40" ht="15" customHeight="1" x14ac:dyDescent="0.15">
      <c r="A13" s="34"/>
      <c r="B13" s="34"/>
      <c r="C13" s="34"/>
      <c r="D13" s="34"/>
      <c r="E13" s="18"/>
      <c r="F13" s="18"/>
      <c r="H13" s="84" t="s">
        <v>28</v>
      </c>
      <c r="I13" s="85"/>
      <c r="J13" s="14"/>
      <c r="K13" s="84" t="s">
        <v>29</v>
      </c>
      <c r="L13" s="85"/>
      <c r="M13" s="14"/>
      <c r="AF13" s="18"/>
      <c r="AG13" s="18"/>
      <c r="AH13" s="18"/>
    </row>
    <row r="14" spans="1:40" ht="15" customHeight="1" x14ac:dyDescent="0.15">
      <c r="A14" s="36"/>
      <c r="B14" s="36"/>
      <c r="C14" s="36"/>
      <c r="D14" s="36"/>
      <c r="E14" s="37"/>
      <c r="F14" s="18"/>
      <c r="H14" s="67" t="str">
        <f>A15</f>
        <v>Peso polvo</v>
      </c>
      <c r="I14" s="68" t="str">
        <f>B15</f>
        <v>Volumen agua</v>
      </c>
      <c r="J14" s="32"/>
      <c r="K14" s="68" t="str">
        <f>C15</f>
        <v>Peso polvo</v>
      </c>
      <c r="L14" s="68" t="str">
        <f>D15</f>
        <v>Volumen agua</v>
      </c>
      <c r="M14" s="14"/>
      <c r="AF14" s="18"/>
      <c r="AG14" s="18"/>
      <c r="AH14" s="18"/>
    </row>
    <row r="15" spans="1:40" ht="15" customHeight="1" x14ac:dyDescent="0.15">
      <c r="A15" s="65" t="s">
        <v>20</v>
      </c>
      <c r="B15" s="65" t="s">
        <v>22</v>
      </c>
      <c r="C15" s="65" t="s">
        <v>20</v>
      </c>
      <c r="D15" s="65" t="s">
        <v>22</v>
      </c>
      <c r="E15" s="65" t="s">
        <v>26</v>
      </c>
      <c r="F15" s="66" t="s">
        <v>30</v>
      </c>
      <c r="H15" s="69" t="str">
        <f t="shared" ref="H15:I17" si="0">A16</f>
        <v>Azul de Metileno</v>
      </c>
      <c r="I15" s="70" t="str">
        <f t="shared" si="0"/>
        <v>destilada</v>
      </c>
      <c r="J15" s="32"/>
      <c r="K15" s="70" t="str">
        <f t="shared" ref="K15:L17" si="1">C16</f>
        <v>roca</v>
      </c>
      <c r="L15" s="70" t="str">
        <f t="shared" si="1"/>
        <v>destilada</v>
      </c>
      <c r="M15" s="14"/>
      <c r="AF15" s="18"/>
      <c r="AG15" s="18"/>
      <c r="AH15" s="18"/>
    </row>
    <row r="16" spans="1:40" ht="15" customHeight="1" x14ac:dyDescent="0.15">
      <c r="A16" s="65" t="s">
        <v>21</v>
      </c>
      <c r="B16" s="65" t="s">
        <v>23</v>
      </c>
      <c r="C16" s="65" t="s">
        <v>25</v>
      </c>
      <c r="D16" s="65" t="s">
        <v>23</v>
      </c>
      <c r="E16" s="65" t="s">
        <v>21</v>
      </c>
      <c r="F16" s="65" t="s">
        <v>31</v>
      </c>
      <c r="H16" s="69" t="str">
        <f t="shared" si="0"/>
        <v>[g]</v>
      </c>
      <c r="I16" s="70" t="str">
        <f t="shared" si="0"/>
        <v>[ml]</v>
      </c>
      <c r="J16" s="32"/>
      <c r="K16" s="70" t="str">
        <f t="shared" si="1"/>
        <v>[g]</v>
      </c>
      <c r="L16" s="70" t="str">
        <f t="shared" si="1"/>
        <v>[ml]</v>
      </c>
      <c r="M16" s="14"/>
      <c r="AF16" s="18"/>
      <c r="AG16" s="18"/>
      <c r="AH16" s="18"/>
    </row>
    <row r="17" spans="1:34" ht="15" customHeight="1" x14ac:dyDescent="0.15">
      <c r="A17" s="71" t="s">
        <v>34</v>
      </c>
      <c r="B17" s="71" t="s">
        <v>24</v>
      </c>
      <c r="C17" s="71" t="s">
        <v>34</v>
      </c>
      <c r="D17" s="71" t="s">
        <v>24</v>
      </c>
      <c r="E17" s="71" t="s">
        <v>27</v>
      </c>
      <c r="F17" s="71" t="s">
        <v>32</v>
      </c>
      <c r="H17" s="72">
        <f t="shared" si="0"/>
        <v>10</v>
      </c>
      <c r="I17" s="46">
        <f t="shared" si="0"/>
        <v>1000</v>
      </c>
      <c r="J17" s="32"/>
      <c r="K17" s="46">
        <f t="shared" si="1"/>
        <v>30</v>
      </c>
      <c r="L17" s="46">
        <f t="shared" si="1"/>
        <v>200</v>
      </c>
      <c r="M17" s="14"/>
      <c r="AF17" s="18"/>
      <c r="AG17" s="18"/>
      <c r="AH17" s="18"/>
    </row>
    <row r="18" spans="1:34" ht="15" customHeight="1" x14ac:dyDescent="0.15">
      <c r="A18" s="38">
        <v>10</v>
      </c>
      <c r="B18" s="38">
        <v>1000</v>
      </c>
      <c r="C18" s="38">
        <v>30</v>
      </c>
      <c r="D18" s="38">
        <v>200</v>
      </c>
      <c r="E18" s="38">
        <v>7</v>
      </c>
      <c r="F18" s="39">
        <f>A18/B18</f>
        <v>0.01</v>
      </c>
      <c r="M18" s="14"/>
      <c r="AF18" s="18"/>
      <c r="AG18" s="18"/>
      <c r="AH18" s="18"/>
    </row>
    <row r="19" spans="1:34" ht="15" customHeight="1" x14ac:dyDescent="0.15">
      <c r="H19" s="41" t="s">
        <v>14</v>
      </c>
      <c r="L19" s="42"/>
      <c r="M19" s="42"/>
      <c r="AF19" s="18"/>
      <c r="AG19" s="18"/>
      <c r="AH19" s="18"/>
    </row>
    <row r="20" spans="1:34" ht="15" customHeight="1" x14ac:dyDescent="0.15">
      <c r="H20" s="45" t="s">
        <v>33</v>
      </c>
      <c r="I20" s="21"/>
      <c r="J20" s="22"/>
      <c r="K20" s="46">
        <f>E18</f>
        <v>7</v>
      </c>
      <c r="L20" s="42"/>
      <c r="M20" s="42"/>
      <c r="O20" s="43"/>
      <c r="P20" s="44"/>
      <c r="Q20" s="44"/>
      <c r="R20" s="44"/>
      <c r="S20" s="44"/>
      <c r="T20" s="44"/>
      <c r="AF20" s="18"/>
      <c r="AG20" s="18"/>
      <c r="AH20" s="18"/>
    </row>
    <row r="21" spans="1:34" ht="15" customHeight="1" x14ac:dyDescent="0.15">
      <c r="H21" s="78" t="s">
        <v>35</v>
      </c>
      <c r="I21" s="79"/>
      <c r="J21" s="80"/>
      <c r="K21" s="48">
        <f>E18*F18</f>
        <v>7.0000000000000007E-2</v>
      </c>
      <c r="L21" s="11"/>
      <c r="M21" s="11"/>
      <c r="V21" s="47"/>
      <c r="W21" s="47"/>
      <c r="X21" s="43"/>
      <c r="Y21" s="44"/>
      <c r="Z21" s="44"/>
      <c r="AA21" s="44"/>
      <c r="AB21" s="44"/>
      <c r="AC21" s="44"/>
      <c r="AD21" s="44"/>
      <c r="AE21" s="44"/>
      <c r="AF21" s="18"/>
      <c r="AG21" s="18"/>
      <c r="AH21" s="18"/>
    </row>
    <row r="22" spans="1:34" ht="15" customHeight="1" x14ac:dyDescent="0.15">
      <c r="H22" s="78" t="s">
        <v>36</v>
      </c>
      <c r="I22" s="79"/>
      <c r="J22" s="80"/>
      <c r="K22" s="46">
        <f>(K21/K17)*100</f>
        <v>0.23333333333333336</v>
      </c>
      <c r="L22" s="11"/>
      <c r="M22" s="11"/>
      <c r="V22" s="47"/>
      <c r="W22" s="47"/>
      <c r="X22" s="47"/>
      <c r="Y22" s="44"/>
      <c r="Z22" s="44"/>
      <c r="AA22" s="44"/>
      <c r="AB22" s="44"/>
      <c r="AC22" s="44"/>
      <c r="AD22" s="44"/>
      <c r="AE22" s="44"/>
      <c r="AF22" s="18"/>
      <c r="AG22" s="18"/>
      <c r="AH22" s="18"/>
    </row>
    <row r="23" spans="1:34" ht="15" customHeight="1" x14ac:dyDescent="0.15">
      <c r="L23" s="34"/>
      <c r="M23" s="11"/>
      <c r="V23" s="49"/>
      <c r="W23" s="50"/>
      <c r="X23" s="50"/>
      <c r="Y23" s="44"/>
      <c r="Z23" s="44"/>
      <c r="AA23" s="44"/>
      <c r="AB23" s="44"/>
      <c r="AC23" s="44"/>
      <c r="AD23" s="44"/>
      <c r="AE23" s="44"/>
      <c r="AF23" s="51"/>
      <c r="AG23" s="18"/>
      <c r="AH23" s="18"/>
    </row>
    <row r="24" spans="1:34" ht="15" customHeight="1" x14ac:dyDescent="0.15">
      <c r="H24" s="57" t="s">
        <v>5</v>
      </c>
      <c r="L24" s="11"/>
      <c r="M24" s="11"/>
      <c r="V24" s="49"/>
      <c r="W24" s="50"/>
      <c r="X24" s="50"/>
      <c r="Y24" s="50"/>
      <c r="Z24" s="18"/>
      <c r="AA24" s="52"/>
      <c r="AB24" s="18"/>
      <c r="AC24" s="18"/>
      <c r="AD24" s="53"/>
      <c r="AE24" s="47"/>
      <c r="AF24" s="51"/>
      <c r="AG24" s="18"/>
      <c r="AH24" s="18"/>
    </row>
    <row r="25" spans="1:34" ht="15" customHeight="1" x14ac:dyDescent="0.15">
      <c r="H25" s="11" t="s">
        <v>37</v>
      </c>
      <c r="L25" s="11"/>
      <c r="M25" s="11"/>
      <c r="V25" s="49"/>
      <c r="W25" s="50"/>
      <c r="X25" s="50"/>
      <c r="Y25" s="50"/>
      <c r="Z25" s="50"/>
      <c r="AA25" s="50"/>
      <c r="AB25" s="54"/>
      <c r="AC25" s="55"/>
      <c r="AD25" s="53"/>
      <c r="AE25" s="47"/>
      <c r="AF25" s="51"/>
      <c r="AG25" s="18"/>
      <c r="AH25" s="18"/>
    </row>
    <row r="26" spans="1:34" ht="15" customHeight="1" x14ac:dyDescent="0.15">
      <c r="L26" s="11"/>
      <c r="M26" s="11"/>
      <c r="V26" s="49"/>
      <c r="W26" s="50"/>
      <c r="X26" s="50"/>
      <c r="Y26" s="50"/>
      <c r="Z26" s="56"/>
      <c r="AA26" s="50"/>
      <c r="AB26" s="54"/>
      <c r="AC26" s="43"/>
      <c r="AD26" s="53"/>
      <c r="AE26" s="47"/>
      <c r="AF26" s="51"/>
      <c r="AG26" s="18"/>
      <c r="AH26" s="18"/>
    </row>
    <row r="27" spans="1:34" ht="15" customHeight="1" x14ac:dyDescent="0.15">
      <c r="H27" s="57" t="s">
        <v>6</v>
      </c>
      <c r="L27" s="11"/>
      <c r="M27" s="11"/>
      <c r="V27" s="49"/>
      <c r="W27" s="50"/>
      <c r="X27" s="50"/>
      <c r="Y27" s="50"/>
      <c r="Z27" s="56"/>
      <c r="AA27" s="50"/>
      <c r="AB27" s="54"/>
      <c r="AC27" s="43"/>
      <c r="AD27" s="53"/>
      <c r="AE27" s="47"/>
      <c r="AF27" s="51"/>
      <c r="AG27" s="18"/>
      <c r="AH27" s="18"/>
    </row>
    <row r="28" spans="1:34" ht="15" customHeight="1" x14ac:dyDescent="0.15">
      <c r="H28" s="11" t="s">
        <v>38</v>
      </c>
      <c r="L28" s="11"/>
      <c r="M28" s="11"/>
      <c r="V28" s="49"/>
      <c r="W28" s="50"/>
      <c r="X28" s="50"/>
      <c r="Y28" s="50"/>
      <c r="Z28" s="56"/>
      <c r="AA28" s="50"/>
      <c r="AB28" s="54"/>
      <c r="AC28" s="43"/>
      <c r="AD28" s="53"/>
      <c r="AE28" s="47"/>
      <c r="AF28" s="51"/>
      <c r="AG28" s="18"/>
      <c r="AH28" s="18"/>
    </row>
    <row r="29" spans="1:34" ht="15" customHeight="1" x14ac:dyDescent="0.15">
      <c r="L29" s="11"/>
      <c r="M29" s="11"/>
      <c r="V29" s="49"/>
      <c r="W29" s="50"/>
      <c r="X29" s="50"/>
      <c r="Y29" s="50"/>
      <c r="Z29" s="56"/>
      <c r="AA29" s="50"/>
      <c r="AB29" s="54"/>
      <c r="AC29" s="43"/>
      <c r="AD29" s="53"/>
      <c r="AE29" s="47"/>
      <c r="AF29" s="51"/>
      <c r="AG29" s="18"/>
      <c r="AH29" s="18"/>
    </row>
    <row r="30" spans="1:34" ht="15" customHeight="1" x14ac:dyDescent="0.15">
      <c r="L30" s="11"/>
      <c r="M30" s="11"/>
      <c r="V30" s="49"/>
      <c r="W30" s="50"/>
      <c r="X30" s="50"/>
      <c r="Y30" s="50"/>
      <c r="Z30" s="56"/>
      <c r="AA30" s="50"/>
      <c r="AB30" s="54"/>
      <c r="AC30" s="43"/>
      <c r="AD30" s="53"/>
      <c r="AE30" s="47"/>
      <c r="AF30" s="51"/>
      <c r="AG30" s="18"/>
      <c r="AH30" s="18"/>
    </row>
    <row r="31" spans="1:34" ht="15" customHeight="1" x14ac:dyDescent="0.15">
      <c r="L31" s="11"/>
      <c r="M31" s="11"/>
      <c r="V31" s="49"/>
      <c r="W31" s="50"/>
      <c r="X31" s="50"/>
      <c r="Y31" s="50"/>
      <c r="Z31" s="50"/>
      <c r="AA31" s="50"/>
      <c r="AB31" s="54"/>
      <c r="AC31" s="55"/>
      <c r="AD31" s="53"/>
      <c r="AE31" s="47"/>
      <c r="AF31" s="54"/>
      <c r="AG31" s="18"/>
      <c r="AH31" s="18"/>
    </row>
    <row r="32" spans="1:34" ht="15" customHeight="1" x14ac:dyDescent="0.15">
      <c r="L32" s="11"/>
      <c r="M32" s="11"/>
      <c r="O32" s="18"/>
      <c r="P32" s="18"/>
      <c r="Q32" s="18"/>
      <c r="R32" s="18"/>
      <c r="S32" s="18"/>
      <c r="T32" s="18"/>
      <c r="V32" s="49"/>
      <c r="W32" s="50"/>
      <c r="X32" s="50"/>
      <c r="Y32" s="50"/>
      <c r="Z32" s="50"/>
      <c r="AA32" s="50"/>
      <c r="AB32" s="54"/>
      <c r="AC32" s="55"/>
      <c r="AD32" s="53"/>
      <c r="AE32" s="47"/>
      <c r="AF32" s="54"/>
      <c r="AG32" s="18"/>
      <c r="AH32" s="18"/>
    </row>
    <row r="33" spans="8:34" ht="15" customHeight="1" x14ac:dyDescent="0.15">
      <c r="H33" s="57"/>
      <c r="L33" s="11"/>
      <c r="M33" s="11"/>
      <c r="O33" s="18"/>
      <c r="P33" s="18"/>
      <c r="Q33" s="18"/>
      <c r="R33" s="18"/>
      <c r="S33" s="18"/>
      <c r="T33" s="18"/>
      <c r="V33" s="49"/>
      <c r="W33" s="50"/>
      <c r="X33" s="50"/>
      <c r="Y33" s="50"/>
      <c r="Z33" s="50"/>
      <c r="AA33" s="50"/>
      <c r="AB33" s="54"/>
      <c r="AC33" s="55"/>
      <c r="AD33" s="53"/>
      <c r="AE33" s="47"/>
      <c r="AF33" s="54"/>
      <c r="AG33" s="18"/>
      <c r="AH33" s="18"/>
    </row>
    <row r="34" spans="8:34" ht="15" customHeight="1" x14ac:dyDescent="0.15">
      <c r="L34" s="11"/>
      <c r="M34" s="11"/>
      <c r="V34" s="49"/>
      <c r="W34" s="50"/>
      <c r="X34" s="50"/>
      <c r="Y34" s="50"/>
      <c r="Z34" s="50"/>
      <c r="AA34" s="50"/>
      <c r="AB34" s="54"/>
      <c r="AC34" s="55"/>
      <c r="AD34" s="53"/>
      <c r="AE34" s="47"/>
      <c r="AF34" s="54"/>
      <c r="AG34" s="18"/>
      <c r="AH34" s="18"/>
    </row>
    <row r="35" spans="8:34" ht="15" customHeight="1" x14ac:dyDescent="0.15">
      <c r="L35" s="11"/>
      <c r="M35" s="11"/>
      <c r="V35" s="49"/>
      <c r="W35" s="50"/>
      <c r="X35" s="50"/>
      <c r="Y35" s="50"/>
      <c r="Z35" s="50"/>
      <c r="AA35" s="50"/>
      <c r="AB35" s="54"/>
      <c r="AC35" s="55"/>
      <c r="AD35" s="53"/>
      <c r="AE35" s="47"/>
      <c r="AF35" s="54"/>
      <c r="AG35" s="18"/>
      <c r="AH35" s="18"/>
    </row>
    <row r="36" spans="8:34" ht="15" customHeight="1" x14ac:dyDescent="0.15">
      <c r="L36" s="11"/>
      <c r="M36" s="11"/>
      <c r="V36" s="49"/>
      <c r="W36" s="50"/>
      <c r="X36" s="50"/>
      <c r="Y36" s="50"/>
      <c r="Z36" s="50"/>
      <c r="AA36" s="50"/>
      <c r="AB36" s="54"/>
      <c r="AC36" s="55"/>
      <c r="AD36" s="53"/>
      <c r="AE36" s="47"/>
      <c r="AF36" s="54"/>
      <c r="AG36" s="18"/>
      <c r="AH36" s="18"/>
    </row>
    <row r="37" spans="8:34" ht="15" customHeight="1" x14ac:dyDescent="0.15">
      <c r="L37" s="11"/>
      <c r="M37" s="11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18"/>
      <c r="AG37" s="18"/>
      <c r="AH37" s="18"/>
    </row>
    <row r="38" spans="8:34" ht="15" customHeight="1" x14ac:dyDescent="0.15">
      <c r="L38" s="11"/>
      <c r="M38" s="11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8:34" ht="15" customHeight="1" x14ac:dyDescent="0.15">
      <c r="L39" s="11"/>
      <c r="M39" s="11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8:34" ht="15" customHeight="1" x14ac:dyDescent="0.15">
      <c r="L40" s="11"/>
      <c r="M40" s="11"/>
    </row>
    <row r="41" spans="8:34" ht="15" customHeight="1" x14ac:dyDescent="0.15">
      <c r="L41" s="11"/>
      <c r="M41" s="11"/>
    </row>
    <row r="42" spans="8:34" ht="15" customHeight="1" x14ac:dyDescent="0.15">
      <c r="L42" s="11"/>
      <c r="M42" s="11"/>
      <c r="AF42" s="58"/>
    </row>
    <row r="43" spans="8:34" ht="15" customHeight="1" x14ac:dyDescent="0.15">
      <c r="L43" s="11"/>
      <c r="M43" s="11"/>
    </row>
    <row r="44" spans="8:34" ht="15" customHeight="1" x14ac:dyDescent="0.15">
      <c r="L44" s="11"/>
      <c r="M44" s="11"/>
    </row>
    <row r="45" spans="8:34" ht="15" customHeight="1" x14ac:dyDescent="0.15">
      <c r="L45" s="11"/>
      <c r="M45" s="11"/>
    </row>
    <row r="46" spans="8:34" ht="15" customHeight="1" x14ac:dyDescent="0.15">
      <c r="L46" s="11"/>
      <c r="M46" s="11"/>
    </row>
    <row r="47" spans="8:34" ht="15" customHeight="1" x14ac:dyDescent="0.15">
      <c r="I47" s="18"/>
      <c r="J47" s="18"/>
      <c r="K47" s="18"/>
      <c r="L47" s="18"/>
      <c r="M47" s="18"/>
      <c r="N47" s="58"/>
      <c r="U47" s="58"/>
      <c r="V47" s="58"/>
    </row>
    <row r="48" spans="8:34" ht="15" customHeight="1" x14ac:dyDescent="0.15">
      <c r="N48" s="58"/>
      <c r="O48" s="34"/>
      <c r="P48" s="34"/>
      <c r="Q48" s="34"/>
      <c r="R48" s="34"/>
      <c r="S48" s="34"/>
      <c r="T48" s="34"/>
      <c r="U48" s="58"/>
      <c r="V48" s="58"/>
    </row>
    <row r="49" spans="10:32" ht="15" customHeight="1" x14ac:dyDescent="0.15">
      <c r="L49" s="11"/>
      <c r="N49" s="58"/>
      <c r="O49" s="34"/>
      <c r="P49" s="34"/>
      <c r="Q49" s="34"/>
      <c r="R49" s="34"/>
      <c r="S49" s="34"/>
      <c r="T49" s="34"/>
      <c r="U49" s="58"/>
      <c r="V49" s="58"/>
    </row>
    <row r="50" spans="10:32" ht="15" customHeight="1" x14ac:dyDescent="0.15">
      <c r="O50" s="34"/>
      <c r="P50" s="34"/>
      <c r="Q50" s="34"/>
      <c r="R50" s="34"/>
      <c r="S50" s="34"/>
      <c r="T50" s="34"/>
    </row>
    <row r="51" spans="10:32" ht="15" customHeight="1" x14ac:dyDescent="0.15">
      <c r="O51" s="50"/>
      <c r="P51" s="50"/>
      <c r="Q51" s="50"/>
      <c r="R51" s="50"/>
      <c r="S51" s="50"/>
      <c r="T51" s="59"/>
    </row>
    <row r="52" spans="10:32" ht="15" customHeight="1" x14ac:dyDescent="0.15">
      <c r="J52" s="60"/>
      <c r="K52" s="60"/>
      <c r="O52" s="50"/>
      <c r="P52" s="50"/>
      <c r="Q52" s="50"/>
      <c r="R52" s="50"/>
      <c r="S52" s="50"/>
      <c r="T52" s="59"/>
    </row>
    <row r="53" spans="10:32" ht="15" customHeight="1" x14ac:dyDescent="0.15">
      <c r="O53" s="50"/>
      <c r="P53" s="50"/>
      <c r="Q53" s="50"/>
      <c r="R53" s="50"/>
      <c r="S53" s="50"/>
      <c r="T53" s="59"/>
    </row>
    <row r="54" spans="10:32" ht="15" customHeight="1" x14ac:dyDescent="0.15">
      <c r="V54" s="34"/>
      <c r="W54" s="34"/>
      <c r="X54" s="34"/>
      <c r="Y54" s="34"/>
      <c r="Z54" s="34"/>
      <c r="AA54" s="34"/>
      <c r="AB54" s="34"/>
      <c r="AC54" s="34"/>
      <c r="AD54" s="34"/>
      <c r="AE54" s="81"/>
      <c r="AF54" s="81"/>
    </row>
    <row r="55" spans="10:32" ht="15" customHeight="1" x14ac:dyDescent="0.15">
      <c r="V55" s="34"/>
      <c r="W55" s="34"/>
      <c r="X55" s="34"/>
      <c r="Y55" s="34"/>
      <c r="Z55" s="34"/>
      <c r="AA55" s="34"/>
      <c r="AB55" s="61"/>
      <c r="AC55" s="34"/>
      <c r="AD55" s="34"/>
      <c r="AE55" s="74"/>
      <c r="AF55" s="74"/>
    </row>
    <row r="56" spans="10:32" ht="15" customHeight="1" x14ac:dyDescent="0.15">
      <c r="V56" s="34"/>
      <c r="W56" s="34"/>
      <c r="X56" s="34"/>
      <c r="Y56" s="34"/>
      <c r="Z56" s="34"/>
      <c r="AA56" s="34"/>
      <c r="AB56" s="34"/>
      <c r="AC56" s="18"/>
      <c r="AD56" s="34"/>
      <c r="AE56" s="74"/>
      <c r="AF56" s="74"/>
    </row>
    <row r="57" spans="10:32" ht="15" customHeight="1" x14ac:dyDescent="0.15">
      <c r="V57" s="49"/>
      <c r="W57" s="50"/>
      <c r="X57" s="50"/>
      <c r="Y57" s="50"/>
      <c r="Z57" s="59"/>
      <c r="AA57" s="59"/>
      <c r="AB57" s="62"/>
      <c r="AC57" s="63"/>
      <c r="AD57" s="42"/>
      <c r="AE57" s="74"/>
      <c r="AF57" s="51"/>
    </row>
    <row r="58" spans="10:32" ht="15" customHeight="1" x14ac:dyDescent="0.15">
      <c r="V58" s="49"/>
      <c r="W58" s="50"/>
      <c r="X58" s="50"/>
      <c r="Y58" s="50"/>
      <c r="Z58" s="59"/>
      <c r="AA58" s="59"/>
      <c r="AB58" s="62"/>
      <c r="AC58" s="63"/>
      <c r="AD58" s="42"/>
      <c r="AE58" s="74"/>
      <c r="AF58" s="51"/>
    </row>
    <row r="59" spans="10:32" ht="15" customHeight="1" x14ac:dyDescent="0.15">
      <c r="V59" s="49"/>
      <c r="W59" s="50"/>
      <c r="X59" s="50"/>
      <c r="Y59" s="50"/>
      <c r="Z59" s="59"/>
      <c r="AA59" s="59"/>
      <c r="AB59" s="62"/>
      <c r="AC59" s="63"/>
      <c r="AD59" s="42"/>
      <c r="AE59" s="74"/>
      <c r="AF59" s="51"/>
    </row>
    <row r="60" spans="10:32" ht="15" customHeight="1" x14ac:dyDescent="0.15"/>
    <row r="61" spans="10:32" ht="15" customHeight="1" x14ac:dyDescent="0.15"/>
    <row r="62" spans="10:32" ht="15" customHeight="1" x14ac:dyDescent="0.15"/>
    <row r="63" spans="10:32" ht="15" customHeight="1" x14ac:dyDescent="0.15"/>
    <row r="64" spans="10:32" ht="15" customHeight="1" x14ac:dyDescent="0.15"/>
    <row r="65" ht="15" customHeight="1" x14ac:dyDescent="0.15"/>
    <row r="66" ht="15" customHeight="1" x14ac:dyDescent="0.15"/>
    <row r="67" ht="15" customHeight="1" x14ac:dyDescent="0.15"/>
    <row r="68" ht="15" customHeight="1" x14ac:dyDescent="0.15"/>
    <row r="69" ht="15" customHeight="1" x14ac:dyDescent="0.15"/>
    <row r="70" ht="15" customHeight="1" x14ac:dyDescent="0.15"/>
    <row r="71" ht="15" customHeight="1" x14ac:dyDescent="0.15"/>
    <row r="72" ht="15" customHeight="1" x14ac:dyDescent="0.15"/>
    <row r="73" ht="15" customHeight="1" x14ac:dyDescent="0.15"/>
    <row r="74" ht="15" customHeight="1" x14ac:dyDescent="0.15"/>
    <row r="75" ht="15" customHeight="1" x14ac:dyDescent="0.15"/>
    <row r="76" ht="15" customHeight="1" x14ac:dyDescent="0.15"/>
    <row r="77" ht="15" customHeight="1" x14ac:dyDescent="0.15"/>
    <row r="78" ht="15" customHeight="1" x14ac:dyDescent="0.15"/>
    <row r="79" ht="15" customHeight="1" x14ac:dyDescent="0.15"/>
    <row r="80" ht="15" customHeight="1" x14ac:dyDescent="0.15"/>
    <row r="81" spans="12:13" ht="15" customHeight="1" x14ac:dyDescent="0.15"/>
    <row r="82" spans="12:13" ht="15" customHeight="1" x14ac:dyDescent="0.15">
      <c r="L82" s="11"/>
      <c r="M82" s="11"/>
    </row>
    <row r="83" spans="12:13" ht="15" customHeight="1" x14ac:dyDescent="0.15">
      <c r="L83" s="11"/>
      <c r="M83" s="11"/>
    </row>
    <row r="84" spans="12:13" ht="15" customHeight="1" x14ac:dyDescent="0.15">
      <c r="L84" s="11"/>
      <c r="M84" s="11"/>
    </row>
    <row r="85" spans="12:13" ht="15" customHeight="1" x14ac:dyDescent="0.15">
      <c r="L85" s="11"/>
      <c r="M85" s="11"/>
    </row>
    <row r="86" spans="12:13" ht="15" customHeight="1" x14ac:dyDescent="0.15"/>
    <row r="87" spans="12:13" ht="15" customHeight="1" x14ac:dyDescent="0.15"/>
    <row r="88" spans="12:13" ht="15" customHeight="1" x14ac:dyDescent="0.15"/>
    <row r="89" spans="12:13" ht="15" customHeight="1" x14ac:dyDescent="0.15"/>
    <row r="90" spans="12:13" ht="15" customHeight="1" x14ac:dyDescent="0.15"/>
    <row r="91" spans="12:13" ht="15" customHeight="1" x14ac:dyDescent="0.15"/>
    <row r="92" spans="12:13" ht="15" customHeight="1" x14ac:dyDescent="0.15"/>
    <row r="93" spans="12:13" ht="15" customHeight="1" x14ac:dyDescent="0.15"/>
    <row r="94" spans="12:13" ht="15" customHeight="1" x14ac:dyDescent="0.15"/>
  </sheetData>
  <sheetProtection algorithmName="SHA-512" hashValue="+z1w9JQbORkM/9F0dkZODslg91SFjGoXg0w8y4gtjNYeg03d+G3TDm1zFxXhQDLUlipVkfVuqWgcApKI9G7aCw==" saltValue="idkjo8fWgzTOtA6tADWkmg==" spinCount="100000" sheet="1" formatCells="0" formatColumns="0" formatRows="0"/>
  <mergeCells count="8">
    <mergeCell ref="H22:J22"/>
    <mergeCell ref="AE54:AF54"/>
    <mergeCell ref="O2:U2"/>
    <mergeCell ref="P4:T4"/>
    <mergeCell ref="W6:AE6"/>
    <mergeCell ref="H13:I13"/>
    <mergeCell ref="K13:L13"/>
    <mergeCell ref="H21:J21"/>
  </mergeCells>
  <conditionalFormatting sqref="B5">
    <cfRule type="cellIs" dxfId="2" priority="3" operator="greaterThan">
      <formula>0</formula>
    </cfRule>
  </conditionalFormatting>
  <conditionalFormatting sqref="B6:B8">
    <cfRule type="cellIs" dxfId="1" priority="2" operator="greaterThan">
      <formula>0</formula>
    </cfRule>
  </conditionalFormatting>
  <conditionalFormatting sqref="A18:F18">
    <cfRule type="cellIs" dxfId="0" priority="1" operator="greaterThan">
      <formula>0</formula>
    </cfRule>
  </conditionalFormatting>
  <pageMargins left="0.78740157480314965" right="0.75" top="1.3779527559055118" bottom="1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Ingreso Datos</vt:lpstr>
      <vt:lpstr>24</vt:lpstr>
      <vt:lpstr>'24'!Área_de_impresión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POBLETE OLAVE</dc:creator>
  <cp:lastModifiedBy>Francisco Gonzalez</cp:lastModifiedBy>
  <cp:lastPrinted>2009-11-19T16:40:44Z</cp:lastPrinted>
  <dcterms:created xsi:type="dcterms:W3CDTF">1999-10-13T14:07:43Z</dcterms:created>
  <dcterms:modified xsi:type="dcterms:W3CDTF">2024-06-28T00:03:30Z</dcterms:modified>
</cp:coreProperties>
</file>